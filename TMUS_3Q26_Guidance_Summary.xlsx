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ance Summary" sheetId="1" state="visible" r:id="rId3"/>
    <sheet name="Guidance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<sst xmlns="http://schemas.openxmlformats.org/spreadsheetml/2006/main" count="126" uniqueCount="102">
  <si>
    <t xml:space="preserve">EXHIBIT 2: TMUS Financial guidance summary (updated for 3Q26)</t>
  </si>
  <si>
    <t xml:space="preserve">FY2026 Full-Year Guidance</t>
  </si>
  <si>
    <t xml:space="preserve">Metric</t>
  </si>
  <si>
    <t xml:space="preserve">Previous Guidance (2Q26)</t>
  </si>
  <si>
    <t xml:space="preserve">Current Guidance (3Q26)</t>
  </si>
  <si>
    <t xml:space="preserve">Change</t>
  </si>
  <si>
    <t xml:space="preserve">Source / Notes</t>
  </si>
  <si>
    <t xml:space="preserve">Postpaid net account additions</t>
  </si>
  <si>
    <t xml:space="preserve">950K – 1.05M</t>
  </si>
  <si>
    <t xml:space="preserve">~1.0M</t>
  </si>
  <si>
    <t xml:space="preserve">Narrowed to midpoint</t>
  </si>
  <si>
    <t xml:space="preserve">Range narrowed to the midpoint. Implies ~232K in Q4 vs 274K in Q3 and 261K in 4Q25 — below Q4 seasonality.</t>
  </si>
  <si>
    <t xml:space="preserve">Service revenues</t>
  </si>
  <si>
    <t xml:space="preserve">~$77.0B (+8% YoY)</t>
  </si>
  <si>
    <t xml:space="preserve">Disclosed on call. Lower wholesale &amp; other (TracFone/Boost MVNO rolling off faster than expected) and continued prepaid declines, partly offset by postpaid outperformance. New: Q4 organic postpaid service revenue growth ~7% YoY.</t>
  </si>
  <si>
    <t xml:space="preserve">Postpaid ARPA growth</t>
  </si>
  <si>
    <t xml:space="preserve">2.5% – 3.0%</t>
  </si>
  <si>
    <t xml:space="preserve">~3.5%</t>
  </si>
  <si>
    <t xml:space="preserve">Disclosed on call. Driven by premium rate plan adoption (60% of new-account lines on premium plans), deeper account relationships and rate plan modernization. 9M26 YoY +3.4%; implies Q4 ARPA roughly flat QoQ (~$156).</t>
  </si>
  <si>
    <t xml:space="preserve">Core Adjusted EBITDA</t>
  </si>
  <si>
    <t xml:space="preserve">$37.1B – $37.5B</t>
  </si>
  <si>
    <t xml:space="preserve">Low end raised $250M; high end unchanged. Implies Q4 of ~$8.95–9.05B (+6–7% YoY) vs +11.5% YoY through 9M; Q3 inventory constraints shifted some device cost into Q4.</t>
  </si>
  <si>
    <t xml:space="preserve">Capital expenditures (capex)</t>
  </si>
  <si>
    <t xml:space="preserve">~$10.0B</t>
  </si>
  <si>
    <t xml:space="preserve">No change</t>
  </si>
  <si>
    <t xml:space="preserve">Implies ~$2.4B in Q4 after $2.27B in Q3 (down 14% YoY on planned timing).</t>
  </si>
  <si>
    <t xml:space="preserve">Net cash provided by operating activities</t>
  </si>
  <si>
    <t xml:space="preserve">$28.4B – $28.8B</t>
  </si>
  <si>
    <t xml:space="preserve">Low end raised $300M; high end unchanged. Includes net payments for UScellular merger-related costs ($532M YTD).</t>
  </si>
  <si>
    <t xml:space="preserve">Adjusted Free Cash Flow</t>
  </si>
  <si>
    <t xml:space="preserve">$18.4B – $18.8B</t>
  </si>
  <si>
    <t xml:space="preserve">Low end raised $300M; high end unchanged. Includes UScellular merger-related payments; assumes no material net cash inflows from securitization.</t>
  </si>
  <si>
    <t xml:space="preserve">Effective tax rate</t>
  </si>
  <si>
    <t xml:space="preserve">25% – 26%</t>
  </si>
  <si>
    <t xml:space="preserve">24% – 25%</t>
  </si>
  <si>
    <t xml:space="preserve">Lowered 100bps. Q3 ETR 23.9%; 9M26 24.6%.</t>
  </si>
  <si>
    <t xml:space="preserve">Q4 2026 Implied Guidance (FY guide less 9M26 actuals)</t>
  </si>
  <si>
    <t xml:space="preserve">Q4'26 Implied</t>
  </si>
  <si>
    <t xml:space="preserve">4Q25 Actual</t>
  </si>
  <si>
    <t xml:space="preserve">Implied YoY</t>
  </si>
  <si>
    <t xml:space="preserve">Postpaid service revenue growth (organic)</t>
  </si>
  <si>
    <t xml:space="preserve">~+7% YoY</t>
  </si>
  <si>
    <t xml:space="preserve">n/a</t>
  </si>
  <si>
    <t xml:space="preserve">Guided on call</t>
  </si>
  <si>
    <t xml:space="preserve">Postpaid ARPA (approx.)</t>
  </si>
  <si>
    <t xml:space="preserve">Capital expenditures</t>
  </si>
  <si>
    <t xml:space="preserve">Q3 2026 Guide vs. Actual</t>
  </si>
  <si>
    <t xml:space="preserve">Q3 2026 Guide</t>
  </si>
  <si>
    <t xml:space="preserve">Q3 2026 Actual</t>
  </si>
  <si>
    <t xml:space="preserve">Variance vs. Guide</t>
  </si>
  <si>
    <t xml:space="preserve">Postpaid net additions</t>
  </si>
  <si>
    <t xml:space="preserve">~250K</t>
  </si>
  <si>
    <t xml:space="preserve">~$19.3B (+6% YoY)</t>
  </si>
  <si>
    <t xml:space="preserve">~$9.4B (+8% YoY)</t>
  </si>
  <si>
    <t xml:space="preserve">Source: Company reports (3Q26 earnings release, investor factbook and earnings call), Bernstein analysis. Previous FY guidance, prior ~$77.0B service revenue figure and Q3 guide per prior Bernstein exhibit. Implied Q4 figures calculated on 'Guidance Detail' tab.</t>
  </si>
  <si>
    <t xml:space="preserve">TMUS 2026 guidance detail ($ in millions unless noted)</t>
  </si>
  <si>
    <t xml:space="preserve">Blue = hardcoded input (company reports / prior Bernstein exhibit); black = formula. Implied Q4 = FY guide less 9M26 actual.</t>
  </si>
  <si>
    <t xml:space="preserve">Prev Low</t>
  </si>
  <si>
    <t xml:space="preserve">Prev High</t>
  </si>
  <si>
    <t xml:space="preserve">Cur Low</t>
  </si>
  <si>
    <t xml:space="preserve">Cur High</t>
  </si>
  <si>
    <t xml:space="preserve">Prev Mid</t>
  </si>
  <si>
    <t xml:space="preserve">Cur Mid</t>
  </si>
  <si>
    <t xml:space="preserve">Δ Mid</t>
  </si>
  <si>
    <t xml:space="preserve">9M25A</t>
  </si>
  <si>
    <t xml:space="preserve">Q4'25A</t>
  </si>
  <si>
    <t xml:space="preserve">FY25A</t>
  </si>
  <si>
    <t xml:space="preserve">YoY @ Cur Mid</t>
  </si>
  <si>
    <t xml:space="preserve">9M26A</t>
  </si>
  <si>
    <t xml:space="preserve">Implied Q4 Low</t>
  </si>
  <si>
    <t xml:space="preserve">Implied Q4 High</t>
  </si>
  <si>
    <t xml:space="preserve">Implied Q4 Mid</t>
  </si>
  <si>
    <t xml:space="preserve">Implied Q4 YoY (mid)</t>
  </si>
  <si>
    <t xml:space="preserve">Source</t>
  </si>
  <si>
    <t xml:space="preserve">Postpaid net account additions (K)</t>
  </si>
  <si>
    <t xml:space="preserve">Release p.3; factbook p.20</t>
  </si>
  <si>
    <t xml:space="preserve">Prior guide ~$77.0B per prior exhibit; ~$76.8B per 3Q26 call (Osvaldik)</t>
  </si>
  <si>
    <t xml:space="preserve">Release p.3; factbook p.21</t>
  </si>
  <si>
    <t xml:space="preserve">Release p.3; cash purchases of PP&amp;E incl. capitalized interest</t>
  </si>
  <si>
    <t xml:space="preserve">9M26 ETR = income tax expense $3,004M / pre-tax income $12,202M (factbook p.17)</t>
  </si>
  <si>
    <t xml:space="preserve">Postpaid ARPA growth (YoY)</t>
  </si>
  <si>
    <t xml:space="preserve">~3.5% per 3Q26 call (Osvaldik), up from 2.5–3.0%; 9M26 YoY from ARPA block below</t>
  </si>
  <si>
    <t xml:space="preserve">Implied Q4'26 postpaid ARPA (approximation: simple average of quarterly ARPA, not account-weighted)</t>
  </si>
  <si>
    <t xml:space="preserve">Q1</t>
  </si>
  <si>
    <t xml:space="preserve">Q2</t>
  </si>
  <si>
    <t xml:space="preserve">Q3</t>
  </si>
  <si>
    <t xml:space="preserve">Q4</t>
  </si>
  <si>
    <t xml:space="preserve">2025 ARPA ($)</t>
  </si>
  <si>
    <t xml:space="preserve">2026 ARPA ($)</t>
  </si>
  <si>
    <t xml:space="preserve">YoY</t>
  </si>
  <si>
    <t xml:space="preserve">QoQ (Q4 vs Q3)</t>
  </si>
  <si>
    <t xml:space="preserve">9M average ARPA ($): 2025 | 2026</t>
  </si>
  <si>
    <t xml:space="preserve">Factbook p.20 (nine-month ARPA)</t>
  </si>
  <si>
    <t xml:space="preserve">Q3'26 guide vs actual</t>
  </si>
  <si>
    <t xml:space="preserve">Q3 Guide</t>
  </si>
  <si>
    <t xml:space="preserve">Q3 Actual</t>
  </si>
  <si>
    <t xml:space="preserve">Variance</t>
  </si>
  <si>
    <t xml:space="preserve">Q3'25A</t>
  </si>
  <si>
    <t xml:space="preserve">Guide YoY</t>
  </si>
  <si>
    <t xml:space="preserve">Actual YoY</t>
  </si>
  <si>
    <t xml:space="preserve">Postpaid net additions (K)</t>
  </si>
  <si>
    <t xml:space="preserve">Guide per prior Bernstein exhibit; actuals per 3Q26 release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</si>
</sst>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\K"/>
    <numFmt numFmtId="166" formatCode="\$0.0\B"/>
    <numFmt numFmtId="167" formatCode="@"/>
    <numFmt numFmtId="168" formatCode="\$0.00"/>
    <numFmt numFmtId="169" formatCode="\$0.00\B"/>
    <numFmt numFmtId="170" formatCode="#,##0"/>
    <numFmt numFmtId="171" formatCode="#,##0;\(#,##0\);\-"/>
    <numFmt numFmtId="172" formatCode="0.0%;\(0.0%\);\-"/>
    <numFmt numFmtId="173" formatCode="0.0%"/>
    <numFmt numFmtId="174" formatCode="\$0.00"/>
    <numFmt numFmtId="175" formatCode="\+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BFBFBF"/>
      </patternFill>
    </fill>
    <fill>
      <patternFill patternType="solid">
        <fgColor rgb="FFF4B183"/>
        <bgColor rgb="FFFF99CC"/>
      </patternFill>
    </fill>
    <fill>
      <patternFill patternType="solid">
        <fgColor rgb="FF92D050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5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39.75" hidden="false" customHeight="true" outlineLevel="0" collapsed="false">
      <c r="A5" s="5" t="s">
        <v>7</v>
      </c>
      <c r="B5" s="6" t="s">
        <v>8</v>
      </c>
      <c r="C5" s="6" t="s">
        <v>9</v>
      </c>
      <c r="D5" s="6" t="s">
        <v>10</v>
      </c>
      <c r="E5" s="7" t="s">
        <v>11</v>
      </c>
    </row>
    <row r="6" customFormat="false" ht="39.75" hidden="false" customHeight="true" outlineLevel="0" collapsed="false">
      <c r="A6" s="5" t="s">
        <v>12</v>
      </c>
      <c r="B6" s="6" t="s">
        <v>13</v>
      </c>
      <c r="C6" s="6" t="str">
        <f aca="false">"~$"&amp;TEXT('Guidance Detail'!D6/1000,"0.0")&amp;"B (+"&amp;TEXT('Guidance Detail'!L6,"0%")&amp;" YoY)"</f>
        <v>~$76.8B (+8% YoY)</v>
      </c>
      <c r="D6" s="8" t="str">
        <f aca="false">IF('Guidance Detail'!H6=0,"No change",IF('Guidance Detail'!H6&gt;0,"+","–")&amp;"$"&amp;TEXT(ABS('Guidance Detail'!H6),"#,##0")&amp;"M")</f>
        <v>–$200M</v>
      </c>
      <c r="E6" s="7" t="s">
        <v>14</v>
      </c>
    </row>
    <row r="7" customFormat="false" ht="39.75" hidden="false" customHeight="true" outlineLevel="0" collapsed="false">
      <c r="A7" s="5" t="s">
        <v>15</v>
      </c>
      <c r="B7" s="6" t="s">
        <v>16</v>
      </c>
      <c r="C7" s="6" t="s">
        <v>17</v>
      </c>
      <c r="D7" s="9" t="str">
        <f aca="false">"Raised (+"&amp;TEXT('Guidance Detail'!H12*10000,"0")&amp;"bps at midpoint)"</f>
        <v>Raised (+75bps at midpoint)</v>
      </c>
      <c r="E7" s="7" t="s">
        <v>18</v>
      </c>
    </row>
    <row r="8" customFormat="false" ht="39.75" hidden="false" customHeight="true" outlineLevel="0" collapsed="false">
      <c r="A8" s="5" t="s">
        <v>19</v>
      </c>
      <c r="B8" s="6" t="s">
        <v>20</v>
      </c>
      <c r="C8" s="6" t="str">
        <f aca="false">"$"&amp;TEXT('Guidance Detail'!D7/1000,"0.0#")&amp;"B – $"&amp;TEXT('Guidance Detail'!E7/1000,"0.0#")&amp;"B"&amp;" (+"&amp;TEXT('Guidance Detail'!L7,"0%")&amp;" YoY at midpoint)"</f>
        <v>$37.35B – $37.45B (+10% YoY at midpoint)</v>
      </c>
      <c r="D8" s="9" t="str">
        <f aca="false">IF('Guidance Detail'!H7=0,"No change",IF('Guidance Detail'!H7&gt;0,"+","–")&amp;"$"&amp;TEXT(ABS('Guidance Detail'!H7),"#,##0")&amp;"M at midpoint")</f>
        <v>+$100M at midpoint</v>
      </c>
      <c r="E8" s="7" t="s">
        <v>21</v>
      </c>
    </row>
    <row r="9" customFormat="false" ht="39.75" hidden="false" customHeight="true" outlineLevel="0" collapsed="false">
      <c r="A9" s="5" t="s">
        <v>22</v>
      </c>
      <c r="B9" s="6" t="s">
        <v>23</v>
      </c>
      <c r="C9" s="6" t="s">
        <v>23</v>
      </c>
      <c r="D9" s="6" t="s">
        <v>24</v>
      </c>
      <c r="E9" s="7" t="s">
        <v>25</v>
      </c>
    </row>
    <row r="10" customFormat="false" ht="39.75" hidden="false" customHeight="true" outlineLevel="0" collapsed="false">
      <c r="A10" s="5" t="s">
        <v>26</v>
      </c>
      <c r="B10" s="6" t="s">
        <v>27</v>
      </c>
      <c r="C10" s="6" t="str">
        <f aca="false">"$"&amp;TEXT('Guidance Detail'!D8/1000,"0.0#")&amp;"B – $"&amp;TEXT('Guidance Detail'!E8/1000,"0.0#")&amp;"B"</f>
        <v>$28.7B – $28.8B</v>
      </c>
      <c r="D10" s="9" t="str">
        <f aca="false">IF('Guidance Detail'!H8=0,"No change",IF('Guidance Detail'!H8&gt;0,"+","–")&amp;"$"&amp;TEXT(ABS('Guidance Detail'!H8),"#,##0")&amp;"M at midpoint")</f>
        <v>+$150M at midpoint</v>
      </c>
      <c r="E10" s="7" t="s">
        <v>28</v>
      </c>
    </row>
    <row r="11" customFormat="false" ht="39.75" hidden="false" customHeight="true" outlineLevel="0" collapsed="false">
      <c r="A11" s="5" t="s">
        <v>29</v>
      </c>
      <c r="B11" s="6" t="s">
        <v>30</v>
      </c>
      <c r="C11" s="6" t="str">
        <f aca="false">"$"&amp;TEXT('Guidance Detail'!D10/1000,"0.0#")&amp;"B – $"&amp;TEXT('Guidance Detail'!E10/1000,"0.0#")&amp;"B"</f>
        <v>$18.7B – $18.8B</v>
      </c>
      <c r="D11" s="9" t="str">
        <f aca="false">IF('Guidance Detail'!H10=0,"No change",IF('Guidance Detail'!H10&gt;0,"+","–")&amp;"$"&amp;TEXT(ABS('Guidance Detail'!H10),"#,##0")&amp;"M at midpoint")</f>
        <v>+$150M at midpoint</v>
      </c>
      <c r="E11" s="7" t="s">
        <v>31</v>
      </c>
    </row>
    <row r="12" customFormat="false" ht="39.75" hidden="false" customHeight="true" outlineLevel="0" collapsed="false">
      <c r="A12" s="5" t="s">
        <v>32</v>
      </c>
      <c r="B12" s="6" t="s">
        <v>33</v>
      </c>
      <c r="C12" s="6" t="s">
        <v>34</v>
      </c>
      <c r="D12" s="9" t="str">
        <f aca="false">"("&amp;TEXT(ABS('Guidance Detail'!H11)*10000,"0")&amp;") bps"</f>
        <v>(100) bps</v>
      </c>
      <c r="E12" s="7" t="s">
        <v>35</v>
      </c>
    </row>
    <row r="14" customFormat="false" ht="15" hidden="false" customHeight="false" outlineLevel="0" collapsed="false">
      <c r="A14" s="2" t="s">
        <v>36</v>
      </c>
      <c r="B14" s="3"/>
      <c r="C14" s="3"/>
      <c r="D14" s="3"/>
    </row>
    <row r="15" customFormat="false" ht="15" hidden="false" customHeight="false" outlineLevel="0" collapsed="false">
      <c r="A15" s="4" t="s">
        <v>2</v>
      </c>
      <c r="B15" s="4" t="s">
        <v>37</v>
      </c>
      <c r="C15" s="4" t="s">
        <v>38</v>
      </c>
      <c r="D15" s="4" t="s">
        <v>39</v>
      </c>
    </row>
    <row r="16" customFormat="false" ht="18" hidden="false" customHeight="true" outlineLevel="0" collapsed="false">
      <c r="A16" s="5" t="s">
        <v>7</v>
      </c>
      <c r="B16" s="6" t="str">
        <f aca="false">"~"&amp;TEXT('Guidance Detail'!P5,"0")&amp;"K"</f>
        <v>~232K</v>
      </c>
      <c r="C16" s="10" t="n">
        <f aca="false">'Guidance Detail'!J5</f>
        <v>261</v>
      </c>
      <c r="D16" s="6" t="str">
        <f aca="false">TEXT('Guidance Detail'!Q5,"0%;(0%)")</f>
        <v>(11%)</v>
      </c>
    </row>
    <row r="17" customFormat="false" ht="18" hidden="false" customHeight="true" outlineLevel="0" collapsed="false">
      <c r="A17" s="5" t="s">
        <v>12</v>
      </c>
      <c r="B17" s="6" t="str">
        <f aca="false">"~$"&amp;TEXT('Guidance Detail'!P6/1000,"0.0")&amp;"B"</f>
        <v>~$19.6B</v>
      </c>
      <c r="C17" s="11" t="n">
        <f aca="false">'Guidance Detail'!J6/1000</f>
        <v>18.702</v>
      </c>
      <c r="D17" s="6" t="str">
        <f aca="false">"+"&amp;TEXT('Guidance Detail'!Q6,"0%")</f>
        <v>+5%</v>
      </c>
    </row>
    <row r="18" customFormat="false" ht="18" hidden="false" customHeight="true" outlineLevel="0" collapsed="false">
      <c r="A18" s="5" t="s">
        <v>40</v>
      </c>
      <c r="B18" s="6" t="s">
        <v>41</v>
      </c>
      <c r="C18" s="12" t="s">
        <v>42</v>
      </c>
      <c r="D18" s="6" t="s">
        <v>43</v>
      </c>
    </row>
    <row r="19" customFormat="false" ht="18" hidden="false" customHeight="true" outlineLevel="0" collapsed="false">
      <c r="A19" s="5" t="s">
        <v>44</v>
      </c>
      <c r="B19" s="6" t="str">
        <f aca="false">"~$"&amp;TEXT('Guidance Detail'!E18,"0")</f>
        <v>~$156</v>
      </c>
      <c r="C19" s="13" t="n">
        <f aca="false">'Guidance Detail'!E17</f>
        <v>150.17</v>
      </c>
      <c r="D19" s="6" t="str">
        <f aca="false">"+"&amp;TEXT('Guidance Detail'!E19,"0%")&amp;" (QoQ "&amp;TEXT('Guidance Detail'!E20,"0.0%;(0.0%)")&amp;")"</f>
        <v>+4% (QoQ 0.2%)</v>
      </c>
    </row>
    <row r="20" customFormat="false" ht="18" hidden="false" customHeight="true" outlineLevel="0" collapsed="false">
      <c r="A20" s="5" t="s">
        <v>19</v>
      </c>
      <c r="B20" s="6" t="str">
        <f aca="false">"$"&amp;TEXT('Guidance Detail'!N7/1000,"0.00")&amp;"B – $"&amp;TEXT('Guidance Detail'!O7/1000,"0.00")&amp;"B"</f>
        <v>$8.95B – $9.05B</v>
      </c>
      <c r="C20" s="14" t="n">
        <f aca="false">'Guidance Detail'!J7/1000</f>
        <v>8.445</v>
      </c>
      <c r="D20" s="6" t="str">
        <f aca="false">"+"&amp;TEXT('Guidance Detail'!N7/'Guidance Detail'!J7-1,"0.0%")&amp;" to +"&amp;TEXT('Guidance Detail'!O7/'Guidance Detail'!J7-1,"0.0%")</f>
        <v>+6.0% to +7.2%</v>
      </c>
    </row>
    <row r="21" customFormat="false" ht="18" hidden="false" customHeight="true" outlineLevel="0" collapsed="false">
      <c r="A21" s="5" t="s">
        <v>45</v>
      </c>
      <c r="B21" s="6" t="str">
        <f aca="false">"~$"&amp;TEXT('Guidance Detail'!P9/1000,"0.0")&amp;"B"</f>
        <v>~$2.4B</v>
      </c>
      <c r="C21" s="11" t="n">
        <f aca="false">'Guidance Detail'!J9/1000</f>
        <v>2.469</v>
      </c>
      <c r="D21" s="6" t="str">
        <f aca="false">TEXT('Guidance Detail'!Q9,"0%;(0%)")</f>
        <v>(3%)</v>
      </c>
    </row>
    <row r="22" customFormat="false" ht="18" hidden="false" customHeight="true" outlineLevel="0" collapsed="false">
      <c r="A22" s="5" t="s">
        <v>29</v>
      </c>
      <c r="B22" s="6" t="str">
        <f aca="false">"$"&amp;TEXT('Guidance Detail'!N10/1000,"0.00")&amp;"B – $"&amp;TEXT('Guidance Detail'!O10/1000,"0.00")&amp;"B"</f>
        <v>$4.23B – $4.33B</v>
      </c>
      <c r="C22" s="14" t="n">
        <f aca="false">'Guidance Detail'!J10/1000</f>
        <v>4.185</v>
      </c>
      <c r="D22" s="6" t="str">
        <f aca="false">"+"&amp;TEXT('Guidance Detail'!N10/'Guidance Detail'!J10-1,"0.0%")&amp;" to +"&amp;TEXT('Guidance Detail'!O10/'Guidance Detail'!J10-1,"0.0%")</f>
        <v>+1.1% to +3.5%</v>
      </c>
    </row>
    <row r="24" customFormat="false" ht="15" hidden="false" customHeight="false" outlineLevel="0" collapsed="false">
      <c r="A24" s="2" t="s">
        <v>46</v>
      </c>
      <c r="B24" s="3"/>
      <c r="C24" s="3"/>
      <c r="D24" s="3"/>
    </row>
    <row r="25" customFormat="false" ht="15" hidden="false" customHeight="false" outlineLevel="0" collapsed="false">
      <c r="A25" s="4" t="s">
        <v>2</v>
      </c>
      <c r="B25" s="4" t="s">
        <v>47</v>
      </c>
      <c r="C25" s="4" t="s">
        <v>48</v>
      </c>
      <c r="D25" s="4" t="s">
        <v>49</v>
      </c>
    </row>
    <row r="26" customFormat="false" ht="15" hidden="false" customHeight="false" outlineLevel="0" collapsed="false">
      <c r="A26" s="5" t="s">
        <v>50</v>
      </c>
      <c r="B26" s="6" t="s">
        <v>51</v>
      </c>
      <c r="C26" s="6" t="str">
        <f aca="false">TEXT('Guidance Detail'!C26,"0")&amp;"K"</f>
        <v>274K</v>
      </c>
      <c r="D26" s="9" t="str">
        <f aca="false">"+"&amp;TEXT('Guidance Detail'!D26,"0")&amp;"K"</f>
        <v>+24K</v>
      </c>
    </row>
    <row r="27" customFormat="false" ht="15" hidden="false" customHeight="false" outlineLevel="0" collapsed="false">
      <c r="A27" s="5" t="s">
        <v>12</v>
      </c>
      <c r="B27" s="6" t="s">
        <v>52</v>
      </c>
      <c r="C27" s="6" t="str">
        <f aca="false">"$"&amp;TEXT('Guidance Detail'!C27/1000,"0.00")&amp;"B (+"&amp;TEXT('Guidance Detail'!G27,"0.0%")&amp;" YoY)"</f>
        <v>$19.38B (+6.2% YoY)</v>
      </c>
      <c r="D27" s="9" t="str">
        <f aca="false">"+$"&amp;TEXT('Guidance Detail'!D27,"0")&amp;"M"</f>
        <v>+$75M</v>
      </c>
    </row>
    <row r="28" customFormat="false" ht="15" hidden="false" customHeight="false" outlineLevel="0" collapsed="false">
      <c r="A28" s="5" t="s">
        <v>19</v>
      </c>
      <c r="B28" s="6" t="s">
        <v>53</v>
      </c>
      <c r="C28" s="6" t="str">
        <f aca="false">"$"&amp;TEXT('Guidance Detail'!C28/1000,"0.00")&amp;"B (+"&amp;TEXT('Guidance Detail'!G28,"0.0%")&amp;" YoY)"</f>
        <v>$9.62B (+10.8% YoY)</v>
      </c>
      <c r="D28" s="9" t="str">
        <f aca="false">"+$"&amp;TEXT('Guidance Detail'!D28,"0")&amp;"M"</f>
        <v>+$220M</v>
      </c>
    </row>
    <row r="30" customFormat="false" ht="25.5" hidden="false" customHeight="true" outlineLevel="0" collapsed="false">
      <c r="A30" s="15" t="s">
        <v>54</v>
      </c>
      <c r="B30" s="15"/>
      <c r="C30" s="15"/>
      <c r="D30" s="15"/>
      <c r="E30" s="15"/>
    </row>
  </sheetData>
  <mergeCells count="1"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1" min="2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6" min="14" style="0" width="13"/>
    <col collapsed="false" customWidth="true" hidden="false" outlineLevel="0" max="17" min="17" style="0" width="14"/>
    <col collapsed="false" customWidth="true" hidden="false" outlineLevel="0" max="18" min="18" style="0" width="60"/>
  </cols>
  <sheetData>
    <row r="1" customFormat="false" ht="15" hidden="false" customHeight="false" outlineLevel="0" collapsed="false">
      <c r="A1" s="16" t="s">
        <v>55</v>
      </c>
    </row>
    <row r="2" customFormat="false" ht="15" hidden="false" customHeight="false" outlineLevel="0" collapsed="false">
      <c r="A2" s="17" t="s">
        <v>56</v>
      </c>
    </row>
    <row r="4" customFormat="false" ht="22.35" hidden="false" customHeight="false" outlineLevel="0" collapsed="false">
      <c r="A4" s="18" t="s">
        <v>2</v>
      </c>
      <c r="B4" s="18" t="s">
        <v>57</v>
      </c>
      <c r="C4" s="18" t="s">
        <v>58</v>
      </c>
      <c r="D4" s="18" t="s">
        <v>59</v>
      </c>
      <c r="E4" s="18" t="s">
        <v>60</v>
      </c>
      <c r="F4" s="18" t="s">
        <v>61</v>
      </c>
      <c r="G4" s="18" t="s">
        <v>62</v>
      </c>
      <c r="H4" s="18" t="s">
        <v>63</v>
      </c>
      <c r="I4" s="18" t="s">
        <v>64</v>
      </c>
      <c r="J4" s="18" t="s">
        <v>65</v>
      </c>
      <c r="K4" s="18" t="s">
        <v>66</v>
      </c>
      <c r="L4" s="18" t="s">
        <v>67</v>
      </c>
      <c r="M4" s="18" t="s">
        <v>68</v>
      </c>
      <c r="N4" s="18" t="s">
        <v>69</v>
      </c>
      <c r="O4" s="18" t="s">
        <v>70</v>
      </c>
      <c r="P4" s="18" t="s">
        <v>71</v>
      </c>
      <c r="Q4" s="18" t="s">
        <v>72</v>
      </c>
      <c r="R4" s="18" t="s">
        <v>73</v>
      </c>
    </row>
    <row r="5" customFormat="false" ht="15" hidden="false" customHeight="false" outlineLevel="0" collapsed="false">
      <c r="A5" s="19" t="s">
        <v>74</v>
      </c>
      <c r="B5" s="20" t="n">
        <v>950</v>
      </c>
      <c r="C5" s="20" t="n">
        <v>1050</v>
      </c>
      <c r="D5" s="20" t="n">
        <v>1000</v>
      </c>
      <c r="E5" s="20" t="n">
        <v>1000</v>
      </c>
      <c r="F5" s="21" t="n">
        <f aca="false">AVERAGE(B5:C5)</f>
        <v>1000</v>
      </c>
      <c r="G5" s="21" t="n">
        <f aca="false">AVERAGE(D5:E5)</f>
        <v>1000</v>
      </c>
      <c r="H5" s="21" t="n">
        <f aca="false">G5-F5</f>
        <v>0</v>
      </c>
      <c r="I5" s="20" t="n">
        <v>919</v>
      </c>
      <c r="J5" s="20" t="n">
        <v>261</v>
      </c>
      <c r="K5" s="21" t="n">
        <f aca="false">I5+J5</f>
        <v>1180</v>
      </c>
      <c r="L5" s="22" t="n">
        <f aca="false">IF(K5=0,"",G5/K5-1)</f>
        <v>-0.152542372881356</v>
      </c>
      <c r="M5" s="20" t="n">
        <v>768</v>
      </c>
      <c r="N5" s="21" t="n">
        <f aca="false">D5-M5</f>
        <v>232</v>
      </c>
      <c r="O5" s="21" t="n">
        <f aca="false">E5-M5</f>
        <v>232</v>
      </c>
      <c r="P5" s="21" t="n">
        <f aca="false">AVERAGE(N5:O5)</f>
        <v>232</v>
      </c>
      <c r="Q5" s="22" t="n">
        <f aca="false">IF(J5=0,"",P5/J5-1)</f>
        <v>-0.111111111111111</v>
      </c>
      <c r="R5" s="23" t="s">
        <v>75</v>
      </c>
    </row>
    <row r="6" customFormat="false" ht="15" hidden="false" customHeight="false" outlineLevel="0" collapsed="false">
      <c r="A6" s="19" t="s">
        <v>12</v>
      </c>
      <c r="B6" s="20" t="n">
        <v>77000</v>
      </c>
      <c r="C6" s="20" t="n">
        <v>77000</v>
      </c>
      <c r="D6" s="20" t="n">
        <v>76800</v>
      </c>
      <c r="E6" s="20" t="n">
        <v>76800</v>
      </c>
      <c r="F6" s="21" t="n">
        <f aca="false">AVERAGE(B6:C6)</f>
        <v>77000</v>
      </c>
      <c r="G6" s="21" t="n">
        <f aca="false">AVERAGE(D6:E6)</f>
        <v>76800</v>
      </c>
      <c r="H6" s="21" t="n">
        <f aca="false">G6-F6</f>
        <v>-200</v>
      </c>
      <c r="I6" s="20" t="n">
        <v>52604</v>
      </c>
      <c r="J6" s="20" t="n">
        <v>18702</v>
      </c>
      <c r="K6" s="21" t="n">
        <f aca="false">I6+J6</f>
        <v>71306</v>
      </c>
      <c r="L6" s="22" t="n">
        <f aca="false">IF(K6=0,"",G6/K6-1)</f>
        <v>0.0770482147364877</v>
      </c>
      <c r="M6" s="20" t="n">
        <v>57189</v>
      </c>
      <c r="N6" s="21" t="n">
        <f aca="false">D6-M6</f>
        <v>19611</v>
      </c>
      <c r="O6" s="21" t="n">
        <f aca="false">E6-M6</f>
        <v>19611</v>
      </c>
      <c r="P6" s="21" t="n">
        <f aca="false">AVERAGE(N6:O6)</f>
        <v>19611</v>
      </c>
      <c r="Q6" s="22" t="n">
        <f aca="false">IF(J6=0,"",P6/J6-1)</f>
        <v>0.048604427333975</v>
      </c>
      <c r="R6" s="23" t="s">
        <v>76</v>
      </c>
    </row>
    <row r="7" customFormat="false" ht="15" hidden="false" customHeight="false" outlineLevel="0" collapsed="false">
      <c r="A7" s="19" t="s">
        <v>19</v>
      </c>
      <c r="B7" s="20" t="n">
        <v>37100</v>
      </c>
      <c r="C7" s="20" t="n">
        <v>37500</v>
      </c>
      <c r="D7" s="20" t="n">
        <v>37350</v>
      </c>
      <c r="E7" s="20" t="n">
        <v>37450</v>
      </c>
      <c r="F7" s="21" t="n">
        <f aca="false">AVERAGE(B7:C7)</f>
        <v>37300</v>
      </c>
      <c r="G7" s="21" t="n">
        <f aca="false">AVERAGE(D7:E7)</f>
        <v>37400</v>
      </c>
      <c r="H7" s="21" t="n">
        <f aca="false">G7-F7</f>
        <v>100</v>
      </c>
      <c r="I7" s="20" t="n">
        <v>25479</v>
      </c>
      <c r="J7" s="20" t="n">
        <v>8445</v>
      </c>
      <c r="K7" s="21" t="n">
        <f aca="false">I7+J7</f>
        <v>33924</v>
      </c>
      <c r="L7" s="22" t="n">
        <f aca="false">IF(K7=0,"",G7/K7-1)</f>
        <v>0.102464332036317</v>
      </c>
      <c r="M7" s="20" t="n">
        <v>28397</v>
      </c>
      <c r="N7" s="21" t="n">
        <f aca="false">D7-M7</f>
        <v>8953</v>
      </c>
      <c r="O7" s="21" t="n">
        <f aca="false">E7-M7</f>
        <v>9053</v>
      </c>
      <c r="P7" s="21" t="n">
        <f aca="false">AVERAGE(N7:O7)</f>
        <v>9003</v>
      </c>
      <c r="Q7" s="22" t="n">
        <f aca="false">IF(J7=0,"",P7/J7-1)</f>
        <v>0.0660746003552397</v>
      </c>
      <c r="R7" s="23" t="s">
        <v>77</v>
      </c>
    </row>
    <row r="8" customFormat="false" ht="15" hidden="false" customHeight="false" outlineLevel="0" collapsed="false">
      <c r="A8" s="19" t="s">
        <v>26</v>
      </c>
      <c r="B8" s="20" t="n">
        <v>28400</v>
      </c>
      <c r="C8" s="20" t="n">
        <v>28800</v>
      </c>
      <c r="D8" s="20" t="n">
        <v>28700</v>
      </c>
      <c r="E8" s="20" t="n">
        <v>28800</v>
      </c>
      <c r="F8" s="21" t="n">
        <f aca="false">AVERAGE(B8:C8)</f>
        <v>28600</v>
      </c>
      <c r="G8" s="21" t="n">
        <f aca="false">AVERAGE(D8:E8)</f>
        <v>28750</v>
      </c>
      <c r="H8" s="21" t="n">
        <f aca="false">G8-F8</f>
        <v>150</v>
      </c>
      <c r="I8" s="20" t="n">
        <v>21296</v>
      </c>
      <c r="J8" s="20" t="n">
        <v>6654</v>
      </c>
      <c r="K8" s="21" t="n">
        <f aca="false">I8+J8</f>
        <v>27950</v>
      </c>
      <c r="L8" s="22" t="n">
        <f aca="false">IF(K8=0,"",G8/K8-1)</f>
        <v>0.0286225402504472</v>
      </c>
      <c r="M8" s="20" t="n">
        <v>22063</v>
      </c>
      <c r="N8" s="21" t="n">
        <f aca="false">D8-M8</f>
        <v>6637</v>
      </c>
      <c r="O8" s="21" t="n">
        <f aca="false">E8-M8</f>
        <v>6737</v>
      </c>
      <c r="P8" s="21" t="n">
        <f aca="false">AVERAGE(N8:O8)</f>
        <v>6687</v>
      </c>
      <c r="Q8" s="22" t="n">
        <f aca="false">IF(J8=0,"",P8/J8-1)</f>
        <v>0.00495942290351659</v>
      </c>
      <c r="R8" s="23" t="s">
        <v>77</v>
      </c>
    </row>
    <row r="9" customFormat="false" ht="15" hidden="false" customHeight="false" outlineLevel="0" collapsed="false">
      <c r="A9" s="19" t="s">
        <v>45</v>
      </c>
      <c r="B9" s="20" t="n">
        <v>10000</v>
      </c>
      <c r="C9" s="20" t="n">
        <v>10000</v>
      </c>
      <c r="D9" s="20" t="n">
        <v>10000</v>
      </c>
      <c r="E9" s="20" t="n">
        <v>10000</v>
      </c>
      <c r="F9" s="21" t="n">
        <f aca="false">AVERAGE(B9:C9)</f>
        <v>10000</v>
      </c>
      <c r="G9" s="21" t="n">
        <f aca="false">AVERAGE(D9:E9)</f>
        <v>10000</v>
      </c>
      <c r="H9" s="21" t="n">
        <f aca="false">G9-F9</f>
        <v>0</v>
      </c>
      <c r="I9" s="20" t="n">
        <v>7486</v>
      </c>
      <c r="J9" s="20" t="n">
        <v>2469</v>
      </c>
      <c r="K9" s="21" t="n">
        <f aca="false">I9+J9</f>
        <v>9955</v>
      </c>
      <c r="L9" s="22" t="n">
        <f aca="false">IF(K9=0,"",G9/K9-1)</f>
        <v>0.00452034153691616</v>
      </c>
      <c r="M9" s="20" t="n">
        <v>7596</v>
      </c>
      <c r="N9" s="21" t="n">
        <f aca="false">D9-M9</f>
        <v>2404</v>
      </c>
      <c r="O9" s="21" t="n">
        <f aca="false">E9-M9</f>
        <v>2404</v>
      </c>
      <c r="P9" s="21" t="n">
        <f aca="false">AVERAGE(N9:O9)</f>
        <v>2404</v>
      </c>
      <c r="Q9" s="22" t="n">
        <f aca="false">IF(J9=0,"",P9/J9-1)</f>
        <v>-0.0263264479546375</v>
      </c>
      <c r="R9" s="23" t="s">
        <v>78</v>
      </c>
    </row>
    <row r="10" customFormat="false" ht="15" hidden="false" customHeight="false" outlineLevel="0" collapsed="false">
      <c r="A10" s="19" t="s">
        <v>29</v>
      </c>
      <c r="B10" s="20" t="n">
        <v>18400</v>
      </c>
      <c r="C10" s="20" t="n">
        <v>18800</v>
      </c>
      <c r="D10" s="20" t="n">
        <v>18700</v>
      </c>
      <c r="E10" s="20" t="n">
        <v>18800</v>
      </c>
      <c r="F10" s="21" t="n">
        <f aca="false">AVERAGE(B10:C10)</f>
        <v>18600</v>
      </c>
      <c r="G10" s="21" t="n">
        <f aca="false">AVERAGE(D10:E10)</f>
        <v>18750</v>
      </c>
      <c r="H10" s="21" t="n">
        <f aca="false">G10-F10</f>
        <v>150</v>
      </c>
      <c r="I10" s="20" t="n">
        <v>13810</v>
      </c>
      <c r="J10" s="20" t="n">
        <v>4185</v>
      </c>
      <c r="K10" s="21" t="n">
        <f aca="false">I10+J10</f>
        <v>17995</v>
      </c>
      <c r="L10" s="22" t="n">
        <f aca="false">IF(K10=0,"",G10/K10-1)</f>
        <v>0.0419560989163657</v>
      </c>
      <c r="M10" s="20" t="n">
        <v>14467</v>
      </c>
      <c r="N10" s="21" t="n">
        <f aca="false">D10-M10</f>
        <v>4233</v>
      </c>
      <c r="O10" s="21" t="n">
        <f aca="false">E10-M10</f>
        <v>4333</v>
      </c>
      <c r="P10" s="21" t="n">
        <f aca="false">AVERAGE(N10:O10)</f>
        <v>4283</v>
      </c>
      <c r="Q10" s="22" t="n">
        <f aca="false">IF(J10=0,"",P10/J10-1)</f>
        <v>0.0234169653524492</v>
      </c>
      <c r="R10" s="23" t="s">
        <v>77</v>
      </c>
    </row>
    <row r="11" customFormat="false" ht="15" hidden="false" customHeight="false" outlineLevel="0" collapsed="false">
      <c r="A11" s="19" t="s">
        <v>32</v>
      </c>
      <c r="B11" s="24" t="n">
        <v>0.25</v>
      </c>
      <c r="C11" s="24" t="n">
        <v>0.26</v>
      </c>
      <c r="D11" s="24" t="n">
        <v>0.24</v>
      </c>
      <c r="E11" s="24" t="n">
        <v>0.25</v>
      </c>
      <c r="F11" s="22" t="n">
        <f aca="false">AVERAGE(B11:C11)</f>
        <v>0.255</v>
      </c>
      <c r="G11" s="22" t="n">
        <f aca="false">AVERAGE(D11:E11)</f>
        <v>0.245</v>
      </c>
      <c r="H11" s="22" t="n">
        <f aca="false">G11-F11</f>
        <v>-0.01</v>
      </c>
      <c r="I11" s="25"/>
      <c r="J11" s="25"/>
      <c r="K11" s="25"/>
      <c r="L11" s="25"/>
      <c r="M11" s="22" t="n">
        <f aca="false">3004/12202</f>
        <v>0.246189149319784</v>
      </c>
      <c r="N11" s="25"/>
      <c r="O11" s="25"/>
      <c r="P11" s="25"/>
      <c r="Q11" s="25"/>
      <c r="R11" s="23" t="s">
        <v>79</v>
      </c>
    </row>
    <row r="12" customFormat="false" ht="15" hidden="false" customHeight="false" outlineLevel="0" collapsed="false">
      <c r="A12" s="19" t="s">
        <v>80</v>
      </c>
      <c r="B12" s="24" t="n">
        <v>0.025</v>
      </c>
      <c r="C12" s="24" t="n">
        <v>0.03</v>
      </c>
      <c r="D12" s="24" t="n">
        <v>0.035</v>
      </c>
      <c r="E12" s="24" t="n">
        <v>0.035</v>
      </c>
      <c r="F12" s="22" t="n">
        <f aca="false">AVERAGE(B12:C12)</f>
        <v>0.0275</v>
      </c>
      <c r="G12" s="22" t="n">
        <f aca="false">AVERAGE(D12:E12)</f>
        <v>0.035</v>
      </c>
      <c r="H12" s="22" t="n">
        <f aca="false">G12-F12</f>
        <v>0.0075</v>
      </c>
      <c r="I12" s="25"/>
      <c r="J12" s="25"/>
      <c r="K12" s="25"/>
      <c r="L12" s="25"/>
      <c r="M12" s="22" t="n">
        <f aca="false">C21/B21-1</f>
        <v>0.0335936448094789</v>
      </c>
      <c r="N12" s="25"/>
      <c r="O12" s="25"/>
      <c r="P12" s="25"/>
      <c r="Q12" s="25"/>
      <c r="R12" s="23" t="s">
        <v>81</v>
      </c>
    </row>
    <row r="15" customFormat="false" ht="15" hidden="false" customHeight="false" outlineLevel="0" collapsed="false">
      <c r="A15" s="26" t="s">
        <v>82</v>
      </c>
    </row>
    <row r="16" customFormat="false" ht="15" hidden="false" customHeight="false" outlineLevel="0" collapsed="false">
      <c r="A16" s="27"/>
      <c r="B16" s="27" t="s">
        <v>83</v>
      </c>
      <c r="C16" s="27" t="s">
        <v>84</v>
      </c>
      <c r="D16" s="27" t="s">
        <v>85</v>
      </c>
      <c r="E16" s="27" t="s">
        <v>86</v>
      </c>
    </row>
    <row r="17" customFormat="false" ht="15" hidden="false" customHeight="false" outlineLevel="0" collapsed="false">
      <c r="A17" s="19" t="s">
        <v>87</v>
      </c>
      <c r="B17" s="28" t="n">
        <v>146.22</v>
      </c>
      <c r="C17" s="28" t="n">
        <v>149.87</v>
      </c>
      <c r="D17" s="28" t="n">
        <v>149.44</v>
      </c>
      <c r="E17" s="28" t="n">
        <v>150.17</v>
      </c>
    </row>
    <row r="18" customFormat="false" ht="15" hidden="false" customHeight="false" outlineLevel="0" collapsed="false">
      <c r="A18" s="19" t="s">
        <v>88</v>
      </c>
      <c r="B18" s="28" t="n">
        <v>151.93</v>
      </c>
      <c r="C18" s="28" t="n">
        <v>152.91</v>
      </c>
      <c r="D18" s="28" t="n">
        <v>155.73</v>
      </c>
      <c r="E18" s="29" t="n">
        <f aca="false">AVERAGE(B17:E17)*(1+G12)*4-SUM(B18:D18)</f>
        <v>155.9795</v>
      </c>
    </row>
    <row r="19" customFormat="false" ht="15" hidden="false" customHeight="false" outlineLevel="0" collapsed="false">
      <c r="A19" s="19" t="s">
        <v>89</v>
      </c>
      <c r="B19" s="30" t="n">
        <f aca="false">B18/B17-1</f>
        <v>0.0390507454520586</v>
      </c>
      <c r="C19" s="30" t="n">
        <f aca="false">C18/C17-1</f>
        <v>0.0202842463468338</v>
      </c>
      <c r="D19" s="30" t="n">
        <f aca="false">D18/D17-1</f>
        <v>0.0420904710920771</v>
      </c>
      <c r="E19" s="30" t="n">
        <f aca="false">E18/E17-1</f>
        <v>0.0386861556902174</v>
      </c>
    </row>
    <row r="20" customFormat="false" ht="15" hidden="false" customHeight="false" outlineLevel="0" collapsed="false">
      <c r="A20" s="19" t="s">
        <v>90</v>
      </c>
      <c r="B20" s="19"/>
      <c r="C20" s="19"/>
      <c r="D20" s="19"/>
      <c r="E20" s="22" t="n">
        <f aca="false">E18/D18-1</f>
        <v>0.00160213189494596</v>
      </c>
    </row>
    <row r="21" customFormat="false" ht="15" hidden="false" customHeight="false" outlineLevel="0" collapsed="false">
      <c r="A21" s="19" t="s">
        <v>91</v>
      </c>
      <c r="B21" s="28" t="n">
        <v>148.54</v>
      </c>
      <c r="C21" s="28" t="n">
        <v>153.53</v>
      </c>
      <c r="D21" s="19" t="s">
        <v>92</v>
      </c>
      <c r="E21" s="19"/>
    </row>
    <row r="24" customFormat="false" ht="15" hidden="false" customHeight="false" outlineLevel="0" collapsed="false">
      <c r="A24" s="26" t="s">
        <v>93</v>
      </c>
    </row>
    <row r="25" customFormat="false" ht="15" hidden="false" customHeight="false" outlineLevel="0" collapsed="false">
      <c r="A25" s="27" t="s">
        <v>2</v>
      </c>
      <c r="B25" s="27" t="s">
        <v>94</v>
      </c>
      <c r="C25" s="27" t="s">
        <v>95</v>
      </c>
      <c r="D25" s="27" t="s">
        <v>96</v>
      </c>
      <c r="E25" s="27" t="s">
        <v>97</v>
      </c>
      <c r="F25" s="27" t="s">
        <v>98</v>
      </c>
      <c r="G25" s="27" t="s">
        <v>99</v>
      </c>
      <c r="H25" s="27" t="s">
        <v>73</v>
      </c>
    </row>
    <row r="26" customFormat="false" ht="15" hidden="false" customHeight="false" outlineLevel="0" collapsed="false">
      <c r="A26" s="19" t="s">
        <v>100</v>
      </c>
      <c r="B26" s="20" t="n">
        <v>250</v>
      </c>
      <c r="C26" s="20" t="n">
        <v>274</v>
      </c>
      <c r="D26" s="31" t="n">
        <f aca="false">C26-B26</f>
        <v>24</v>
      </c>
      <c r="E26" s="20" t="n">
        <v>396</v>
      </c>
      <c r="F26" s="22" t="n">
        <f aca="false">B26/E26-1</f>
        <v>-0.368686868686869</v>
      </c>
      <c r="G26" s="22" t="n">
        <f aca="false">C26/E26-1</f>
        <v>-0.308080808080808</v>
      </c>
      <c r="H26" s="23" t="s">
        <v>101</v>
      </c>
    </row>
    <row r="27" customFormat="false" ht="15" hidden="false" customHeight="false" outlineLevel="0" collapsed="false">
      <c r="A27" s="19" t="s">
        <v>12</v>
      </c>
      <c r="B27" s="20" t="n">
        <v>19300</v>
      </c>
      <c r="C27" s="20" t="n">
        <v>19375</v>
      </c>
      <c r="D27" s="31" t="n">
        <f aca="false">C27-B27</f>
        <v>75</v>
      </c>
      <c r="E27" s="20" t="n">
        <v>18241</v>
      </c>
      <c r="F27" s="22" t="n">
        <f aca="false">B27/E27-1</f>
        <v>0.0580560276300641</v>
      </c>
      <c r="G27" s="22" t="n">
        <f aca="false">C27/E27-1</f>
        <v>0.0621676443177457</v>
      </c>
      <c r="H27" s="23" t="s">
        <v>101</v>
      </c>
    </row>
    <row r="28" customFormat="false" ht="15" hidden="false" customHeight="false" outlineLevel="0" collapsed="false">
      <c r="A28" s="19" t="s">
        <v>19</v>
      </c>
      <c r="B28" s="20" t="n">
        <v>9400</v>
      </c>
      <c r="C28" s="20" t="n">
        <v>9620</v>
      </c>
      <c r="D28" s="31" t="n">
        <f aca="false">C28-B28</f>
        <v>220</v>
      </c>
      <c r="E28" s="20" t="n">
        <v>8680</v>
      </c>
      <c r="F28" s="22" t="n">
        <f aca="false">B28/E28-1</f>
        <v>0.0829493087557605</v>
      </c>
      <c r="G28" s="22" t="n">
        <f aca="false">C28/E28-1</f>
        <v>0.108294930875576</v>
      </c>
      <c r="H28" s="2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2026-10-28T23:25:00Z</dcterms:created>
  <dc:creator>openpyxl</dc:creator>
  <dc:description/>
  <dc:language>en-US</dc:language>
  <cp:lastModifiedBy/>
  <dcterms:modified xsi:type="dcterms:W3CDTF">2026-10-28T23:25:00Z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