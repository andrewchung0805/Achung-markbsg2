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C:\Users\Andrew Chung\Desktop\Work\"/>
    </mc:Choice>
  </mc:AlternateContent>
  <xr:revisionPtr revIDLastSave="0" documentId="13_ncr:1_{C6AB4210-2248-49E1-80C6-9D3B35D2100D}" xr6:coauthVersionLast="47" xr6:coauthVersionMax="47" xr10:uidLastSave="{00000000-0000-0000-0000-000000000000}"/>
  <bookViews>
    <workbookView xWindow="-120" yWindow="-120" windowWidth="38640" windowHeight="21120" xr2:uid="{00000000-000D-0000-FFFF-FFFF00000000}"/>
  </bookViews>
  <sheets>
    <sheet name="First look" sheetId="10" r:id="rId1"/>
    <sheet name="first look fill instructions" sheetId="11" r:id="rId2"/>
    <sheet name="Consunesus 10-25-26 -&gt;" sheetId="9" r:id="rId3"/>
    <sheet name="Cash flow" sheetId="8" r:id="rId4"/>
    <sheet name="Balance sheet" sheetId="7" r:id="rId5"/>
    <sheet name="Income statement" sheetId="6" r:id="rId6"/>
    <sheet name="Segment" sheetId="5" r:id="rId7"/>
    <sheet name="Wireline" sheetId="4" r:id="rId8"/>
    <sheet name="Wireless" sheetId="3" r:id="rId9"/>
    <sheet name="Business" sheetId="2" r:id="rId10"/>
    <sheet name="Consumer" sheetId="1" r:id="rId1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0" l="1"/>
  <c r="E8" i="10"/>
  <c r="D26" i="10"/>
  <c r="G26" i="10" s="1"/>
  <c r="C26" i="10"/>
  <c r="B26" i="10"/>
  <c r="F26" i="10" s="1"/>
  <c r="D25" i="10"/>
  <c r="G25" i="10" s="1"/>
  <c r="C25" i="10"/>
  <c r="B25" i="10"/>
  <c r="F25" i="10" s="1"/>
  <c r="F24" i="10"/>
  <c r="D24" i="10"/>
  <c r="G24" i="10" s="1"/>
  <c r="C24" i="10"/>
  <c r="B24" i="10"/>
  <c r="F23" i="10"/>
  <c r="G23" i="10"/>
  <c r="D23" i="10"/>
  <c r="C23" i="10"/>
  <c r="B23" i="10"/>
  <c r="F22" i="10"/>
  <c r="D22" i="10"/>
  <c r="G22" i="10" s="1"/>
  <c r="C22" i="10"/>
  <c r="B22" i="10"/>
  <c r="D21" i="10"/>
  <c r="G21" i="10" s="1"/>
  <c r="C21" i="10"/>
  <c r="B21" i="10"/>
  <c r="F21" i="10" s="1"/>
  <c r="F18" i="10"/>
  <c r="G18" i="10"/>
  <c r="D18" i="10"/>
  <c r="C18" i="10"/>
  <c r="B18" i="10"/>
  <c r="E17" i="10"/>
  <c r="E16" i="10"/>
  <c r="D14" i="10"/>
  <c r="C14" i="10"/>
  <c r="C17" i="10" s="1"/>
  <c r="B14" i="10"/>
  <c r="D13" i="10"/>
  <c r="G13" i="10" s="1"/>
  <c r="C13" i="10"/>
  <c r="B13" i="10"/>
  <c r="F12" i="10"/>
  <c r="G12" i="10"/>
  <c r="D12" i="10"/>
  <c r="D15" i="10" s="1"/>
  <c r="C12" i="10"/>
  <c r="B12" i="10"/>
  <c r="D10" i="10"/>
  <c r="G10" i="10" s="1"/>
  <c r="C10" i="10"/>
  <c r="B10" i="10"/>
  <c r="F10" i="10" s="1"/>
  <c r="D9" i="10"/>
  <c r="G9" i="10" s="1"/>
  <c r="C9" i="10"/>
  <c r="B9" i="10"/>
  <c r="F9" i="10" s="1"/>
  <c r="D8" i="10"/>
  <c r="G8" i="10" s="1"/>
  <c r="C8" i="10"/>
  <c r="B8" i="10"/>
  <c r="F8" i="10" s="1"/>
  <c r="D6" i="10"/>
  <c r="G6" i="10" s="1"/>
  <c r="C6" i="10"/>
  <c r="B6" i="10"/>
  <c r="F6" i="10" s="1"/>
  <c r="D5" i="10"/>
  <c r="G5" i="10" s="1"/>
  <c r="C5" i="10"/>
  <c r="B5" i="10"/>
  <c r="F5" i="10" s="1"/>
  <c r="D4" i="10"/>
  <c r="C4" i="10"/>
  <c r="B4" i="10"/>
  <c r="F4" i="10" s="1"/>
  <c r="D3" i="10"/>
  <c r="G3" i="10" s="1"/>
  <c r="C3" i="10"/>
  <c r="B3" i="10"/>
  <c r="F3" i="10" s="1"/>
  <c r="G15" i="10" l="1"/>
  <c r="F15" i="10"/>
  <c r="C15" i="10"/>
  <c r="B15" i="10"/>
  <c r="C16" i="10"/>
  <c r="G14" i="10"/>
  <c r="D17" i="10"/>
  <c r="F14" i="10"/>
  <c r="B17" i="10"/>
  <c r="D16" i="10"/>
  <c r="G4" i="10"/>
  <c r="B16" i="10"/>
  <c r="F16" i="10" s="1"/>
  <c r="F13" i="10"/>
  <c r="G17" i="10"/>
  <c r="F17" i="10"/>
  <c r="G1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Chung</author>
  </authors>
  <commentList>
    <comment ref="E3" authorId="0" shapeId="0" xr:uid="{5D14AE2C-06CC-4B7C-9F15-336B68F678C7}">
      <text>
        <r>
          <rPr>
            <b/>
            <sz val="9"/>
            <color indexed="81"/>
            <rFont val="Tahoma"/>
            <charset val="1"/>
          </rPr>
          <t>Andrew Chung:</t>
        </r>
        <r>
          <rPr>
            <sz val="9"/>
            <color indexed="81"/>
            <rFont val="Tahoma"/>
            <charset val="1"/>
          </rPr>
          <t xml:space="preserve">
Source: VZ 3Q26 Financial Statements (vz_3q26_fs_10262026.pdf), p.1, Condensed Consolidated Statements of Income – Total Operating Revenues $34,313M (3 mos. ended 9/30/26).</t>
        </r>
      </text>
    </comment>
    <comment ref="E4" authorId="0" shapeId="0" xr:uid="{FC0B2B21-EC39-4880-8D50-780140957F7C}">
      <text>
        <r>
          <rPr>
            <b/>
            <sz val="9"/>
            <color indexed="81"/>
            <rFont val="Tahoma"/>
            <charset val="1"/>
          </rPr>
          <t>Andrew Chung:</t>
        </r>
        <r>
          <rPr>
            <sz val="9"/>
            <color indexed="81"/>
            <rFont val="Tahoma"/>
            <charset val="1"/>
          </rPr>
          <t xml:space="preserve">
Source: VZ 3Q26 Financial Statements, p.5, Consumer – Selected Financial Results – Total Operating Revenues $26,432M.</t>
        </r>
      </text>
    </comment>
    <comment ref="E5" authorId="0" shapeId="0" xr:uid="{5327778A-9441-4C48-8C44-0506126CB98C}">
      <text>
        <r>
          <rPr>
            <b/>
            <sz val="9"/>
            <color indexed="81"/>
            <rFont val="Tahoma"/>
            <charset val="1"/>
          </rPr>
          <t>Andrew Chung:</t>
        </r>
        <r>
          <rPr>
            <sz val="9"/>
            <color indexed="81"/>
            <rFont val="Tahoma"/>
            <charset val="1"/>
          </rPr>
          <t xml:space="preserve">
Source: VZ 3Q26 Financial Statements, p.6, Business – Selected Financial Results – Total Operating Revenues $7,023M. Note: 3Q25 recast for move of international wireline/managed network services to Corporate &amp; other (2Q26); 3Q25 recast value $6,843M matches column B.</t>
        </r>
      </text>
    </comment>
    <comment ref="E6" authorId="0" shapeId="0" xr:uid="{A43DC4EF-3AAC-4454-8676-D87AF842D571}">
      <text>
        <r>
          <rPr>
            <b/>
            <sz val="9"/>
            <color indexed="81"/>
            <rFont val="Tahoma"/>
            <charset val="1"/>
          </rPr>
          <t>Andrew Chung:</t>
        </r>
        <r>
          <rPr>
            <sz val="9"/>
            <color indexed="81"/>
            <rFont val="Tahoma"/>
            <charset val="1"/>
          </rPr>
          <t xml:space="preserve">
Source: VZ 3Q26 Financial Statements, p.1, Income Statement – Wireless equipment revenues $5,116M (ties to Consumer $4,277M p.5 + Business $839M p.6).</t>
        </r>
      </text>
    </comment>
    <comment ref="E8" authorId="0" shapeId="0" xr:uid="{3F6021EF-4932-4F14-B344-AB3711D17D4E}">
      <text>
        <r>
          <rPr>
            <b/>
            <sz val="9"/>
            <color indexed="81"/>
            <rFont val="Tahoma"/>
            <charset val="1"/>
          </rPr>
          <t>Andrew Chung:</t>
        </r>
        <r>
          <rPr>
            <sz val="9"/>
            <color indexed="81"/>
            <rFont val="Tahoma"/>
            <charset val="1"/>
          </rPr>
          <t xml:space="preserve">
Formula: Consumer + Business mobility &amp; broadband service revenue (same build as consensus tab Segment!29; 3Q25 $19,096M + $3,743M = $22,839M = B8). Consolidated M&amp;BB service revenue not separately shown in the 3Q26 FS document. Sources: VZ 3Q26 Financial Statements p.5 &amp; p.6.</t>
        </r>
      </text>
    </comment>
    <comment ref="E9" authorId="0" shapeId="0" xr:uid="{F6FF2F0B-F85A-4A26-8434-7449155B86BA}">
      <text>
        <r>
          <rPr>
            <b/>
            <sz val="9"/>
            <color indexed="81"/>
            <rFont val="Tahoma"/>
            <charset val="1"/>
          </rPr>
          <t>Andrew Chung:</t>
        </r>
        <r>
          <rPr>
            <sz val="9"/>
            <color indexed="81"/>
            <rFont val="Tahoma"/>
            <charset val="1"/>
          </rPr>
          <t xml:space="preserve">
Source: VZ 3Q26 Financial Statements, p.5, Consumer table – Mobility and broadband service $19,777M.</t>
        </r>
      </text>
    </comment>
    <comment ref="E10" authorId="0" shapeId="0" xr:uid="{82E95C34-8E52-42A7-A593-E7706806F9CD}">
      <text>
        <r>
          <rPr>
            <b/>
            <sz val="9"/>
            <color indexed="81"/>
            <rFont val="Tahoma"/>
            <charset val="1"/>
          </rPr>
          <t>Andrew Chung:</t>
        </r>
        <r>
          <rPr>
            <sz val="9"/>
            <color indexed="81"/>
            <rFont val="Tahoma"/>
            <charset val="1"/>
          </rPr>
          <t xml:space="preserve">
Source: VZ 3Q26 Financial Statements, p.6, Business table – Mobility and broadband service $3,713M.</t>
        </r>
      </text>
    </comment>
    <comment ref="E12" authorId="0" shapeId="0" xr:uid="{C2AB48CA-9ADD-463E-AB17-455E475667A7}">
      <text>
        <r>
          <rPr>
            <b/>
            <sz val="9"/>
            <color indexed="81"/>
            <rFont val="Tahoma"/>
            <charset val="1"/>
          </rPr>
          <t>Source: VZ 3Q26 earnings press release excerpt (screenshot supplied by user in chat, 10/26/2026; page not shown): 'consolidated Adjusted EBITDA of $13.8 billion, up 8.0 percent year-over-year'. PRECISION: disclosed only to $0.1B (true value ~$13.75-13.85B); replace with the $M figure from the non-GAAP reconciliation when available. Cross-checks: 13.8/12.775 = +8.0% YoY (matches release); NI $5.3B +5.2% matches FS p.1, which confirms the excerpt is 3Q26.</t>
        </r>
      </text>
    </comment>
    <comment ref="E13" authorId="0" shapeId="0" xr:uid="{8029CCBF-63A4-4A6D-975A-CB3A740B8213}">
      <text>
        <r>
          <rPr>
            <b/>
            <sz val="9"/>
            <color indexed="81"/>
            <rFont val="Tahoma"/>
            <charset val="1"/>
          </rPr>
          <t>Andrew Chung:</t>
        </r>
        <r>
          <rPr>
            <sz val="9"/>
            <color indexed="81"/>
            <rFont val="Tahoma"/>
            <charset val="1"/>
          </rPr>
          <t xml:space="preserve">
Source: VZ 3Q26 Financial Statements, p.5, Consumer table – Segment EBITDA (non-GAAP) $11,965M; reported Segment EBITDA margin 45.3%.</t>
        </r>
      </text>
    </comment>
    <comment ref="E14" authorId="0" shapeId="0" xr:uid="{01FF7D99-D7E4-4E9E-921D-1412A8246581}">
      <text>
        <r>
          <rPr>
            <b/>
            <sz val="9"/>
            <color indexed="81"/>
            <rFont val="Tahoma"/>
            <charset val="1"/>
          </rPr>
          <t>Andrew Chung:</t>
        </r>
        <r>
          <rPr>
            <sz val="9"/>
            <color indexed="81"/>
            <rFont val="Tahoma"/>
            <charset val="1"/>
          </rPr>
          <t xml:space="preserve">
Source: VZ 3Q26 Financial Statements, p.6, Business table – Segment EBITDA (non-GAAP) $1,941M; reported Segment EBITDA margin 27.6%.</t>
        </r>
      </text>
    </comment>
    <comment ref="E18" authorId="0" shapeId="0" xr:uid="{146B51D0-F8CC-40BD-9AB0-0E317B3808C4}">
      <text>
        <r>
          <rPr>
            <b/>
            <sz val="9"/>
            <color indexed="81"/>
            <rFont val="Tahoma"/>
            <charset val="1"/>
          </rPr>
          <t>Source: VZ 3Q26 earnings press release excerpt (screenshot supplied by user in chat, 10/26/2026; page not shown): 'Adjusted EPS of $1.31, up 8.3 percent year-over-year'. Cross-checks: 1.31/1.21 = +8.3% YoY (matches); GAAP EPS $1.25 +6.8% matches FS p.1.</t>
        </r>
      </text>
    </comment>
    <comment ref="E21" authorId="0" shapeId="0" xr:uid="{B4B62083-0077-464F-818D-F0CECA8F38A7}">
      <text>
        <r>
          <rPr>
            <b/>
            <sz val="9"/>
            <color indexed="81"/>
            <rFont val="Tahoma"/>
            <charset val="1"/>
          </rPr>
          <t>Andrew Chung:</t>
        </r>
        <r>
          <rPr>
            <sz val="9"/>
            <color indexed="81"/>
            <rFont val="Tahoma"/>
            <charset val="1"/>
          </rPr>
          <t xml:space="preserve">
Source: VZ 3Q26 Financial Statements, p.7, Total Operating Statistics – Net Additions Detail – Wireless retail postpaid 231K. FS does not split organic vs. acquired; reported 3Q25 figure (36K) equals the consensus-tab organic figure, and the change in ending connections (126,831K vs 126,619K in 2Q26 = +212K) implies ~-19K of base adjustments excluded from 231K – so 231K treated as organic.</t>
        </r>
      </text>
    </comment>
    <comment ref="E22" authorId="0" shapeId="0" xr:uid="{21336E56-3388-4628-9E79-560025EC47E5}">
      <text>
        <r>
          <rPr>
            <b/>
            <sz val="9"/>
            <color indexed="81"/>
            <rFont val="Tahoma"/>
            <charset val="1"/>
          </rPr>
          <t>Andrew Chung:</t>
        </r>
        <r>
          <rPr>
            <sz val="9"/>
            <color indexed="81"/>
            <rFont val="Tahoma"/>
            <charset val="1"/>
          </rPr>
          <t xml:space="preserve">
Source: VZ 3Q26 Financial Statements, p.7, Net Additions Detail – Wireless retail postpaid phone 406K (reported consolidated Consumer + Business; segment split not disclosed in this document). DEFINITION GAP: columns B–D = Consumer organic + Business organic from consensus tabs (e.g. 2Q26 C22 = 165K vs 184K reported).</t>
        </r>
      </text>
    </comment>
    <comment ref="E23" authorId="0" shapeId="0" xr:uid="{06E74283-873C-496E-9654-32A36BE258DB}">
      <text>
        <r>
          <rPr>
            <b/>
            <sz val="9"/>
            <color indexed="81"/>
            <rFont val="Tahoma"/>
            <charset val="1"/>
          </rPr>
          <t>Andrew Chung:</t>
        </r>
        <r>
          <rPr>
            <sz val="9"/>
            <color indexed="81"/>
            <rFont val="Tahoma"/>
            <charset val="1"/>
          </rPr>
          <t xml:space="preserve">
Source: VZ 3Q26 Financial Statements, p.7, Net Additions Detail – FWA broadband 159K. Closest to organic definition (Wireless!89): change in ending FWA connections 6,369K vs 6,208K = +161K implies ~+2K adjustment excluded.</t>
        </r>
      </text>
    </comment>
    <comment ref="E24" authorId="0" shapeId="0" xr:uid="{EB5AB6D4-4D47-440C-9EA8-D80CD52C3F7B}">
      <text>
        <r>
          <rPr>
            <b/>
            <sz val="9"/>
            <color indexed="81"/>
            <rFont val="Tahoma"/>
            <charset val="1"/>
          </rPr>
          <t>Andrew Chung:</t>
        </r>
        <r>
          <rPr>
            <sz val="9"/>
            <color indexed="81"/>
            <rFont val="Tahoma"/>
            <charset val="1"/>
          </rPr>
          <t xml:space="preserve">
Source: VZ 3Q26 Financial Statements, p.7, Net Additions Detail – Fiber broadband 155K. Verizon reports 'Fiber broadband' (incl. acquired fiber base), not 'Fios Internet'; matches consensus source Wireline!40 'Internal/organic Net adds – Fiber broadband'. Table label 'Fios Internet' is legacy.</t>
        </r>
      </text>
    </comment>
    <comment ref="E25" authorId="0" shapeId="0" xr:uid="{DAF4A17C-F105-4B19-8FA0-12B997DE3E7E}">
      <text>
        <r>
          <rPr>
            <b/>
            <sz val="9"/>
            <color indexed="81"/>
            <rFont val="Tahoma"/>
            <charset val="1"/>
          </rPr>
          <t>Andrew Chung:</t>
        </r>
        <r>
          <rPr>
            <sz val="9"/>
            <color indexed="81"/>
            <rFont val="Tahoma"/>
            <charset val="1"/>
          </rPr>
          <t xml:space="preserve">
Source: VZ 3Q26 Financial Statements, p.7, Churn Detail – Wireless retail postpaid phone 0.94% (reported, total retail). Column B–D are derived from consensus-tab segment disconnects / avg subs (3Q25 B25 0.979% vs 0.98% reported).</t>
        </r>
      </text>
    </comment>
    <comment ref="E26" authorId="0" shapeId="0" xr:uid="{74DC0954-1FA7-4FD1-BDE6-01E905B9739E}">
      <text>
        <r>
          <rPr>
            <b/>
            <sz val="9"/>
            <color indexed="81"/>
            <rFont val="Tahoma"/>
            <charset val="1"/>
          </rPr>
          <t>Andrew Chung:</t>
        </r>
        <r>
          <rPr>
            <sz val="9"/>
            <color indexed="81"/>
            <rFont val="Tahoma"/>
            <charset val="1"/>
          </rPr>
          <t xml:space="preserve">
Source: VZ 3Q26 Financial Statements, p.7, Churn Detail – Wireless retail core prepaid 3.80% (excludes SafeLink). Same basis as Wireless!37 (3Q25 3.73% matches).</t>
        </r>
      </text>
    </comment>
  </commentList>
</comments>
</file>

<file path=xl/sharedStrings.xml><?xml version="1.0" encoding="utf-8"?>
<sst xmlns="http://schemas.openxmlformats.org/spreadsheetml/2006/main" count="2311" uniqueCount="802">
  <si>
    <t>NYSE:VZ (MI KEY: 4057229; SPCIQ KEY: 415798)</t>
  </si>
  <si>
    <t>Visible Alpha</t>
  </si>
  <si>
    <t>Period Type : Fiscal Quarter, Fiscal Halves, Fiscal Year</t>
  </si>
  <si>
    <t>Period Start : 2025</t>
  </si>
  <si>
    <t>Period End : 2030</t>
  </si>
  <si>
    <t>Currency  : Reported</t>
  </si>
  <si>
    <t>Consensus View : Mean</t>
  </si>
  <si>
    <t>As Of: 10/25/2026</t>
  </si>
  <si>
    <t xml:space="preserve">All numbers in $M unless otherwise indicated </t>
  </si>
  <si>
    <t xml:space="preserve">FQ1 2025A </t>
  </si>
  <si>
    <t xml:space="preserve">FQ2 2025A </t>
  </si>
  <si>
    <t xml:space="preserve">FQ3 2025A </t>
  </si>
  <si>
    <t xml:space="preserve">FQ4 2025A </t>
  </si>
  <si>
    <t xml:space="preserve">FY2025A </t>
  </si>
  <si>
    <t xml:space="preserve">FQ1 2026A </t>
  </si>
  <si>
    <t xml:space="preserve">FQ2 2026A </t>
  </si>
  <si>
    <t xml:space="preserve">FQ3 2026E </t>
  </si>
  <si>
    <t xml:space="preserve">FQ4 2026E </t>
  </si>
  <si>
    <t xml:space="preserve">FY2026E </t>
  </si>
  <si>
    <t xml:space="preserve">FQ1 2027E </t>
  </si>
  <si>
    <t xml:space="preserve">FQ2 2027E </t>
  </si>
  <si>
    <t xml:space="preserve">FQ3 2027E </t>
  </si>
  <si>
    <t xml:space="preserve">FQ4 2027E </t>
  </si>
  <si>
    <t xml:space="preserve">FY2027E </t>
  </si>
  <si>
    <t xml:space="preserve">FQ1 2028E </t>
  </si>
  <si>
    <t xml:space="preserve">FQ2 2028E </t>
  </si>
  <si>
    <t xml:space="preserve">FQ3 2028E </t>
  </si>
  <si>
    <t xml:space="preserve">FQ4 2028E </t>
  </si>
  <si>
    <t xml:space="preserve">FY2028E </t>
  </si>
  <si>
    <t xml:space="preserve">FQ1 2029E </t>
  </si>
  <si>
    <t xml:space="preserve">FQ2 2029E </t>
  </si>
  <si>
    <t xml:space="preserve">FQ3 2029E </t>
  </si>
  <si>
    <t xml:space="preserve">FQ4 2029E </t>
  </si>
  <si>
    <t xml:space="preserve">FY2029E </t>
  </si>
  <si>
    <t xml:space="preserve">FQ1 2030E </t>
  </si>
  <si>
    <t xml:space="preserve">FQ2 2030E </t>
  </si>
  <si>
    <t xml:space="preserve">FQ3 2030E </t>
  </si>
  <si>
    <t xml:space="preserve">FQ4 2030E </t>
  </si>
  <si>
    <t xml:space="preserve">FY2030E </t>
  </si>
  <si>
    <t>Number of Contributors Available</t>
  </si>
  <si>
    <t>20 of 20</t>
  </si>
  <si>
    <t>13 of 20</t>
  </si>
  <si>
    <t>12 of 20</t>
  </si>
  <si>
    <t>7 of 20</t>
  </si>
  <si>
    <t>18 of 20</t>
  </si>
  <si>
    <t>5 of 20</t>
  </si>
  <si>
    <t>14 of 20</t>
  </si>
  <si>
    <t>Wireless retail postpaid</t>
  </si>
  <si>
    <t xml:space="preserve">            Gross adds - Wireless Retail postpaid - Consumer(K#)</t>
  </si>
  <si>
    <t xml:space="preserve">            Churn - Wireless Retail postpaid - Consumer(%)</t>
  </si>
  <si>
    <t>1.13%</t>
  </si>
  <si>
    <t>1.12%</t>
  </si>
  <si>
    <t>1.21%</t>
  </si>
  <si>
    <t>1.14%</t>
  </si>
  <si>
    <t>1.16%</t>
  </si>
  <si>
    <t>1.10%</t>
  </si>
  <si>
    <t>1.04%</t>
  </si>
  <si>
    <t>1.07%</t>
  </si>
  <si>
    <t>1.09%</t>
  </si>
  <si>
    <t>1.05%</t>
  </si>
  <si>
    <t>1.08%</t>
  </si>
  <si>
    <t>1.11%</t>
  </si>
  <si>
    <t>1.06%</t>
  </si>
  <si>
    <t xml:space="preserve">            Disconnects - Wireless Retail postpaid - Consumer(K#)</t>
  </si>
  <si>
    <t xml:space="preserve">        Internal/Organic net adds - Wireless Retail postpaid - Consumer(K#)</t>
  </si>
  <si>
    <t xml:space="preserve">        Acquired net adds - Wireless Retail postpaid - Consumer(K#)</t>
  </si>
  <si>
    <t>-</t>
  </si>
  <si>
    <t xml:space="preserve">    Net adds - Wireless Retail postpaid - Consumer(K#)</t>
  </si>
  <si>
    <t xml:space="preserve">    Ending subscribers - Wireless Retail postpaid - Consumer(K#)</t>
  </si>
  <si>
    <t xml:space="preserve">    Average subscribers - Wireless Retail postpaid - Consumer(K#)</t>
  </si>
  <si>
    <t xml:space="preserve">    ARPU - Wireless Retail service postpaid - Consumer($)</t>
  </si>
  <si>
    <t xml:space="preserve">    Ending accounts - Wireless Retail postpaid - Consumer(K#)</t>
  </si>
  <si>
    <t xml:space="preserve">    Average accounts - Wireless Retail postpaid - Consumer(K#)</t>
  </si>
  <si>
    <t xml:space="preserve">    ARPA - Wireless Retail postpaid - Consumer($)</t>
  </si>
  <si>
    <t xml:space="preserve">    Consumer postpaid connections per account - Consumer($)</t>
  </si>
  <si>
    <t xml:space="preserve">    Postpaid service revenue - Consumer</t>
  </si>
  <si>
    <t xml:space="preserve"> </t>
  </si>
  <si>
    <t>Equipment revenue</t>
  </si>
  <si>
    <t xml:space="preserve">            Wireless retail postpaid upgrade rate - Consumer(%)</t>
  </si>
  <si>
    <t>3.00%</t>
  </si>
  <si>
    <t>4.00%</t>
  </si>
  <si>
    <t>3.60%</t>
  </si>
  <si>
    <t>5.00%</t>
  </si>
  <si>
    <t>15.57%</t>
  </si>
  <si>
    <t>3.22%</t>
  </si>
  <si>
    <t>3.04%</t>
  </si>
  <si>
    <t>3.20%</t>
  </si>
  <si>
    <t>4.58%</t>
  </si>
  <si>
    <t>13.99%</t>
  </si>
  <si>
    <t>3.32%</t>
  </si>
  <si>
    <t>3.24%</t>
  </si>
  <si>
    <t>3.18%</t>
  </si>
  <si>
    <t>4.51%</t>
  </si>
  <si>
    <t>14.07%</t>
  </si>
  <si>
    <t>3.30%</t>
  </si>
  <si>
    <t>3.42%</t>
  </si>
  <si>
    <t>3.17%</t>
  </si>
  <si>
    <t>4.44%</t>
  </si>
  <si>
    <t>14.02%</t>
  </si>
  <si>
    <t>3.40%</t>
  </si>
  <si>
    <t>2.90%</t>
  </si>
  <si>
    <t>4.23%</t>
  </si>
  <si>
    <t>13.59%</t>
  </si>
  <si>
    <t>13.54%</t>
  </si>
  <si>
    <t xml:space="preserve">            Total upgrade - Wireless Retail postpaid - Consumer(K#)</t>
  </si>
  <si>
    <t xml:space="preserve">        Total devices - Wireless Retail postpaid - Consumer(K#)</t>
  </si>
  <si>
    <t xml:space="preserve">        Equipment revenue per device sold - Wireless Retail postpaid - Consumer($)</t>
  </si>
  <si>
    <t xml:space="preserve">    Wireless equipment revenue - Consumer</t>
  </si>
  <si>
    <t>Wireless retail prepaid</t>
  </si>
  <si>
    <t xml:space="preserve">            Gross adds - Wireless Retail prepaid - Consumer - Core (Ex. Safelink)(K#)</t>
  </si>
  <si>
    <t xml:space="preserve">            Churn Rate - Wireless Retail prepaid - Consumer - Core (Ex. Safelink)(%)</t>
  </si>
  <si>
    <t>3.47%</t>
  </si>
  <si>
    <t>3.73%</t>
  </si>
  <si>
    <t>3.63%</t>
  </si>
  <si>
    <t>3.45%</t>
  </si>
  <si>
    <t>3.59%</t>
  </si>
  <si>
    <t>3.72%</t>
  </si>
  <si>
    <t>3.74%</t>
  </si>
  <si>
    <t>3.61%</t>
  </si>
  <si>
    <t>3.58%</t>
  </si>
  <si>
    <t>3.75%</t>
  </si>
  <si>
    <t>3.76%</t>
  </si>
  <si>
    <t>3.43%</t>
  </si>
  <si>
    <t>3.57%</t>
  </si>
  <si>
    <t>3.55%</t>
  </si>
  <si>
    <t>3.71%</t>
  </si>
  <si>
    <t xml:space="preserve">            Disconnects - Wireless Retail prepaid - Consumer - Core (Ex. Safelink)(K#)</t>
  </si>
  <si>
    <t xml:space="preserve">            Internal/Organic net adds - Wireless Retail prepaid - Consumer - Core (Ex. Safelink)(K#)</t>
  </si>
  <si>
    <t xml:space="preserve">            Acquired net adds - Wireless Retail prepaid - Consumer - Core (Ex. Safelink)(K#)</t>
  </si>
  <si>
    <t xml:space="preserve">        Net adds - Wireless Retail prepaid - Consumer - Core (Ex. Safelink)(K#)</t>
  </si>
  <si>
    <t xml:space="preserve">    Ending subscribers - Wireless Retail prepaid - Consumer - Core (Ex. Safelink)(K#)</t>
  </si>
  <si>
    <t xml:space="preserve">    Average subscribers - Wireless Retail prepaid - Consumer - Core (Ex. Safelink)(K#)</t>
  </si>
  <si>
    <t xml:space="preserve">    ARPU - Wireless Retail prepaid - Consumer - Core (Ex. Safelink)($)</t>
  </si>
  <si>
    <t xml:space="preserve">    Revenue - Wireless Retail prepaid - Consumer - Core (Ex. Safelink)</t>
  </si>
  <si>
    <t xml:space="preserve">            Net adds - Wireless Retail prepaid - Consumer - Safelink(K#)</t>
  </si>
  <si>
    <t xml:space="preserve">        Ending subscribers - Wireless Retail prepaid - Consumer - Safelink(K#)</t>
  </si>
  <si>
    <t xml:space="preserve">        ARPU - Wireless Retail prepaid - Consumer - Safelink($)</t>
  </si>
  <si>
    <t xml:space="preserve">    Revenue - Wireless Retail prepaid - Consumer - Safelink</t>
  </si>
  <si>
    <t xml:space="preserve">                Gross adds - Wireless Retail prepaid - Consumer(K#)</t>
  </si>
  <si>
    <t xml:space="preserve">                Churn rate - Wireless Retail prepaid - Consumer(%)</t>
  </si>
  <si>
    <t>3.92%</t>
  </si>
  <si>
    <t>3.99%</t>
  </si>
  <si>
    <t>3.95%</t>
  </si>
  <si>
    <t>3.80%</t>
  </si>
  <si>
    <t>3.83%</t>
  </si>
  <si>
    <t>3.97%</t>
  </si>
  <si>
    <t>3.98%</t>
  </si>
  <si>
    <t>3.94%</t>
  </si>
  <si>
    <t>3.87%</t>
  </si>
  <si>
    <t>3.88%</t>
  </si>
  <si>
    <t>3.67%</t>
  </si>
  <si>
    <t>3.82%</t>
  </si>
  <si>
    <t>3.79%</t>
  </si>
  <si>
    <t>3.84%</t>
  </si>
  <si>
    <t>3.77%</t>
  </si>
  <si>
    <t>3.91%</t>
  </si>
  <si>
    <t xml:space="preserve">                Disconnects - Wireless Retail prepaid - Consumer(K#)</t>
  </si>
  <si>
    <t xml:space="preserve">            Internal/Organic net adds - Wireless Retail prepaid - Consumer(K#)</t>
  </si>
  <si>
    <t xml:space="preserve">            Acquired net adds - Wireless Retail prepaid - Consumer(K#)</t>
  </si>
  <si>
    <t xml:space="preserve">        Net adds - Wireless Retail prepaid - Consumer(K#)</t>
  </si>
  <si>
    <t xml:space="preserve">        Ending subscribers - Wireless Retail prepaid - Consumer(K#)</t>
  </si>
  <si>
    <t xml:space="preserve">        Average subscribers - Wireless Retail prepaid - Consumer(K#)</t>
  </si>
  <si>
    <t xml:space="preserve">        ARPU - Wireless Retail prepaid - Consumer($)</t>
  </si>
  <si>
    <t xml:space="preserve">        Wireless Retail prepaid revenue - Consumer</t>
  </si>
  <si>
    <t xml:space="preserve">        Wholesale/other revenue - Consumer</t>
  </si>
  <si>
    <t xml:space="preserve">        ARPU - Wireless Retail prepaid &amp; Wholesale - Consumer($)</t>
  </si>
  <si>
    <t xml:space="preserve">    Prepaid service revenue &amp; Wholesale - Consumer</t>
  </si>
  <si>
    <t>Total wireless retail</t>
  </si>
  <si>
    <t xml:space="preserve">        Beginning subscribers - Consumer(K#)</t>
  </si>
  <si>
    <t xml:space="preserve">                Gross adds - Wireless Retail - Consumer(K#)</t>
  </si>
  <si>
    <t xml:space="preserve">                Churn - Wireless Retail - Consumer(%)</t>
  </si>
  <si>
    <t>1.57%</t>
  </si>
  <si>
    <t>1.58%</t>
  </si>
  <si>
    <t>1.61%</t>
  </si>
  <si>
    <t>1.68%</t>
  </si>
  <si>
    <t>1.55%</t>
  </si>
  <si>
    <t>1.51%</t>
  </si>
  <si>
    <t>1.50%</t>
  </si>
  <si>
    <t>1.53%</t>
  </si>
  <si>
    <t>1.52%</t>
  </si>
  <si>
    <t>1.45%</t>
  </si>
  <si>
    <t>1.46%</t>
  </si>
  <si>
    <t>1.47%</t>
  </si>
  <si>
    <t>1.54%</t>
  </si>
  <si>
    <t>1.56%</t>
  </si>
  <si>
    <t>1.59%</t>
  </si>
  <si>
    <t xml:space="preserve">                Disconnects - Wireless Retail - Consumer(K#)</t>
  </si>
  <si>
    <t xml:space="preserve">            Internal/Organic net adds - Wireless Retail - Consumer(K#)</t>
  </si>
  <si>
    <t xml:space="preserve">            Acquired net adds - Wireless Retail - Consumer(K#)</t>
  </si>
  <si>
    <t xml:space="preserve">        Net adds - Wireless Retail - Consumer(K#)</t>
  </si>
  <si>
    <t xml:space="preserve">    Ending subscribers - Consumer(K#)</t>
  </si>
  <si>
    <t xml:space="preserve">    Average subscribers - Consumer(K#)</t>
  </si>
  <si>
    <t xml:space="preserve">    ARPA - Wireless Retail - Consumer($)</t>
  </si>
  <si>
    <t xml:space="preserve">    Wireless service revenue - Consumer</t>
  </si>
  <si>
    <t>Wireline</t>
  </si>
  <si>
    <t>FiOS</t>
  </si>
  <si>
    <t xml:space="preserve">            Acquired Net adds - FiOS Video - Consumer(K#)</t>
  </si>
  <si>
    <t xml:space="preserve">            Internal/organic Net adds - FiOS Video - Consumer(K#)</t>
  </si>
  <si>
    <t xml:space="preserve">        Net adds - FiOS Video - Consumer(K#)</t>
  </si>
  <si>
    <t xml:space="preserve">            Internal/organic Net adds - FiOS Internet - Consumer(K#)</t>
  </si>
  <si>
    <t xml:space="preserve">            Acquired Net adds - FiOS Internet - Consumer(K#)</t>
  </si>
  <si>
    <t xml:space="preserve">        Net adds - FiOS Internet - Consumer(K#)</t>
  </si>
  <si>
    <t xml:space="preserve">            Internal/organic Net adds - FiOS Digital voice - Consumer(K#)</t>
  </si>
  <si>
    <t xml:space="preserve">            Acquired Net adds - FiOS Digital voice - Consumer(K#)</t>
  </si>
  <si>
    <t xml:space="preserve">        Net adds - FiOS Digital voice - Consumer(K#)</t>
  </si>
  <si>
    <t xml:space="preserve">            Internal/organic Net adds - FiOS Total digital - Consumer(K#)</t>
  </si>
  <si>
    <t xml:space="preserve">            Acquired Internal/organic Net adds - FiOS Total digital - Consumer(K#)</t>
  </si>
  <si>
    <t xml:space="preserve">    Net adds - FiOS Total digital - Consumer(K#)</t>
  </si>
  <si>
    <t xml:space="preserve">        FiOS Video subscribers - Consumer(K#)</t>
  </si>
  <si>
    <t xml:space="preserve">        FiOS Internet subscribers - Consumer(K#)</t>
  </si>
  <si>
    <t xml:space="preserve">        FiOS Digital voice subscribers - Consumer(K#)</t>
  </si>
  <si>
    <t xml:space="preserve">    FiOS Total digital subscribers - Consumer(K#)</t>
  </si>
  <si>
    <t xml:space="preserve">    FiOS Average Total digital - Consumer(K#)</t>
  </si>
  <si>
    <t xml:space="preserve">    FiOS ARPU Total digital - Consumer($)</t>
  </si>
  <si>
    <t xml:space="preserve">    FiOS Total digital revenue - Consumer</t>
  </si>
  <si>
    <t>Broadband</t>
  </si>
  <si>
    <t xml:space="preserve">            Internal/Organic net adds - DSL - Consumer(K#)</t>
  </si>
  <si>
    <t xml:space="preserve">            Acquired net adds - DSL - Consumer(K#)</t>
  </si>
  <si>
    <t xml:space="preserve">        Net adds - DSL - Consumer(K#)</t>
  </si>
  <si>
    <t xml:space="preserve">    DSL subscribers - Consumer(K#)</t>
  </si>
  <si>
    <t xml:space="preserve">            Beginning subs - Consumer FWA(K#)</t>
  </si>
  <si>
    <t xml:space="preserve">                Internal/Organic net adds - Consumer FWA broadband(K#)</t>
  </si>
  <si>
    <t xml:space="preserve">                Acquired net adds - Consumer FWA broadband(K#)</t>
  </si>
  <si>
    <t xml:space="preserve">            Net adds - Consumer FWA broadband(K#)</t>
  </si>
  <si>
    <t xml:space="preserve">        Ending subscribers - Consumer - FWA broadband(K#)</t>
  </si>
  <si>
    <t xml:space="preserve">                Internal/Organic net adds - Wireline broadband - Consumer(K#)</t>
  </si>
  <si>
    <t xml:space="preserve">                Acquired net adds - Wireline broadband - Consumer(K#)</t>
  </si>
  <si>
    <t xml:space="preserve">            Net adds - Wireline broadband - Consumer(K#)</t>
  </si>
  <si>
    <t xml:space="preserve">        Wireline broadband subscribers - Consumer(K#)</t>
  </si>
  <si>
    <t xml:space="preserve">            Internal/Organic Broadband net adds - Consumer(K#)</t>
  </si>
  <si>
    <t xml:space="preserve">            Acquired Broadband net adds - Consumer(K#)</t>
  </si>
  <si>
    <t xml:space="preserve">        Total Broadband net adds - Consumer(K#)</t>
  </si>
  <si>
    <t xml:space="preserve">    Total broadband connections - Consumer(K#)</t>
  </si>
  <si>
    <t xml:space="preserve">            Net adds - Switched access voice - Consumer(K#)</t>
  </si>
  <si>
    <t xml:space="preserve">        Switched access voice subscribers - Consumer(K#)</t>
  </si>
  <si>
    <t xml:space="preserve">        Net adds - Voice - Consumer(K#)</t>
  </si>
  <si>
    <t xml:space="preserve">    Voice subscribers - Consumer(K#)</t>
  </si>
  <si>
    <t>Consumer Financials</t>
  </si>
  <si>
    <t xml:space="preserve">                Prepaid service revenue &amp; Wholesale - Consumer</t>
  </si>
  <si>
    <t xml:space="preserve">                Postpaid service revenue - Consumer</t>
  </si>
  <si>
    <t xml:space="preserve">            Wireless service revenue - Consumer</t>
  </si>
  <si>
    <t xml:space="preserve">                FiOS Total digital revenue - Consumer</t>
  </si>
  <si>
    <t xml:space="preserve">                Other wireline revenue - Consumer</t>
  </si>
  <si>
    <t xml:space="preserve">            Total consumer wireline service revenue</t>
  </si>
  <si>
    <t xml:space="preserve">            Frontier consumer revenue</t>
  </si>
  <si>
    <t xml:space="preserve">        Service revenue - Consumer</t>
  </si>
  <si>
    <t xml:space="preserve">        Wireless equipment revenue - Consumer</t>
  </si>
  <si>
    <t xml:space="preserve">        Other revenue - Consumer</t>
  </si>
  <si>
    <t xml:space="preserve">    Consumer revenue</t>
  </si>
  <si>
    <t xml:space="preserve">        Cost of services - Consumer</t>
  </si>
  <si>
    <t xml:space="preserve">        Cost of wireless equipment - Consumer</t>
  </si>
  <si>
    <t xml:space="preserve">    Cost of sales - Consumer</t>
  </si>
  <si>
    <t xml:space="preserve">    Gross profit/(loss) - Consumer</t>
  </si>
  <si>
    <t xml:space="preserve">    SG&amp;A - Consumer</t>
  </si>
  <si>
    <t xml:space="preserve">    Total operations and support - Consumer</t>
  </si>
  <si>
    <t xml:space="preserve">    Depreciation and amortization - Consumer</t>
  </si>
  <si>
    <t xml:space="preserve">    Total operating expenses - Consumer</t>
  </si>
  <si>
    <t xml:space="preserve">    Adjusted EBITDA - Consumer</t>
  </si>
  <si>
    <t xml:space="preserve">    Operating income/(loss) - Consumer</t>
  </si>
  <si>
    <t>Retail postpaid phones</t>
  </si>
  <si>
    <t xml:space="preserve">                Gross adds - Wireless Retail postpaid phone - Consumer(K#)</t>
  </si>
  <si>
    <t xml:space="preserve">                Churn rate- Wireless Retail postpaid phone - Consumer(%)</t>
  </si>
  <si>
    <t>0.90%</t>
  </si>
  <si>
    <t>0.91%</t>
  </si>
  <si>
    <t>0.95%</t>
  </si>
  <si>
    <t>0.84%</t>
  </si>
  <si>
    <t>0.87%</t>
  </si>
  <si>
    <t>0.88%</t>
  </si>
  <si>
    <t>0.83%</t>
  </si>
  <si>
    <t>0.86%</t>
  </si>
  <si>
    <t>0.89%</t>
  </si>
  <si>
    <t>0.82%</t>
  </si>
  <si>
    <t>0.85%</t>
  </si>
  <si>
    <t>0.80%</t>
  </si>
  <si>
    <t xml:space="preserve">                Disconnects - Wireless Retail postpaid phone - Consumer(K#)</t>
  </si>
  <si>
    <t xml:space="preserve">            Internal/Organic net adds - Wireless Retail postpaid phone - Consumer(K#)</t>
  </si>
  <si>
    <t xml:space="preserve">            Acquired net adds - Wireless Retail postpaid phone - Consumer(K#)</t>
  </si>
  <si>
    <t xml:space="preserve">        Net adds - Wireless Retail postpaid phone - Consumer(K#)</t>
  </si>
  <si>
    <t xml:space="preserve">    Total Wireless Retail postpaid phone subscribers - Consumer(K#)</t>
  </si>
  <si>
    <t xml:space="preserve">    Average Wireless Retail postpaid phone subscribers - Consumer(K#)</t>
  </si>
  <si>
    <t xml:space="preserve">        Net adds - Internet device subscribers - Consumer(K#)</t>
  </si>
  <si>
    <t xml:space="preserve">    Internet device subscribers - Consumer(K#)</t>
  </si>
  <si>
    <t>Verizon Communications Inc. | Consumer</t>
  </si>
  <si>
    <t xml:space="preserve">    Internet device subscribers - Business(K#)</t>
  </si>
  <si>
    <t xml:space="preserve">        Net adds - Internet device subscribers - Business(K#)</t>
  </si>
  <si>
    <t xml:space="preserve">    Average Wireless Retail postpaid phone subscribers - Business(K#)</t>
  </si>
  <si>
    <t xml:space="preserve">    Total Wireless Retail postpaid phone subscribers - Business(K#)</t>
  </si>
  <si>
    <t xml:space="preserve">        Net Adds - Wireless Retail postpaid phones - Business(K#)</t>
  </si>
  <si>
    <t xml:space="preserve">            Net adds adjustment - Wireless Retail postpaid phones - Business(K#)</t>
  </si>
  <si>
    <t xml:space="preserve">            Net adds internal/organic - Wireless Retail postpaid phones - Business(K#)</t>
  </si>
  <si>
    <t xml:space="preserve">                Disconnects - Wireless Retail postpaid phones - Business(K#)</t>
  </si>
  <si>
    <t>1.15%</t>
  </si>
  <si>
    <t>1.22%</t>
  </si>
  <si>
    <t>1.17%</t>
  </si>
  <si>
    <t>1.18%</t>
  </si>
  <si>
    <t>1.20%</t>
  </si>
  <si>
    <t>1.19%</t>
  </si>
  <si>
    <t>1.25%</t>
  </si>
  <si>
    <t>1.23%</t>
  </si>
  <si>
    <t>1.27%</t>
  </si>
  <si>
    <t>1.26%</t>
  </si>
  <si>
    <t xml:space="preserve">                Churn rate - Wireless Retail postpaid phones - Business(%)</t>
  </si>
  <si>
    <t xml:space="preserve">                Gross adds - Wireless Retail postpaid phones - Business(K#)</t>
  </si>
  <si>
    <t xml:space="preserve">    Operating income/(loss) - Business</t>
  </si>
  <si>
    <t xml:space="preserve">    Adjusted EBITDA - Business</t>
  </si>
  <si>
    <t xml:space="preserve">    Total operating expenses - Business</t>
  </si>
  <si>
    <t xml:space="preserve">        Depreciation and amortization - Business</t>
  </si>
  <si>
    <t xml:space="preserve">    Operating expenses - Business</t>
  </si>
  <si>
    <t xml:space="preserve">        SG&amp;A - Business</t>
  </si>
  <si>
    <t xml:space="preserve">    Gross profit/(loss) - Business</t>
  </si>
  <si>
    <t xml:space="preserve">        Cost of sales - Business</t>
  </si>
  <si>
    <t xml:space="preserve">            Cost of wireless equipment - Business</t>
  </si>
  <si>
    <t xml:space="preserve">            Cost of services - Business</t>
  </si>
  <si>
    <t xml:space="preserve">    Business revenue</t>
  </si>
  <si>
    <t xml:space="preserve">        Wholesale revenue - Business</t>
  </si>
  <si>
    <t xml:space="preserve">        Business market and SaaS - Business</t>
  </si>
  <si>
    <t xml:space="preserve">        Enterprise and public sector - Business</t>
  </si>
  <si>
    <t>Business</t>
  </si>
  <si>
    <t xml:space="preserve">    FiOS Voice subscribers - SMB(K#)</t>
  </si>
  <si>
    <t xml:space="preserve">    Net adds - Voice - SMB(K#)</t>
  </si>
  <si>
    <t xml:space="preserve">    Total Broadband connections - Business(K#)</t>
  </si>
  <si>
    <t xml:space="preserve">        Ending subscribers - Business FWA broadband(K#)</t>
  </si>
  <si>
    <t xml:space="preserve">        FiOS Broadband subscribers - SMB(K#)</t>
  </si>
  <si>
    <t xml:space="preserve">        Net adds - Business FWA broadband(K#)</t>
  </si>
  <si>
    <t xml:space="preserve">            Acquired net adds - Business FWA broadband(K#)</t>
  </si>
  <si>
    <t xml:space="preserve">            Internal/Organic net adds - Business FWA broadband(K#)</t>
  </si>
  <si>
    <t xml:space="preserve">        Beginning subs - Business FWA(K#)</t>
  </si>
  <si>
    <t xml:space="preserve">        Net adds - Broadband - SMB(K#)</t>
  </si>
  <si>
    <t xml:space="preserve">            Acquired net adds - Broadband - SMB(K#)</t>
  </si>
  <si>
    <t xml:space="preserve">            Internal/Organic net adds - Broadband - SMB(K#)</t>
  </si>
  <si>
    <t xml:space="preserve">    DSL subscribers - SMB(K#)</t>
  </si>
  <si>
    <t xml:space="preserve">        Net adds - DSL - SMB(K#)</t>
  </si>
  <si>
    <t xml:space="preserve">            Acquired net adds - DSL - SMB(K#)</t>
  </si>
  <si>
    <t xml:space="preserve">            Internal/Organic net adds - DSL - SMB(K#)</t>
  </si>
  <si>
    <t xml:space="preserve">    FiOS Total digital revenue - Business</t>
  </si>
  <si>
    <t xml:space="preserve">    FiOS Total digital ARPU - SMB($)</t>
  </si>
  <si>
    <t xml:space="preserve">    FiOS Average Total digital - SMB(K#)</t>
  </si>
  <si>
    <t xml:space="preserve">    FiOS Total digital subscribers - SMB(K#)</t>
  </si>
  <si>
    <t xml:space="preserve">        FiOS Internet subscribers - SMB(K#)</t>
  </si>
  <si>
    <t xml:space="preserve">        FiOS Video subscribers - SMB(K#)</t>
  </si>
  <si>
    <t xml:space="preserve">    Net adds - FiOS Total digital - SMB(K#)</t>
  </si>
  <si>
    <t xml:space="preserve">        Net adds - FiOS Internet - SMB(K#)</t>
  </si>
  <si>
    <t xml:space="preserve">        Net adds - FiOS Video - SMB(K#)</t>
  </si>
  <si>
    <t xml:space="preserve">    Wireless equipment revenue - Business</t>
  </si>
  <si>
    <t xml:space="preserve">        Equipment revenue per device sold - Wireless Retail postpaid - Business($)</t>
  </si>
  <si>
    <t xml:space="preserve">        Total devices - Wireless Retail postpaid - Business(K#)</t>
  </si>
  <si>
    <t xml:space="preserve">            Gross adds - Wireless Retail postpaid - Business(K#)</t>
  </si>
  <si>
    <t xml:space="preserve">            Total upgrade - Wireless Retail postpaid - Business(K#)</t>
  </si>
  <si>
    <t>9.67%</t>
  </si>
  <si>
    <t>2.09%</t>
  </si>
  <si>
    <t>1.74%</t>
  </si>
  <si>
    <t>1.64%</t>
  </si>
  <si>
    <t>2.34%</t>
  </si>
  <si>
    <t>9.65%</t>
  </si>
  <si>
    <t>9.66%</t>
  </si>
  <si>
    <t>2.44%</t>
  </si>
  <si>
    <t>2.11%</t>
  </si>
  <si>
    <t>2.06%</t>
  </si>
  <si>
    <t>2.36%</t>
  </si>
  <si>
    <t>9.46%</t>
  </si>
  <si>
    <t>2.49%</t>
  </si>
  <si>
    <t>2.16%</t>
  </si>
  <si>
    <t>2.14%</t>
  </si>
  <si>
    <t>9.20%</t>
  </si>
  <si>
    <t>2.55%</t>
  </si>
  <si>
    <t>2.12%</t>
  </si>
  <si>
    <t>2.30%</t>
  </si>
  <si>
    <t>2.20%</t>
  </si>
  <si>
    <t>9.40%</t>
  </si>
  <si>
    <t>2.60%</t>
  </si>
  <si>
    <t xml:space="preserve">            Wireless retail postpaid upgrade rate - Business(%)</t>
  </si>
  <si>
    <t xml:space="preserve">    Wireless service revenue - Business</t>
  </si>
  <si>
    <t xml:space="preserve">        ARPU - Wireless Retail postpaid - Business($)</t>
  </si>
  <si>
    <t xml:space="preserve">        Average subscriber - Wireless Retail postpaid - Business(K#)</t>
  </si>
  <si>
    <t xml:space="preserve">            Ending subscriber - Wireless Retail postpaid - Business(K#)</t>
  </si>
  <si>
    <t xml:space="preserve">            Net adds - Wireless Retail postpaid - Business(K#)</t>
  </si>
  <si>
    <t xml:space="preserve">                Acquired net adds - Wireless Retail postpaid - Business(K#)</t>
  </si>
  <si>
    <t xml:space="preserve">                Internal/Organic net adds - Wireless Retail postpaid - Business(K#)</t>
  </si>
  <si>
    <t>1.48%</t>
  </si>
  <si>
    <t>1.44%</t>
  </si>
  <si>
    <t>1.40%</t>
  </si>
  <si>
    <t>1.41%</t>
  </si>
  <si>
    <t>1.49%</t>
  </si>
  <si>
    <t xml:space="preserve">                    Churn - Wireless Retail postpaid - Business(%)</t>
  </si>
  <si>
    <t xml:space="preserve">                    Disconnects - Wireless Retail postpaid - Business(K#)</t>
  </si>
  <si>
    <t xml:space="preserve">                    Gross adds - Wireless Retail postpaid - Business(K#)</t>
  </si>
  <si>
    <t xml:space="preserve">            Beginning subscriber - Wireless Retail postpaid - Business(K#)</t>
  </si>
  <si>
    <t>Wireless service</t>
  </si>
  <si>
    <t>Verizon Communications Inc. | Business</t>
  </si>
  <si>
    <t xml:space="preserve">    Revenue per handset($)</t>
  </si>
  <si>
    <t xml:space="preserve">        Total device sales(K#)</t>
  </si>
  <si>
    <t xml:space="preserve">            Gross adds - Wireless retail postpaid(K#)</t>
  </si>
  <si>
    <t xml:space="preserve">            Total Postpaid Device Sales(K#)</t>
  </si>
  <si>
    <t xml:space="preserve">        Wireless equipment revenues</t>
  </si>
  <si>
    <t xml:space="preserve">    Wireless fixed 5G revenues</t>
  </si>
  <si>
    <t xml:space="preserve">        ARPU - Fixed wireless access (FWA) broadband($)</t>
  </si>
  <si>
    <t xml:space="preserve">        Average subs - Fixed wireless access (FWA) broadband(K#)</t>
  </si>
  <si>
    <t xml:space="preserve">            Ending subscribers - Fixed wireless access (FWA) broadband(K#)</t>
  </si>
  <si>
    <t xml:space="preserve">            Net adds- Fixed wireless access (FWA) broadband(K#)</t>
  </si>
  <si>
    <t xml:space="preserve">                Acquired net adds - Fixed wireless access (FWA) broadband(K#)</t>
  </si>
  <si>
    <t xml:space="preserve">                Internal/Organic net adds - Fixed wireless access (FWA) broadband(K#)</t>
  </si>
  <si>
    <t xml:space="preserve">    Fixed wireless Homes passed(K#)</t>
  </si>
  <si>
    <t xml:space="preserve">        Fixed wireless Homes passed - net addition(K#)</t>
  </si>
  <si>
    <t>Fixed wireless access (FWA) broadband</t>
  </si>
  <si>
    <t>Supplemental</t>
  </si>
  <si>
    <t xml:space="preserve">    Retail postpaid ARPA($)</t>
  </si>
  <si>
    <t xml:space="preserve">    Retail postpaid connections per account(#)</t>
  </si>
  <si>
    <t xml:space="preserve">    Average retail postpaid accounts(K#)</t>
  </si>
  <si>
    <t xml:space="preserve">    Retail postpaid accounts(K#)</t>
  </si>
  <si>
    <t xml:space="preserve">    Net adds - Retail postpaid accounts(K#)</t>
  </si>
  <si>
    <t>Other Wireless metrics</t>
  </si>
  <si>
    <t xml:space="preserve">    Capital expenditures - Wireless</t>
  </si>
  <si>
    <t xml:space="preserve">    Adjusted EBITDA - Wireless</t>
  </si>
  <si>
    <t xml:space="preserve">    Operating income/(loss) - Wireless</t>
  </si>
  <si>
    <t xml:space="preserve">    Total operating expenses -Wireless</t>
  </si>
  <si>
    <t xml:space="preserve">        Depreciation and amortization - Wireless</t>
  </si>
  <si>
    <t xml:space="preserve">        Operations and support - Wireless</t>
  </si>
  <si>
    <t xml:space="preserve">            SG&amp;A - Wireless</t>
  </si>
  <si>
    <t xml:space="preserve">            Cost of sales - Wireless</t>
  </si>
  <si>
    <t xml:space="preserve">                Cost of equipment - Wireless</t>
  </si>
  <si>
    <t xml:space="preserve">                Cost of services - Wireless</t>
  </si>
  <si>
    <t xml:space="preserve">    Wireless revenue</t>
  </si>
  <si>
    <t xml:space="preserve">        Other revenue - Wireless</t>
  </si>
  <si>
    <t xml:space="preserve">            Wireless equipment revenue - Business</t>
  </si>
  <si>
    <t xml:space="preserve">            Wireless equipment revenue - Consumer</t>
  </si>
  <si>
    <t xml:space="preserve">        Service revenue - Wireless</t>
  </si>
  <si>
    <t xml:space="preserve">            Wireless service revenue - Business</t>
  </si>
  <si>
    <t>Wireless financials</t>
  </si>
  <si>
    <t xml:space="preserve">    Retail service revenue</t>
  </si>
  <si>
    <t xml:space="preserve">        ARPU - Retail service($)</t>
  </si>
  <si>
    <t xml:space="preserve">        Retail average subscribers(K#)</t>
  </si>
  <si>
    <t xml:space="preserve">        Retail connections(K#)</t>
  </si>
  <si>
    <t xml:space="preserve">            Net adds - Retail(K#)</t>
  </si>
  <si>
    <t xml:space="preserve">                Acquired net adds - Retail(K#)</t>
  </si>
  <si>
    <t xml:space="preserve">                Internal/Organic net adds - Retail(K#)</t>
  </si>
  <si>
    <t xml:space="preserve">                    Disconnects - Retail(K#)</t>
  </si>
  <si>
    <t>1.60%</t>
  </si>
  <si>
    <t>1.67%</t>
  </si>
  <si>
    <t xml:space="preserve">                    Churn rate - Retail(%)</t>
  </si>
  <si>
    <t xml:space="preserve">                    Gross adds - Retail(K#)</t>
  </si>
  <si>
    <t xml:space="preserve">            Beginning subs - Retail(K#)</t>
  </si>
  <si>
    <t>Wireless Retail (Postpaid+Prepaid)</t>
  </si>
  <si>
    <t xml:space="preserve">    Prepaid service revenue</t>
  </si>
  <si>
    <t xml:space="preserve">        ARPU - Retail prepaid($)</t>
  </si>
  <si>
    <t xml:space="preserve">        Retail prepaid average subscribers(K#)</t>
  </si>
  <si>
    <t xml:space="preserve">        Retail prepaid subscribers(K#)</t>
  </si>
  <si>
    <t xml:space="preserve">            Net adds - Retail prepaid(K#)</t>
  </si>
  <si>
    <t xml:space="preserve">                Acquired net adds - Retail prepaid(K#)</t>
  </si>
  <si>
    <t xml:space="preserve">                Internal/Organic net adds - Retail prepaid(K#)</t>
  </si>
  <si>
    <t xml:space="preserve">                    Disconnects - Retail prepaid(K#)</t>
  </si>
  <si>
    <t>3.65%</t>
  </si>
  <si>
    <t>3.62%</t>
  </si>
  <si>
    <t>3.81%</t>
  </si>
  <si>
    <t>3.93%</t>
  </si>
  <si>
    <t xml:space="preserve">                    Churn rate - Retail prepaid(%)</t>
  </si>
  <si>
    <t xml:space="preserve">                    Gross adds - Retail prepaid(K#)</t>
  </si>
  <si>
    <t xml:space="preserve">            Beginning subs - Retail prepaid(K#)</t>
  </si>
  <si>
    <t>Retail Prepaid</t>
  </si>
  <si>
    <t xml:space="preserve">    Total Postpaid Device Sales(K#)</t>
  </si>
  <si>
    <t xml:space="preserve">        Gross adds - Wireless retail postpaid(K#)</t>
  </si>
  <si>
    <t xml:space="preserve">        Postpaid handset upgrades(K#)</t>
  </si>
  <si>
    <t>12.65%</t>
  </si>
  <si>
    <t>2.71%</t>
  </si>
  <si>
    <t>2.69%</t>
  </si>
  <si>
    <t>3.05%</t>
  </si>
  <si>
    <t>12.64%</t>
  </si>
  <si>
    <t>2.72%</t>
  </si>
  <si>
    <t>2.70%</t>
  </si>
  <si>
    <t>13.03%</t>
  </si>
  <si>
    <t>2.87%</t>
  </si>
  <si>
    <t>2.92%</t>
  </si>
  <si>
    <t>3.06%</t>
  </si>
  <si>
    <t>11.81%</t>
  </si>
  <si>
    <t>2.93%</t>
  </si>
  <si>
    <t>2.84%</t>
  </si>
  <si>
    <t>3.02%</t>
  </si>
  <si>
    <t>12.92%</t>
  </si>
  <si>
    <t>4.04%</t>
  </si>
  <si>
    <t>14.49%</t>
  </si>
  <si>
    <t>4.40%</t>
  </si>
  <si>
    <t>2.80%</t>
  </si>
  <si>
    <t xml:space="preserve">            Retail postpaid upgrade rate(%)</t>
  </si>
  <si>
    <t>Postpaid upgrade rate</t>
  </si>
  <si>
    <t xml:space="preserve">    Postpaid service revenue</t>
  </si>
  <si>
    <t xml:space="preserve">        ARPU - Wireless retail postpaid($)</t>
  </si>
  <si>
    <t xml:space="preserve">        Wireless retail postpaid average subscribers(K#)</t>
  </si>
  <si>
    <t xml:space="preserve">        Wireless retail postpaid subscribers(K#)</t>
  </si>
  <si>
    <t xml:space="preserve">            Net adds - Wireless retail postpaid(K#)</t>
  </si>
  <si>
    <t xml:space="preserve">                Acquired net adds - Wireless retail postpaid(K#)</t>
  </si>
  <si>
    <t xml:space="preserve">                Internal/Organic net adds - Wireless retail postpaid(K#)</t>
  </si>
  <si>
    <t xml:space="preserve">                    Disconnects - Wireless retail postpaid(K#)</t>
  </si>
  <si>
    <t>1.24%</t>
  </si>
  <si>
    <t>1.32%</t>
  </si>
  <si>
    <t xml:space="preserve">                    Churn rate - Wireless retail postpaid(%)</t>
  </si>
  <si>
    <t xml:space="preserve">                    Gross adds - Wireless retail postpaid(K#)</t>
  </si>
  <si>
    <t xml:space="preserve">            Beginning subs - Wireless retail postpaid(K#)</t>
  </si>
  <si>
    <t>Retail Postpaid</t>
  </si>
  <si>
    <t>Verizon Communications Inc. | Wireless</t>
  </si>
  <si>
    <t xml:space="preserve">    Total voice connections(K#)</t>
  </si>
  <si>
    <t xml:space="preserve">        Net adds - Total voice connections(K#)</t>
  </si>
  <si>
    <t>Total Voice connections</t>
  </si>
  <si>
    <t xml:space="preserve">    Broadband connections(K#)</t>
  </si>
  <si>
    <t xml:space="preserve">        Ending subscribers - Fixed wireless access (FWA) broadband(K#)</t>
  </si>
  <si>
    <t xml:space="preserve">        Total wireline broadband connections(K#)</t>
  </si>
  <si>
    <t xml:space="preserve">            FiOS Broadband subscribers - SMB(K#)</t>
  </si>
  <si>
    <t xml:space="preserve">            Wireline broadband subscribers - Consumer(K#)</t>
  </si>
  <si>
    <t xml:space="preserve">    FiOS Digital connections(K#)</t>
  </si>
  <si>
    <t xml:space="preserve">        FiOS Total digital subscribers - SMB(K#)</t>
  </si>
  <si>
    <t xml:space="preserve">        FiOS Total digital subscribers - Consumer(K#)</t>
  </si>
  <si>
    <t xml:space="preserve">    FiOS consumer revenue</t>
  </si>
  <si>
    <t xml:space="preserve">        FiOS ARPU($)</t>
  </si>
  <si>
    <t xml:space="preserve">        Average Fios connections(K#)</t>
  </si>
  <si>
    <t xml:space="preserve">            FiOS Digital connections(K#)</t>
  </si>
  <si>
    <t xml:space="preserve">            Net adds - FiOS(K#)</t>
  </si>
  <si>
    <t xml:space="preserve">    FiOS Digital Voice residence connections(K#)</t>
  </si>
  <si>
    <t xml:space="preserve">        Net adds - FiOS Digital Voice residence connections(K#)</t>
  </si>
  <si>
    <t xml:space="preserve">    Fiber broadband subscribers(K#)</t>
  </si>
  <si>
    <t xml:space="preserve">        Net adds - Fiber broadband(K#)</t>
  </si>
  <si>
    <t xml:space="preserve">            Acquired Net adds - Fiber broadband(K#)</t>
  </si>
  <si>
    <t xml:space="preserve">            Internal/organic Net adds - Fiber broadband(K#)</t>
  </si>
  <si>
    <t>41.33%</t>
  </si>
  <si>
    <t>45.61%</t>
  </si>
  <si>
    <t>45.42%</t>
  </si>
  <si>
    <t>45.20%</t>
  </si>
  <si>
    <t>45.04%</t>
  </si>
  <si>
    <t>41.09%</t>
  </si>
  <si>
    <t>44.84%</t>
  </si>
  <si>
    <t>44.65%</t>
  </si>
  <si>
    <t>44.43%</t>
  </si>
  <si>
    <t>44.27%</t>
  </si>
  <si>
    <t>40.80%</t>
  </si>
  <si>
    <t>44.05%</t>
  </si>
  <si>
    <t>43.88%</t>
  </si>
  <si>
    <t>43.67%</t>
  </si>
  <si>
    <t>43.54%</t>
  </si>
  <si>
    <t>40.53%</t>
  </si>
  <si>
    <t>41.17%</t>
  </si>
  <si>
    <t>41.06%</t>
  </si>
  <si>
    <t>40.95%</t>
  </si>
  <si>
    <t>40.92%</t>
  </si>
  <si>
    <t>40.33%</t>
  </si>
  <si>
    <t>40.32%</t>
  </si>
  <si>
    <t>40.31%</t>
  </si>
  <si>
    <t>40.28%</t>
  </si>
  <si>
    <t>40.51%</t>
  </si>
  <si>
    <t>40.54%</t>
  </si>
  <si>
    <t>40.74%</t>
  </si>
  <si>
    <t xml:space="preserve">        Penetration - FiOS Internet(%)</t>
  </si>
  <si>
    <t xml:space="preserve">        FiOS Internet open for sale(K#)</t>
  </si>
  <si>
    <t xml:space="preserve">            Net adds - FiOS Internet open for sale(K#)</t>
  </si>
  <si>
    <t xml:space="preserve">    FiOS Video subscribers(K#)</t>
  </si>
  <si>
    <t xml:space="preserve">        Net adds - FiOS Video subscribers(K#)</t>
  </si>
  <si>
    <t>4.24%</t>
  </si>
  <si>
    <t>4.48%</t>
  </si>
  <si>
    <t>4.70%</t>
  </si>
  <si>
    <t>4.93%</t>
  </si>
  <si>
    <t>5.23%</t>
  </si>
  <si>
    <t>5.50%</t>
  </si>
  <si>
    <t>5.52%</t>
  </si>
  <si>
    <t>5.79%</t>
  </si>
  <si>
    <t>6.07%</t>
  </si>
  <si>
    <t>6.44%</t>
  </si>
  <si>
    <t>6.75%</t>
  </si>
  <si>
    <t>6.79%</t>
  </si>
  <si>
    <t>7.10%</t>
  </si>
  <si>
    <t>7.42%</t>
  </si>
  <si>
    <t>7.86%</t>
  </si>
  <si>
    <t>8.11%</t>
  </si>
  <si>
    <t>8.49%</t>
  </si>
  <si>
    <t>8.91%</t>
  </si>
  <si>
    <t>9.31%</t>
  </si>
  <si>
    <t>14.31%</t>
  </si>
  <si>
    <t>14.73%</t>
  </si>
  <si>
    <t>15.27%</t>
  </si>
  <si>
    <t>15.77%</t>
  </si>
  <si>
    <t xml:space="preserve">        Penetration - FiOS Video(%)</t>
  </si>
  <si>
    <t xml:space="preserve">        FiOS Video open for sale(K#)</t>
  </si>
  <si>
    <t xml:space="preserve">            Net adds - FiOS Video open for sale(K#)</t>
  </si>
  <si>
    <t xml:space="preserve">    Beginning Subs. - Total Video(K#)</t>
  </si>
  <si>
    <t>FiOS connections</t>
  </si>
  <si>
    <t xml:space="preserve">    Capital expenditures - Wireline</t>
  </si>
  <si>
    <t xml:space="preserve">    Adjusted EBITDA - Wireline</t>
  </si>
  <si>
    <t xml:space="preserve">    Operating income/(loss) - Wireline</t>
  </si>
  <si>
    <t xml:space="preserve">    Total operating expenses - Wireline</t>
  </si>
  <si>
    <t xml:space="preserve">        Depreciation and amortization - Wireline</t>
  </si>
  <si>
    <t xml:space="preserve">        Operations and support - Wireline</t>
  </si>
  <si>
    <t xml:space="preserve">            SG&amp;A - Wireline</t>
  </si>
  <si>
    <t xml:space="preserve">            Cost of sales - Wireline</t>
  </si>
  <si>
    <t xml:space="preserve">    Wireline revenue</t>
  </si>
  <si>
    <t xml:space="preserve">        Business markets revenue</t>
  </si>
  <si>
    <t xml:space="preserve">        Consumer markets revenue</t>
  </si>
  <si>
    <t>Revenue</t>
  </si>
  <si>
    <t>Verizon Communications Inc. | Wireline</t>
  </si>
  <si>
    <t xml:space="preserve">    Capital expenditures (including capitalized software)</t>
  </si>
  <si>
    <t xml:space="preserve">        Capital expenditures - Other</t>
  </si>
  <si>
    <t xml:space="preserve">        Capital expenditures - Wireline</t>
  </si>
  <si>
    <t xml:space="preserve">        Capital expenditures - Wireless</t>
  </si>
  <si>
    <t xml:space="preserve">    Adjusted EBITDA</t>
  </si>
  <si>
    <t xml:space="preserve">        Adjusted EBITDA - Corporate and other</t>
  </si>
  <si>
    <t xml:space="preserve">        Adjusted EBITDA - Total telecom</t>
  </si>
  <si>
    <t xml:space="preserve">            Adjusted EBITDA - Business</t>
  </si>
  <si>
    <t xml:space="preserve">            Adjusted EBITDA - Consumer</t>
  </si>
  <si>
    <t xml:space="preserve">    Operating income/(loss) -Operating</t>
  </si>
  <si>
    <t xml:space="preserve">        Operating income/(loss) - Corporate and other</t>
  </si>
  <si>
    <t xml:space="preserve">        Operating income/(loss) - Total telecom</t>
  </si>
  <si>
    <t xml:space="preserve">            Operating income/(loss) - Business</t>
  </si>
  <si>
    <t xml:space="preserve">            Operating income/(loss) - Consumer</t>
  </si>
  <si>
    <t xml:space="preserve">    Total operating expenses -Operating</t>
  </si>
  <si>
    <t xml:space="preserve">        Total operating expenses - Corporate and other</t>
  </si>
  <si>
    <t xml:space="preserve">        Total operating expenses - Total telecom</t>
  </si>
  <si>
    <t xml:space="preserve">            Total operating expenses - Business</t>
  </si>
  <si>
    <t xml:space="preserve">            Total operating expenses - Consumer</t>
  </si>
  <si>
    <t xml:space="preserve">    Depreciation and amortization expense</t>
  </si>
  <si>
    <t xml:space="preserve">        Depreciation and amortization - Corporate and other</t>
  </si>
  <si>
    <t xml:space="preserve">        Depreciation and amortization - Total telecom</t>
  </si>
  <si>
    <t xml:space="preserve">            Depreciation and amortization - Business</t>
  </si>
  <si>
    <t xml:space="preserve">            Depreciation and amortization - Consumer</t>
  </si>
  <si>
    <t xml:space="preserve">    Selling, general and admin. exp. - Operating</t>
  </si>
  <si>
    <t xml:space="preserve">        SG&amp;A - Corporate and other</t>
  </si>
  <si>
    <t xml:space="preserve">        SG&amp;A - Total telecom</t>
  </si>
  <si>
    <t xml:space="preserve">            SG&amp;A - Business</t>
  </si>
  <si>
    <t xml:space="preserve">            SG&amp;A - Consumer</t>
  </si>
  <si>
    <t xml:space="preserve">    Cost of services and sales -Operating</t>
  </si>
  <si>
    <t xml:space="preserve">        Cost of sales - Corporate and other</t>
  </si>
  <si>
    <t xml:space="preserve">        Cost of sales - Total telecom</t>
  </si>
  <si>
    <t xml:space="preserve">            Cost of sales - Business</t>
  </si>
  <si>
    <t xml:space="preserve">            Cost of sales - Consumer</t>
  </si>
  <si>
    <t xml:space="preserve">    Cost of wireless equipment</t>
  </si>
  <si>
    <t xml:space="preserve">        Cost of wireless equipment - Corporate and other</t>
  </si>
  <si>
    <t xml:space="preserve">        Cost of wireless equipment - Total telecom</t>
  </si>
  <si>
    <t xml:space="preserve">            Cost of wireless equipment - Consumer</t>
  </si>
  <si>
    <t xml:space="preserve">    Cost of services</t>
  </si>
  <si>
    <t xml:space="preserve">        Cost of services - Corporate and other</t>
  </si>
  <si>
    <t xml:space="preserve">        Cost of revenue - Total telecom</t>
  </si>
  <si>
    <t xml:space="preserve">            Cost of services - Consumer</t>
  </si>
  <si>
    <t xml:space="preserve">    FiOS Total digital revenue</t>
  </si>
  <si>
    <t xml:space="preserve">        FiOS Total digital revenue - Business</t>
  </si>
  <si>
    <t xml:space="preserve">        FiOS Total digital revenue - Consumer</t>
  </si>
  <si>
    <t>FiOS Revenue</t>
  </si>
  <si>
    <t xml:space="preserve">    Operating revenues</t>
  </si>
  <si>
    <t xml:space="preserve">        Corporate and other revenue</t>
  </si>
  <si>
    <t xml:space="preserve">        Total other</t>
  </si>
  <si>
    <t xml:space="preserve">        Wireless equipment revenue</t>
  </si>
  <si>
    <t xml:space="preserve">        Mobility and broadband service revenue</t>
  </si>
  <si>
    <t xml:space="preserve">        Total telecom revenue</t>
  </si>
  <si>
    <t xml:space="preserve">            Business revenue</t>
  </si>
  <si>
    <t xml:space="preserve">                Other - Business revenue</t>
  </si>
  <si>
    <t xml:space="preserve">                Wireless equipment - Business revenue</t>
  </si>
  <si>
    <t xml:space="preserve">                Mobility and broadband service - Business revenue</t>
  </si>
  <si>
    <t xml:space="preserve">            Consumer revenue</t>
  </si>
  <si>
    <t xml:space="preserve">                Other - Consumer revenue</t>
  </si>
  <si>
    <t xml:space="preserve">                Wireless equipment - Consumer revenue</t>
  </si>
  <si>
    <t xml:space="preserve">                Mobility and broadband service - Consumer revenue</t>
  </si>
  <si>
    <t>Total Revenue</t>
  </si>
  <si>
    <t>Verizon Communications Inc. | Segment</t>
  </si>
  <si>
    <t xml:space="preserve">    Dividends declared per common share($)</t>
  </si>
  <si>
    <t xml:space="preserve">    Diluted - Weighted average shares outstanding(M#)</t>
  </si>
  <si>
    <t xml:space="preserve">    Basic - Weighted average shares outstanding(M#)</t>
  </si>
  <si>
    <t xml:space="preserve">    Diluted EPS -Operating($)</t>
  </si>
  <si>
    <t xml:space="preserve">    Diluted EPS attri. to Verizon($)</t>
  </si>
  <si>
    <t xml:space="preserve">    Basic EPS attributable to Verizon($)</t>
  </si>
  <si>
    <t xml:space="preserve">    Net income/(loss)</t>
  </si>
  <si>
    <t xml:space="preserve">    Minority interest, net of taxes</t>
  </si>
  <si>
    <t xml:space="preserve">    Net income attri. to Verizon</t>
  </si>
  <si>
    <t xml:space="preserve">    Net income attri. to Verizon - Operating</t>
  </si>
  <si>
    <t xml:space="preserve">    Total post tax adjustments</t>
  </si>
  <si>
    <t xml:space="preserve">    Provision for income taxes - Operating</t>
  </si>
  <si>
    <t xml:space="preserve">    Provision for income taxes</t>
  </si>
  <si>
    <t xml:space="preserve">    Income before provision for income taxes - Operating</t>
  </si>
  <si>
    <t xml:space="preserve">    Income before provision for income taxes</t>
  </si>
  <si>
    <t xml:space="preserve">    Total non-operating expenses</t>
  </si>
  <si>
    <t xml:space="preserve">        Interest expense</t>
  </si>
  <si>
    <t xml:space="preserve">        Other income, net - Operating</t>
  </si>
  <si>
    <t xml:space="preserve">        Other income, net</t>
  </si>
  <si>
    <t xml:space="preserve">        Equity in earnings of unconsolidated businesses</t>
  </si>
  <si>
    <t xml:space="preserve">    Operating income/(loss)</t>
  </si>
  <si>
    <t xml:space="preserve">        Total adjustments in Operating income/(loss)</t>
  </si>
  <si>
    <t xml:space="preserve">        Total operating expenses</t>
  </si>
  <si>
    <t xml:space="preserve">        Depreciation and amortization expense</t>
  </si>
  <si>
    <t xml:space="preserve">        Total operations and support - Operating</t>
  </si>
  <si>
    <t xml:space="preserve">            Selling, general and administrative expense</t>
  </si>
  <si>
    <t xml:space="preserve">                Total adjustment to Selling, general and administrative exp.</t>
  </si>
  <si>
    <t xml:space="preserve">            Selling, general and admin. exp. - Operating</t>
  </si>
  <si>
    <t xml:space="preserve">            Cost of services and sales -Operating</t>
  </si>
  <si>
    <t xml:space="preserve">                Cost of wireless equipment</t>
  </si>
  <si>
    <t xml:space="preserve">                Cost of services</t>
  </si>
  <si>
    <t xml:space="preserve">        Service revenues and other</t>
  </si>
  <si>
    <t>Verizon Communications Inc. | Income statement</t>
  </si>
  <si>
    <t xml:space="preserve">    Net unsecured debt</t>
  </si>
  <si>
    <t xml:space="preserve">        Secured Debt</t>
  </si>
  <si>
    <t xml:space="preserve">        Net Debt</t>
  </si>
  <si>
    <t xml:space="preserve">            Cash and short-term investments</t>
  </si>
  <si>
    <t xml:space="preserve">            Supp - Total debt</t>
  </si>
  <si>
    <t>Debt</t>
  </si>
  <si>
    <t xml:space="preserve">    Total liabilities and equity</t>
  </si>
  <si>
    <t xml:space="preserve">        Total equity</t>
  </si>
  <si>
    <t xml:space="preserve">            Noncontrolling interest</t>
  </si>
  <si>
    <t xml:space="preserve">            Shareholder's equity</t>
  </si>
  <si>
    <t xml:space="preserve">                Deferred compensation - employee stock ownership plans and other</t>
  </si>
  <si>
    <t xml:space="preserve">                Common stock in treasury, at cost</t>
  </si>
  <si>
    <t xml:space="preserve">                Accumulated other comprehensive income</t>
  </si>
  <si>
    <t xml:space="preserve">                Accumulated earnings/(deficit)</t>
  </si>
  <si>
    <t xml:space="preserve">                Common stock and contributed capital</t>
  </si>
  <si>
    <t xml:space="preserve">                    Contributed capital</t>
  </si>
  <si>
    <t xml:space="preserve">                    Common stock</t>
  </si>
  <si>
    <t xml:space="preserve">        Total liabilities</t>
  </si>
  <si>
    <t xml:space="preserve">            Total noncurrent liabilities</t>
  </si>
  <si>
    <t xml:space="preserve">                Total other noncurrent liabilities</t>
  </si>
  <si>
    <t xml:space="preserve">                Deferred income tax liabilities</t>
  </si>
  <si>
    <t xml:space="preserve">                Employee benefit obligations</t>
  </si>
  <si>
    <t xml:space="preserve">                Long-term debt</t>
  </si>
  <si>
    <t xml:space="preserve">                Non-current operating lease liabilities</t>
  </si>
  <si>
    <t xml:space="preserve">            Total current liabilities</t>
  </si>
  <si>
    <t xml:space="preserve">                Total other current liabilities</t>
  </si>
  <si>
    <t xml:space="preserve">                Accounts payable and accrued liabilities</t>
  </si>
  <si>
    <t xml:space="preserve">                Debt maturing within one year</t>
  </si>
  <si>
    <t xml:space="preserve">                Current operating lease liabilities</t>
  </si>
  <si>
    <t xml:space="preserve">    Total assets</t>
  </si>
  <si>
    <t xml:space="preserve">        Total noncurrent assets</t>
  </si>
  <si>
    <t xml:space="preserve">            Intangible and other non-current assets</t>
  </si>
  <si>
    <t xml:space="preserve">                Total intangible assets</t>
  </si>
  <si>
    <t xml:space="preserve">                    Other intangible assets, net</t>
  </si>
  <si>
    <t xml:space="preserve">                    Goodwill</t>
  </si>
  <si>
    <t xml:space="preserve">                    Wireless licenses</t>
  </si>
  <si>
    <t xml:space="preserve">                Total other noncurrent &amp; operating lease assets</t>
  </si>
  <si>
    <t xml:space="preserve">                    Other noncurrent assets</t>
  </si>
  <si>
    <t xml:space="preserve">                    Operating lease assets</t>
  </si>
  <si>
    <t xml:space="preserve">            Investments in unconsolidated businesses</t>
  </si>
  <si>
    <t xml:space="preserve">            Plant, property and equipment, net</t>
  </si>
  <si>
    <t xml:space="preserve">                Accumulated depreciation</t>
  </si>
  <si>
    <t xml:space="preserve">                Plant, property and equipment, gross</t>
  </si>
  <si>
    <t xml:space="preserve">        Total current assets</t>
  </si>
  <si>
    <t xml:space="preserve">            Prepaid expenses and other current assets</t>
  </si>
  <si>
    <t xml:space="preserve">            Inventories</t>
  </si>
  <si>
    <t xml:space="preserve">            Accounts receivable, net of allowances</t>
  </si>
  <si>
    <t>Verizon Communications Inc. | Balance sheet</t>
  </si>
  <si>
    <t xml:space="preserve">    Free cash flow per share($)</t>
  </si>
  <si>
    <t xml:space="preserve">    Free cash flow</t>
  </si>
  <si>
    <t xml:space="preserve">    Cash and cash equivalents, end of period</t>
  </si>
  <si>
    <t xml:space="preserve">    Cash and cash equivalents, beginning of period</t>
  </si>
  <si>
    <t xml:space="preserve">        Increase/(decrease) in cash and cash equivalents</t>
  </si>
  <si>
    <t xml:space="preserve">        Net cash provided by/(used in) financing activities</t>
  </si>
  <si>
    <t xml:space="preserve">            Total other financing cash flow</t>
  </si>
  <si>
    <t xml:space="preserve">            Dividends paid</t>
  </si>
  <si>
    <t xml:space="preserve">            Purchase of common stock for treasury</t>
  </si>
  <si>
    <t xml:space="preserve">            Increase/(decrease) in debt, net</t>
  </si>
  <si>
    <t xml:space="preserve">        Net cash provided by/(used in) investing activities</t>
  </si>
  <si>
    <t xml:space="preserve">            Other investing cash flow</t>
  </si>
  <si>
    <t xml:space="preserve">            Net (acquisitions)/disposals</t>
  </si>
  <si>
    <t xml:space="preserve">            Capital expenditures (including capitalized software)</t>
  </si>
  <si>
    <t xml:space="preserve">        Net cash provided by/(used in) operating activities</t>
  </si>
  <si>
    <t xml:space="preserve">            Total other operating cash flow</t>
  </si>
  <si>
    <t xml:space="preserve">            Changes in current assets and liabilities, net of effects from acquisition/disposition of businesses</t>
  </si>
  <si>
    <t xml:space="preserve">            Equity in earnings of unconsolidated businesses, net of dividends received</t>
  </si>
  <si>
    <t xml:space="preserve">            Provision for uncollectible accounts</t>
  </si>
  <si>
    <t xml:space="preserve">            Deferred income taxes</t>
  </si>
  <si>
    <t xml:space="preserve">            Employee retirement benefits</t>
  </si>
  <si>
    <t xml:space="preserve">            Depreciation and amortization</t>
  </si>
  <si>
    <t xml:space="preserve">            Net income (CF)</t>
  </si>
  <si>
    <t>Verizon Communications Inc. | Cash flow</t>
  </si>
  <si>
    <t>Verizon — Q3 2026 Earnings First Look</t>
  </si>
  <si>
    <t>$B (except as noted)</t>
  </si>
  <si>
    <t>Q3'25</t>
  </si>
  <si>
    <t>Q2'26</t>
  </si>
  <si>
    <t>Consensus 3Q'26</t>
  </si>
  <si>
    <t>Actual 3Q'26</t>
  </si>
  <si>
    <t>YoY Growth</t>
  </si>
  <si>
    <t>Beat/Miss</t>
  </si>
  <si>
    <t>Operational metrics</t>
  </si>
  <si>
    <t>Consumer Segment</t>
  </si>
  <si>
    <t>Business Segment</t>
  </si>
  <si>
    <t>Wireless Equipment</t>
  </si>
  <si>
    <t>Total Mobility and Broadband Service Rev</t>
  </si>
  <si>
    <t>Cons. Mobility and broadband service</t>
  </si>
  <si>
    <t>Bus. Mobility and broadband service</t>
  </si>
  <si>
    <t>Total Adj. EBITDA</t>
  </si>
  <si>
    <t>Total EBITDA Margin</t>
  </si>
  <si>
    <t>Consumer EBITDA Margin</t>
  </si>
  <si>
    <t>Business EBITDA Margin</t>
  </si>
  <si>
    <t>Adjusted EPS</t>
  </si>
  <si>
    <t>Total Postpaid Net Adds (in 000')</t>
  </si>
  <si>
    <t>Total Postpaid Phone Net Adds (in 000')</t>
  </si>
  <si>
    <t>Total FWA Net Adds (in 000')</t>
  </si>
  <si>
    <t>Fios Internet Net Adds (in 000')</t>
  </si>
  <si>
    <t>Postpaid Phone Churn Rate</t>
  </si>
  <si>
    <t>Prepaid Churn Rate</t>
  </si>
  <si>
    <t>Note: Q3'25, Q2'26 and consensus linked to Visible Alpha consensus tabs (as of 10/25/2026). Enter actuals in column E (yellow); YoY &amp; Beat/Miss populate automatically. Margin YoY/Beat shown as pct-pt change.</t>
  </si>
  <si>
    <t>VZ 3Q26 First Look – Prompt for Claude Excel agent (copy cell A3)</t>
  </si>
  <si>
    <t>ROLE &amp; GOAL
You are filling in Verizon's (VZ) 3Q26 earnings "First look" table in this workbook as soon as results are out. I have uploaded the 3Q26 earnings materials (likely the press release, the financial and operating results / supplemental, and the trending schedules). Work fast but put accuracy first. Do not guess any number.
STEP 1 – READ THE MATERIALS
- Open every uploaded file and figure out which document holds which data. Use the financial and operating results and the trending schedules as the main sources for segment numbers and KPIs. Use the press release for headline numbers and management commentary.
- Read the 'First look' sheet before writing anything. Columns B, C and D (Q3'25, Q2'26, Consensus 3Q'26) are formulas linked to the consensus tabs. Do NOT change them. Column E (Actual 3Q'26) is the only input column. Columns F (YoY Growth) and G (Beat/Miss) already contain formulas that fill in automatically once E has values.
STEP 2 – FILL COLUMN E (Actual 3Q'26) ON 'First look'
Enter reported 3Q26 values as hardcoded numbers in the units shown. Dollar rows are in $ billions (for example, $34,253M becomes 34.253; keep full precision and do not round). Net adds are in thousands. Churn is a decimal (0.92% is entered as 0.0092).
- E3 Total Revenue = total operating revenues (consolidated)
- E4 Consumer Segment revenue  |  E5 Business Segment revenue
- E6 Wireless Equipment revenue (consolidated)
- E8 Total Mobility &amp; broadband service revenue (consolidated)
- E9 Consumer mobility &amp; broadband service revenue  |  E10 Business mobility &amp; broadband service revenue
- E12 Total Adjusted EBITDA (consolidated)
- E13 Consumer segment EBITDA  |  E14 Business segment EBITDA
- E15:E17 EBITDA margins: these are ALREADY FORMULAS (EBITDA / revenue). Do not overwrite them. Instead, check them against the company's reported segment EBITDA margins and flag any difference.
- E18 Adjusted EPS (diluted, adjusted / non-GAAP)
- E21 Total postpaid net adds: use the same definition as the source tab (Wireless tab row 21, organic, excluding acquired subscribers)
- E22 Total postpaid phone net adds: use Verizon's REPORTED consolidated total (Consumer + Business). Note that C22 is built as Consumer organic + Business organic from the consensus tabs (165K for Q2'26 vs 184K reported). Flag that definitional gap in your summary.
- E23 Total FWA net adds (organic)  |  E24 Fios Internet net adds (organic)
- E25 Postpaid phone churn (total retail postpaid phone churn as reported)  |  E26 Prepaid churn (as reported)
Match each line to the same definition the B–D columns use (organic vs. reported, segment vs. consolidated). If Verizon's reported line uses a different definition, use the one closest to ours and flag it.
For every value you enter, add a cell note citing the document and the page or table it came from (e.g. "Source: VZ 3Q26 Financial &amp; Operating Info, p.X, Consumer table").
STEP 3 – FORMATTING
After filling column E, make it match columns B–D:
- Remove the light-yellow input fill (#FFF2CC) from E3:E26.
- Keep the grey band fill (#D9D9D9) on rows 3, 12 and 18 so E matches B–D on those rows.
- Use blue font (#0000FF) for hardcoded actuals and keep black for the formula cells E15:E17. Keep bold on E3, E12 and E18.
- Keep the existing number formats (0.0 for $B, 0.0% for margins, $0.00 for EPS, #,##0 for net adds, 0.00% for churn).
- Do not touch the F:G formulas. Check that F3:G26 calculated with no #DIV/0!, #VALUE! or other errors, and that "n.m" shows where the base is zero or negative.
STEP 4 – DOUBLE-CHECK (required before you report back)
- Re-read E3:G26 and compare each number against the source document a second time.
- Check that Consumer + Business + Corporate/other ties to total revenue and total EBITDA within rounding.
- Sanity-check against Q2'26 (column C) and consensus (column D). Re-check any metric that is more than ±10% off consensus or more than ±15% off YoY before you accept it.
- In chat, tell me which cells you verified.
STEP 5 – REPORTING CHANGES / RECASTS (report in chat AND in column K)
Tell me clearly if any of the following happened:
- A KPI in this table is no longer disclosed, or has been renamed or redefined this quarter (leave that E cell blank, add a note explaining why, and tell me).
- Prior-period numbers (e.g. 3Q25 or 2Q26) were RECAST or restated. Say which lines changed, the old vs. new values, and the reason given (segment realignment, acquisition such as Frontier, accounting change, subscriber base adjustment, etc.). If Q3'25 was recast, say whether our column B (consensus-tab actuals) is now on a different basis than column E.
- Any new segment, KPI or disclosure appeared.
- Any one-time items or adjustments that affect comparability (acquired subscribers, base adjustments, non-GAAP reconciling items).
STEP 6 – KEY TAKEAWAYS IN COLUMN K ON 'First look'
Read the press release, the CEO/CFO quotes and any commentary in the materials. Write in column K starting at K2:
- K2: header "3Q26 Key Takeaways" (same style as the table header: dark blue #1F4E79 fill, white bold font).
- K3 onward: one concise bullet per cell (about 8–12 bullets), with wrap text on and column K about 600px wide. Cover:
  1. Headline: overall beat/miss on revenue, adj. EBITDA and adj. EPS vs. consensus, with the % from column G.
  2. Biggest surprises: any line with a beat or miss of more than about 3% (more than about 10% for net adds and other KPIs) or a large YoY change (from column F). Say what happened and quote or paraphrase management's explanation, citing the document.
  3. Subscriber trends: postpaid phone net adds, churn, FWA and Fios. Name the drivers management cited (pricing, promotions, competition, convergence, etc.).
  4. Margin and cost story: EBITDA margin expansion or compression and its drivers.
  5. Guidance: any change to 2026 guidance (raised, reaffirmed or lowered) and to FCF and capex outlook.
  6. Anything else notable: capital allocation, M&amp;A or integration updates, the reporting changes and recasts from Step 5, and one-time items.
- If management gave no explanation for a big variance, say "no explanation given". Do not make one up.
- Keep each bullet to 1–2 sentences, lead with the number, and cite the source document in brackets.
FINAL CHAT REPLY
Keep it short: (1) confirm column E was filled and which cells were verified, (2) list any KPIs that were missing, redefined or recast and why, (3) give the top 3 takeaways. Do not paste the whole table into chat.</t>
  </si>
  <si>
    <t>3Q26 Key Takeaways</t>
  </si>
  <si>
    <t>• Segment EBITDA beat: Consumer $11.97B (+0.5% vs cons, +6.5% YoY) and Business $1.94B (+1.0% vs cons, +13.0% YoY), with combined segment EBITDA of $13.91B vs $13.83B consensus. Segment revenue missed: Consumer -1.7% and Business -3.3% vs cons. [VZ 3Q26 FS p.5-6]</t>
  </si>
  <si>
    <t>• Postpaid phone net adds of 406K were the biggest surprise: +118% vs 186K consensus and up from 44K in 3Q25. Total postpaid was only 231K (+14% vs cons), which implies about -175K non-phone. Core prepaid was -12K (prepaid phone -52K). The FS gives no explanation, and 3Q26 commentary was not provided. [VZ 3Q26 FS p.7]</t>
  </si>
  <si>
    <t>• Churn/ARPA: postpaid phone churn was 0.94%, in line with consensus and down 4 bps YoY. Core prepaid churn was 3.80% vs 3.73% YoY. The upgrade rate fell to 2.6% from 3.3%, ARPA fell 1.9% YoY to $168.08 and postpaid accounts were flat at 34.47M. No explanation given. [VZ 3Q26 FS p.7]</t>
  </si>
  <si>
    <t>• Broadband: FWA net adds of 159K missed by 18% vs 194K consensus and were down 39% YoY. Fiber net adds of 155K were 7.6% below consensus but up 154% YoY. Total broadband net adds were 314K. Fiber connections reached 11.07M (+44% YoY), which includes acquired fiber subs. No explanation given. [VZ 3Q26 FS p.7]</t>
  </si>
  <si>
    <t>• Equipment revenue was $5.12B: -9.0% YoY and -6.0% vs cons, consistent with the lower upgrade rate. In 2Q, management attributed the equipment decline to lower upgrade volumes and reduced device subsidies [2Q26 PR p.3]; there is no 3Q-specific explanation. Business 'Other' revenue grew 10.0% YoY. [VZ 3Q26 FS p.1, p.6]</t>
  </si>
  <si>
    <t>• Mobility and broadband service revenue was $23.49B: +2.9% YoY and in line with consensus (-0.2%). Consumer grew 3.6% and Business fell 0.8%. That is roughly in line with 2Q guidance for growth to 'approach 3.0 percent' in 3Q26. [VZ 3Q26 FS p.5-6; 2Q26 PR p.4]</t>
  </si>
  <si>
    <t>• Margins: Consumer EBITDA margin was 45.3% (+2.2pp YoY, +1.0pp vs cons) and Business was 27.6% (+2.5pp YoY, +1.2pp vs cons). Both match the reported segment margins. In the P&amp;L, cost of equipment fell (Consumer -11.5%) and SG&amp;A fell (-2.9% / -4.8%), partly offset by higher cost of services (+7.4% / +5.3%). No management explanation in the materials. [VZ 3Q26 FS p.5-6]</t>
  </si>
  <si>
    <t>• Guidance: no 3Q26 guidance update was in the uploaded materials. The last guidance (2Q26) was FY26 M&amp;BB service revenue growth of 2.5-3.0%, adj. EPS of $4.99-5.04, FCF growth of 9-10%, capex of $16.0-16.5B, and postpaid phone net adds in the upper half of 750K-1.0M. Year to date: 645K phone net adds, 9M capex of $11.9B and 9M CFO of $29.9B (+6.8% YoY). [2Q26 PR p.4; VZ 3Q26 FS p.4, p.7]</t>
  </si>
  <si>
    <t>• Capital allocation/M&amp;A: 9M buybacks were $4.0B (target up to $4.5B) and shares fell to 4,145M from 4,217M. Dividend was $0.7075/qtr. 9M cash paid for acquisitions was $9.48B (acquiree not named in the FS) and goodwill rose $7.9B. Cash fell to $4.5B from $19.0B. Net unsecured debt/adj. EBITDA was 2.3x (2.2x at YE25). [VZ 3Q26 FS p.2-4]</t>
  </si>
  <si>
    <t>• Recasts/definitions: 1Q26 segment revenue disaggregation was recast. In 2Q26, international wireline/managed network services moved from Business to Corporate &amp; other. The 3Q25 figures in the FS match column B, so B and E are on the same basis. E22 uses reported phone net adds, while B-D use the sum of segment organic figures (2Q26: 165K vs 184K reported). 'Fios Internet' is now reported as 'Fiber broadband'. [VZ 3Q26 FS p.5-7]</t>
  </si>
  <si>
    <t>• Headline: Revenue $34.31B missed consensus by 1.3% (+1.5% YoY). Adj. EBITDA of $13.8B beat by about 0.8% (+8.0% YoY, a company record per mgmt), and adj. EPS of $1.31 beat the $1.27 consensus by 3.1% (+8.3% YoY). GAAP EPS was $1.25 (+6.8%). Adj. EBITDA is disclosed only to $0.1B, so the beat could be anywhere from +0.4% to +1.2%. [VZ 3Q26 PR excerpt; VZ 3Q26 FS p.1]</t>
  </si>
  <si>
    <t>• Comparability/one-time items: the FS does not split organic vs. acquired net adds, and operating stats include M&amp;A-related adjustments. Adj. EPS ($1.31) vs GAAP EPS ($1.25) implies about $0.06/share of special items, which are not itemized in the materials provided. D&amp;A rose 10.3% YoY and interest expense rose 17.2% YoY. Implied Corporate &amp; other: revenue about $0.86B and adj. EBITDA about -$0.1B. Still pending: segment phone net adds. [VZ 3Q26 FS p.1, p.7; PR excerpt]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</si>
</sst>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00\)"/>
    <numFmt numFmtId="166" formatCode="0.0;\(0.0\);\-"/>
    <numFmt numFmtId="167" formatCode="0.0%;\(0.0%\);0.0%"/>
    <numFmt numFmtId="168" formatCode="0.0%;\(0.0%\);\-"/>
    <numFmt numFmtId="169" formatCode="&quot;$&quot;0.00;\(&quot;$&quot;0.00\);\-"/>
    <numFmt numFmtId="170" formatCode="#,##0;\(#,##0\);\-"/>
    <numFmt numFmtId="171" formatCode="0.00%;\(0.00%\);\-"/>
  </numFmts>
  <fonts count="20" x14ac:knownFonts="1">
    <font>
      <sz val="11"/>
      <color theme="1"/>
      <name val="Calibri"/>
      <family val="2"/>
      <scheme val="minor"/>
    </font>
    <font>
      <b/>
      <sz val="14"/>
      <name val="Calibri"/>
      <family val="2"/>
    </font>
    <font>
      <b/>
      <sz val="11"/>
      <color theme="1"/>
      <name val="Calibri"/>
      <family val="2"/>
      <scheme val="minor"/>
    </font>
    <font>
      <b/>
      <sz val="11"/>
      <name val="Calibri"/>
      <family val="2"/>
    </font>
    <font>
      <sz val="11"/>
      <color rgb="FFFF0000"/>
      <name val="Calibri"/>
      <family val="2"/>
      <scheme val="minor"/>
    </font>
    <font>
      <sz val="11"/>
      <color theme="1"/>
      <name val="Calibri"/>
      <scheme val="minor"/>
    </font>
    <font>
      <sz val="11"/>
      <color rgb="FF008000"/>
      <name val="Calibri"/>
      <scheme val="minor"/>
    </font>
    <font>
      <sz val="11"/>
      <color rgb="FF0000FF"/>
      <name val="Calibri"/>
      <scheme val="minor"/>
    </font>
    <font>
      <sz val="11"/>
      <color rgb="FF000000"/>
      <name val="Calibri"/>
      <scheme val="minor"/>
    </font>
    <font>
      <b/>
      <sz val="11"/>
      <color theme="1"/>
      <name val="Calibri"/>
      <scheme val="minor"/>
    </font>
    <font>
      <b/>
      <sz val="14"/>
      <color theme="1"/>
      <name val="Calibri"/>
      <scheme val="minor"/>
    </font>
    <font>
      <b/>
      <sz val="11"/>
      <color rgb="FFFFFFFF"/>
      <name val="Calibri"/>
      <scheme val="minor"/>
    </font>
    <font>
      <b/>
      <sz val="11"/>
      <color rgb="FF0000FF"/>
      <name val="Calibri"/>
      <scheme val="minor"/>
    </font>
    <font>
      <b/>
      <sz val="11"/>
      <color rgb="FF000000"/>
      <name val="Calibri"/>
      <scheme val="minor"/>
    </font>
    <font>
      <i/>
      <sz val="9"/>
      <color rgb="FF595959"/>
      <name val="Calibri"/>
      <family val="2"/>
      <scheme val="minor"/>
    </font>
    <font>
      <b/>
      <sz val="14"/>
      <color theme="1"/>
      <name val="Calibri"/>
      <family val="2"/>
      <scheme val="minor"/>
    </font>
    <font>
      <sz val="10"/>
      <color theme="1"/>
      <name val="Calibri"/>
      <scheme val="minor"/>
    </font>
    <font>
      <sz val="9"/>
      <color indexed="81"/>
      <name val="Tahoma"/>
      <charset val="1"/>
    </font>
    <font>
      <b/>
      <sz val="9"/>
      <color indexed="81"/>
      <name val="Tahoma"/>
      <charset val="1"/>
    </font>
    <font>
      <sz val="10"/>
      <color rgb="FF000000"/>
      <name val="Calibri"/>
      <scheme val="minor"/>
    </font>
  </fonts>
  <fills count="6">
    <fill>
      <patternFill patternType="none"/>
    </fill>
    <fill>
      <patternFill patternType="gray125"/>
    </fill>
    <fill>
      <patternFill patternType="solid">
        <fgColor rgb="FFD3D3D3"/>
        <bgColor indexed="64"/>
      </patternFill>
    </fill>
    <fill>
      <patternFill patternType="solid">
        <fgColor rgb="FF1F4E79"/>
        <bgColor indexed="64"/>
      </patternFill>
    </fill>
    <fill>
      <patternFill patternType="solid">
        <fgColor rgb="FFD9D9D9"/>
        <bgColor indexed="64"/>
      </patternFill>
    </fill>
    <fill>
      <patternFill patternType="solid">
        <fgColor rgb="FFBFBFBF"/>
        <bgColor indexed="64"/>
      </patternFill>
    </fill>
  </fills>
  <borders count="9">
    <border>
      <left/>
      <right/>
      <top/>
      <bottom/>
      <diagonal/>
    </border>
    <border>
      <left/>
      <right/>
      <top/>
      <bottom style="thin">
        <color auto="1"/>
      </bottom>
      <diagonal/>
    </border>
    <border>
      <left/>
      <right/>
      <top style="thin">
        <color auto="1"/>
      </top>
      <bottom style="thick">
        <color auto="1"/>
      </bottom>
      <diagonal/>
    </border>
    <border>
      <left style="thin">
        <color auto="1"/>
      </left>
      <right/>
      <top style="thin">
        <color auto="1"/>
      </top>
      <bottom style="thick">
        <color auto="1"/>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style="thick">
        <color auto="1"/>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53">
    <xf numFmtId="0" fontId="0" fillId="0" borderId="0" xfId="0"/>
    <xf numFmtId="0" fontId="1" fillId="0" borderId="0" xfId="0" applyFont="1" applyAlignment="1">
      <alignment horizontal="left"/>
    </xf>
    <xf numFmtId="0" fontId="1" fillId="0" borderId="0" xfId="0" applyFont="1"/>
    <xf numFmtId="0" fontId="0" fillId="0" borderId="0" xfId="0" applyAlignment="1">
      <alignment horizontal="left" vertical="top"/>
    </xf>
    <xf numFmtId="0" fontId="2" fillId="0" borderId="0" xfId="0" applyFont="1" applyAlignment="1">
      <alignment horizontal="left" vertical="top"/>
    </xf>
    <xf numFmtId="0" fontId="3" fillId="2" borderId="0" xfId="0" applyFont="1" applyFill="1" applyAlignment="1">
      <alignment horizontal="left" vertical="top"/>
    </xf>
    <xf numFmtId="0" fontId="3" fillId="2" borderId="0" xfId="0"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right" vertical="top"/>
    </xf>
    <xf numFmtId="165" fontId="0" fillId="0" borderId="0" xfId="0" applyNumberFormat="1" applyAlignment="1">
      <alignment horizontal="right" vertical="top"/>
    </xf>
    <xf numFmtId="165" fontId="4" fillId="0" borderId="0" xfId="0" applyNumberFormat="1" applyFont="1" applyAlignment="1">
      <alignment horizontal="right" vertical="top"/>
    </xf>
    <xf numFmtId="0" fontId="5" fillId="0" borderId="0" xfId="0" applyFont="1"/>
    <xf numFmtId="0" fontId="10" fillId="0" borderId="0" xfId="0" applyFont="1"/>
    <xf numFmtId="0" fontId="11" fillId="3" borderId="2" xfId="0" applyFont="1" applyFill="1" applyBorder="1" applyAlignment="1">
      <alignment horizontal="center"/>
    </xf>
    <xf numFmtId="166" fontId="6" fillId="4" borderId="0" xfId="0" applyNumberFormat="1" applyFont="1" applyFill="1" applyAlignment="1">
      <alignment horizontal="right"/>
    </xf>
    <xf numFmtId="167" fontId="8" fillId="4" borderId="0" xfId="0" applyNumberFormat="1" applyFont="1" applyFill="1" applyAlignment="1">
      <alignment horizontal="right"/>
    </xf>
    <xf numFmtId="166" fontId="6" fillId="0" borderId="0" xfId="0" applyNumberFormat="1" applyFont="1" applyAlignment="1">
      <alignment horizontal="right"/>
    </xf>
    <xf numFmtId="167" fontId="8" fillId="0" borderId="0" xfId="0" applyNumberFormat="1" applyFont="1" applyAlignment="1">
      <alignment horizontal="right"/>
    </xf>
    <xf numFmtId="168" fontId="8" fillId="0" borderId="0" xfId="0" applyNumberFormat="1" applyFont="1" applyAlignment="1">
      <alignment horizontal="right"/>
    </xf>
    <xf numFmtId="169" fontId="6" fillId="4" borderId="0" xfId="0" applyNumberFormat="1" applyFont="1" applyFill="1" applyAlignment="1">
      <alignment horizontal="right"/>
    </xf>
    <xf numFmtId="0" fontId="9" fillId="5" borderId="0" xfId="0" applyFont="1" applyFill="1"/>
    <xf numFmtId="170" fontId="6" fillId="0" borderId="0" xfId="0" applyNumberFormat="1" applyFont="1" applyAlignment="1">
      <alignment horizontal="right"/>
    </xf>
    <xf numFmtId="171" fontId="6" fillId="0" borderId="0" xfId="0" applyNumberFormat="1" applyFont="1" applyAlignment="1">
      <alignment horizontal="right"/>
    </xf>
    <xf numFmtId="171" fontId="6" fillId="0" borderId="1" xfId="0" applyNumberFormat="1" applyFont="1" applyBorder="1" applyAlignment="1">
      <alignment horizontal="right"/>
    </xf>
    <xf numFmtId="167" fontId="8" fillId="0" borderId="1" xfId="0" applyNumberFormat="1" applyFont="1" applyBorder="1" applyAlignment="1">
      <alignment horizontal="right"/>
    </xf>
    <xf numFmtId="0" fontId="11" fillId="3" borderId="3" xfId="0" applyFont="1" applyFill="1" applyBorder="1"/>
    <xf numFmtId="0" fontId="9" fillId="4" borderId="4" xfId="0" applyFont="1" applyFill="1" applyBorder="1"/>
    <xf numFmtId="0" fontId="5" fillId="0" borderId="4" xfId="0" applyFont="1" applyBorder="1" applyAlignment="1">
      <alignment indent="1"/>
    </xf>
    <xf numFmtId="0" fontId="5" fillId="0" borderId="4" xfId="0" applyFont="1" applyBorder="1"/>
    <xf numFmtId="0" fontId="9" fillId="5" borderId="4" xfId="0" applyFont="1" applyFill="1" applyBorder="1"/>
    <xf numFmtId="0" fontId="5" fillId="0" borderId="5" xfId="0" applyFont="1" applyBorder="1"/>
    <xf numFmtId="0" fontId="11" fillId="3" borderId="6" xfId="0" applyFont="1" applyFill="1" applyBorder="1" applyAlignment="1">
      <alignment horizontal="center"/>
    </xf>
    <xf numFmtId="167" fontId="13" fillId="4" borderId="7" xfId="0" applyNumberFormat="1" applyFont="1" applyFill="1" applyBorder="1" applyAlignment="1">
      <alignment horizontal="right"/>
    </xf>
    <xf numFmtId="167" fontId="8" fillId="0" borderId="7" xfId="0" applyNumberFormat="1" applyFont="1" applyBorder="1" applyAlignment="1">
      <alignment horizontal="right"/>
    </xf>
    <xf numFmtId="0" fontId="5" fillId="0" borderId="7" xfId="0" applyFont="1" applyBorder="1"/>
    <xf numFmtId="0" fontId="9" fillId="5" borderId="7" xfId="0" applyFont="1" applyFill="1" applyBorder="1"/>
    <xf numFmtId="167" fontId="8" fillId="0" borderId="8" xfId="0" applyNumberFormat="1" applyFont="1" applyBorder="1" applyAlignment="1">
      <alignment horizontal="right"/>
    </xf>
    <xf numFmtId="0" fontId="14" fillId="0" borderId="0" xfId="0" applyFont="1"/>
    <xf numFmtId="0" fontId="15" fillId="0" borderId="0" xfId="0" applyFont="1"/>
    <xf numFmtId="0" fontId="16" fillId="0" borderId="0" xfId="0" applyFont="1" applyAlignment="1">
      <alignment vertical="top" wrapText="1"/>
    </xf>
    <xf numFmtId="0" fontId="0" fillId="0" borderId="0" xfId="0" applyAlignment="1">
      <alignment horizontal="center"/>
    </xf>
    <xf numFmtId="166" fontId="7" fillId="0" borderId="0" xfId="0" applyNumberFormat="1" applyFont="1" applyFill="1" applyAlignment="1">
      <alignment horizontal="right"/>
    </xf>
    <xf numFmtId="168" fontId="8" fillId="0" borderId="0" xfId="0" applyNumberFormat="1" applyFont="1" applyFill="1" applyAlignment="1">
      <alignment horizontal="right"/>
    </xf>
    <xf numFmtId="170" fontId="7" fillId="0" borderId="0" xfId="0" applyNumberFormat="1" applyFont="1" applyFill="1" applyAlignment="1">
      <alignment horizontal="right"/>
    </xf>
    <xf numFmtId="171" fontId="7" fillId="0" borderId="0" xfId="0" applyNumberFormat="1" applyFont="1" applyFill="1" applyAlignment="1">
      <alignment horizontal="right"/>
    </xf>
    <xf numFmtId="171" fontId="7" fillId="0" borderId="1" xfId="0" applyNumberFormat="1" applyFont="1" applyFill="1" applyBorder="1" applyAlignment="1">
      <alignment horizontal="right"/>
    </xf>
    <xf numFmtId="166" fontId="12" fillId="4" borderId="0" xfId="0" applyNumberFormat="1" applyFont="1" applyFill="1" applyAlignment="1">
      <alignment horizontal="right"/>
    </xf>
    <xf numFmtId="169" fontId="12" fillId="4" borderId="0" xfId="0" applyNumberFormat="1" applyFont="1" applyFill="1" applyAlignment="1">
      <alignment horizontal="right"/>
    </xf>
    <xf numFmtId="0" fontId="7" fillId="0" borderId="0" xfId="0" applyFont="1" applyFill="1"/>
    <xf numFmtId="166" fontId="8" fillId="0" borderId="0" xfId="0" applyNumberFormat="1" applyFont="1" applyFill="1" applyAlignment="1">
      <alignment horizontal="right"/>
    </xf>
    <xf numFmtId="0" fontId="12" fillId="5" borderId="0" xfId="0" applyFont="1" applyFill="1"/>
    <xf numFmtId="0" fontId="11" fillId="3" borderId="0" xfId="0" applyFont="1" applyFill="1"/>
    <xf numFmtId="0" fontId="19"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52696B4F-EC14-4B72-8A2E-A675EAEEDB59}"/>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B73B7FB2-BC01-4110-8370-56925867DFA2}"/>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9710DC73-86FF-44C5-9592-9BD04C79364F}"/>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339D767B-51A1-437D-9645-27B09F10351A}"/>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E1294567-9F4E-4D04-AAAD-2FB18D6D24C9}"/>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FC8F5227-EDB8-4CE5-9720-2A7793F4A813}"/>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6FDE817A-6CBB-4EAA-8627-EB75387EF2A3}"/>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C64E5A-56B4-4F76-854D-B2500E9398A2}">
  <we:reference id="wa200009404" version="1.0.0.8" store="en-US" storeType="OMEX"/>
  <we:alternateReferences>
    <we:reference id="WA200009404" version="1.0.0.8" store="" storeType="OMEX"/>
  </we:alternateReferences>
  <we:properties>
    <we:property name="claude.fileId" value="&quot;06451100-0a1b-4d0b-a489-7b1b1ed01ab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22CB8-294D-427C-B565-1712462706EE}">
  <dimension ref="A1:K49"/>
  <sheetViews>
    <sheetView showGridLines="0" tabSelected="1" zoomScale="115" zoomScaleNormal="115" workbookViewId="0">
      <selection activeCell="K28" sqref="K28"/>
    </sheetView>
  </sheetViews>
  <sheetFormatPr defaultRowHeight="15" x14ac:dyDescent="0.25"/>
  <cols>
    <col min="1" max="1" width="49.5703125" customWidth="1"/>
    <col min="2" max="7" width="18.140625" customWidth="1"/>
    <col min="11" max="11" width="85.7109375" customWidth="1"/>
  </cols>
  <sheetData>
    <row r="1" spans="1:7" ht="18.75" x14ac:dyDescent="0.3">
      <c r="A1" s="12" t="s">
        <v>760</v>
      </c>
      <c r="B1" s="11"/>
      <c r="C1" s="11"/>
      <c r="D1" s="11"/>
      <c r="E1" s="11"/>
      <c r="F1" s="11"/>
      <c r="G1" s="11"/>
    </row>
    <row r="2" spans="1:7" ht="15.75" thickBot="1" x14ac:dyDescent="0.3">
      <c r="A2" s="25" t="s">
        <v>761</v>
      </c>
      <c r="B2" s="13" t="s">
        <v>762</v>
      </c>
      <c r="C2" s="13" t="s">
        <v>763</v>
      </c>
      <c r="D2" s="13" t="s">
        <v>764</v>
      </c>
      <c r="E2" s="13" t="s">
        <v>765</v>
      </c>
      <c r="F2" s="13" t="s">
        <v>766</v>
      </c>
      <c r="G2" s="31" t="s">
        <v>767</v>
      </c>
    </row>
    <row r="3" spans="1:7" ht="15.75" thickTop="1" x14ac:dyDescent="0.25">
      <c r="A3" s="26" t="s">
        <v>653</v>
      </c>
      <c r="B3" s="14">
        <f>'Income statement'!D18/1000</f>
        <v>33.820999999999998</v>
      </c>
      <c r="C3" s="14">
        <f>'Income statement'!H18/1000</f>
        <v>34.253</v>
      </c>
      <c r="D3" s="14">
        <f>'Income statement'!I18/1000</f>
        <v>34.767989999999998</v>
      </c>
      <c r="E3" s="46">
        <v>34.313000000000002</v>
      </c>
      <c r="F3" s="15">
        <f>IF(E3="","",E3/B3-1)</f>
        <v>1.4547174832205023E-2</v>
      </c>
      <c r="G3" s="32">
        <f>IF(E3="","",E3/D3-1)</f>
        <v>-1.3086462576640034E-2</v>
      </c>
    </row>
    <row r="4" spans="1:7" x14ac:dyDescent="0.25">
      <c r="A4" s="27" t="s">
        <v>769</v>
      </c>
      <c r="B4" s="16">
        <f>Segment!D20/1000</f>
        <v>26.105</v>
      </c>
      <c r="C4" s="16">
        <f>Segment!H20/1000</f>
        <v>26.242000000000001</v>
      </c>
      <c r="D4" s="16">
        <f>Segment!I20/1000</f>
        <v>26.90166</v>
      </c>
      <c r="E4" s="41">
        <v>26.431999999999999</v>
      </c>
      <c r="F4" s="17">
        <f>IF(E4="","",E4/B4-1)</f>
        <v>1.2526335950967082E-2</v>
      </c>
      <c r="G4" s="33">
        <f>IF(E4="","",E4/D4-1)</f>
        <v>-1.7458402195254852E-2</v>
      </c>
    </row>
    <row r="5" spans="1:7" x14ac:dyDescent="0.25">
      <c r="A5" s="27" t="s">
        <v>770</v>
      </c>
      <c r="B5" s="16">
        <f>Segment!D24/1000</f>
        <v>6.843</v>
      </c>
      <c r="C5" s="16">
        <f>Segment!H24/1000</f>
        <v>7.1550000000000002</v>
      </c>
      <c r="D5" s="16">
        <f>Segment!I24/1000</f>
        <v>7.25908</v>
      </c>
      <c r="E5" s="41">
        <v>7.0229999999999997</v>
      </c>
      <c r="F5" s="17">
        <f>IF(E5="","",E5/B5-1)</f>
        <v>2.6304252520824134E-2</v>
      </c>
      <c r="G5" s="33">
        <f>IF(E5="","",E5/D5-1)</f>
        <v>-3.2522027584762858E-2</v>
      </c>
    </row>
    <row r="6" spans="1:7" x14ac:dyDescent="0.25">
      <c r="A6" s="28" t="s">
        <v>771</v>
      </c>
      <c r="B6" s="16">
        <f>'Income statement'!D17/1000</f>
        <v>5.6189999999999998</v>
      </c>
      <c r="C6" s="16">
        <f>'Income statement'!H17/1000</f>
        <v>5.024</v>
      </c>
      <c r="D6" s="16">
        <f>'Income statement'!I17/1000</f>
        <v>5.4447799999999997</v>
      </c>
      <c r="E6" s="41">
        <v>5.1159999999999997</v>
      </c>
      <c r="F6" s="17">
        <f>IF(E6="","",E6/B6-1)</f>
        <v>-8.9517707777184596E-2</v>
      </c>
      <c r="G6" s="33">
        <f>IF(E6="","",E6/D6-1)</f>
        <v>-6.0384441611965989E-2</v>
      </c>
    </row>
    <row r="7" spans="1:7" x14ac:dyDescent="0.25">
      <c r="A7" s="28"/>
      <c r="B7" s="11"/>
      <c r="C7" s="11"/>
      <c r="D7" s="11"/>
      <c r="E7" s="48"/>
      <c r="F7" s="11"/>
      <c r="G7" s="34"/>
    </row>
    <row r="8" spans="1:7" x14ac:dyDescent="0.25">
      <c r="A8" s="28" t="s">
        <v>772</v>
      </c>
      <c r="B8" s="16">
        <f>Segment!D29/1000</f>
        <v>22.838999999999999</v>
      </c>
      <c r="C8" s="16">
        <f>Segment!H29/1000</f>
        <v>23.364999999999998</v>
      </c>
      <c r="D8" s="16">
        <f>Segment!I29/1000</f>
        <v>23.53792</v>
      </c>
      <c r="E8" s="49">
        <f>E9+E10</f>
        <v>23.490000000000002</v>
      </c>
      <c r="F8" s="17">
        <f>IF(E8="","",E8/B8-1)</f>
        <v>2.8503874950742247E-2</v>
      </c>
      <c r="G8" s="33">
        <f>IF(E8="","",E8/D8-1)</f>
        <v>-2.0358638316383404E-3</v>
      </c>
    </row>
    <row r="9" spans="1:7" x14ac:dyDescent="0.25">
      <c r="A9" s="27" t="s">
        <v>773</v>
      </c>
      <c r="B9" s="16">
        <f>Segment!D17/1000</f>
        <v>19.096</v>
      </c>
      <c r="C9" s="16">
        <f>Segment!H17/1000</f>
        <v>19.637</v>
      </c>
      <c r="D9" s="16">
        <f>Segment!I17/1000</f>
        <v>19.772169999999999</v>
      </c>
      <c r="E9" s="41">
        <v>19.777000000000001</v>
      </c>
      <c r="F9" s="17">
        <f>IF(E9="","",E9/B9-1)</f>
        <v>3.5661918726434871E-2</v>
      </c>
      <c r="G9" s="33">
        <f>IF(E9="","",E9/D9-1)</f>
        <v>2.442827469115727E-4</v>
      </c>
    </row>
    <row r="10" spans="1:7" x14ac:dyDescent="0.25">
      <c r="A10" s="27" t="s">
        <v>774</v>
      </c>
      <c r="B10" s="16">
        <f>Segment!D21/1000</f>
        <v>3.7429999999999999</v>
      </c>
      <c r="C10" s="16">
        <f>Segment!H21/1000</f>
        <v>3.7280000000000002</v>
      </c>
      <c r="D10" s="16">
        <f>Segment!I21/1000</f>
        <v>3.7744599999999999</v>
      </c>
      <c r="E10" s="41">
        <v>3.7130000000000001</v>
      </c>
      <c r="F10" s="17">
        <f>IF(E10="","",E10/B10-1)</f>
        <v>-8.0149612610205256E-3</v>
      </c>
      <c r="G10" s="33">
        <f>IF(E10="","",E10/D10-1)</f>
        <v>-1.6283123943557465E-2</v>
      </c>
    </row>
    <row r="11" spans="1:7" x14ac:dyDescent="0.25">
      <c r="A11" s="28"/>
      <c r="B11" s="11"/>
      <c r="C11" s="11"/>
      <c r="D11" s="11"/>
      <c r="E11" s="48"/>
      <c r="F11" s="11"/>
      <c r="G11" s="34"/>
    </row>
    <row r="12" spans="1:7" x14ac:dyDescent="0.25">
      <c r="A12" s="26" t="s">
        <v>775</v>
      </c>
      <c r="B12" s="14">
        <f>'Income statement'!D29/1000</f>
        <v>12.775</v>
      </c>
      <c r="C12" s="14">
        <f>'Income statement'!H29/1000</f>
        <v>13.723000000000001</v>
      </c>
      <c r="D12" s="14">
        <f>'Income statement'!I29/1000</f>
        <v>13.691510000000001</v>
      </c>
      <c r="E12" s="46">
        <v>13.8</v>
      </c>
      <c r="F12" s="15">
        <f>IF(E12="","",E12/B12-1)</f>
        <v>8.0234833659491134E-2</v>
      </c>
      <c r="G12" s="32">
        <f>IF(E12="","",E12/D12-1)</f>
        <v>7.9238885995773778E-3</v>
      </c>
    </row>
    <row r="13" spans="1:7" x14ac:dyDescent="0.25">
      <c r="A13" s="27" t="s">
        <v>769</v>
      </c>
      <c r="B13" s="16">
        <f>Segment!D82/1000</f>
        <v>11.231999999999999</v>
      </c>
      <c r="C13" s="16">
        <f>Segment!H82/1000</f>
        <v>11.819000000000001</v>
      </c>
      <c r="D13" s="16">
        <f>Segment!I82/1000</f>
        <v>11.909739999999999</v>
      </c>
      <c r="E13" s="41">
        <v>11.965</v>
      </c>
      <c r="F13" s="17">
        <f>IF(E13="","",E13/B13-1)</f>
        <v>6.5259971509971537E-2</v>
      </c>
      <c r="G13" s="33">
        <f>IF(E13="","",E13/D13-1)</f>
        <v>4.6398997795082941E-3</v>
      </c>
    </row>
    <row r="14" spans="1:7" x14ac:dyDescent="0.25">
      <c r="A14" s="27" t="s">
        <v>770</v>
      </c>
      <c r="B14" s="16">
        <f>Segment!D83/1000</f>
        <v>1.718</v>
      </c>
      <c r="C14" s="16">
        <f>Segment!H83/1000</f>
        <v>2.0819999999999999</v>
      </c>
      <c r="D14" s="16">
        <f>Segment!I83/1000</f>
        <v>1.9210399999999999</v>
      </c>
      <c r="E14" s="41">
        <v>1.9410000000000001</v>
      </c>
      <c r="F14" s="17">
        <f>IF(E14="","",E14/B14-1)</f>
        <v>0.12980209545983712</v>
      </c>
      <c r="G14" s="33">
        <f>IF(E14="","",E14/D14-1)</f>
        <v>1.0390205305459643E-2</v>
      </c>
    </row>
    <row r="15" spans="1:7" x14ac:dyDescent="0.25">
      <c r="A15" s="28" t="s">
        <v>776</v>
      </c>
      <c r="B15" s="18">
        <f t="shared" ref="B15:E17" si="0">IF(B12="","",B12/B3)</f>
        <v>0.37772389935247336</v>
      </c>
      <c r="C15" s="18">
        <f t="shared" si="0"/>
        <v>0.40063644060374276</v>
      </c>
      <c r="D15" s="18">
        <f t="shared" si="0"/>
        <v>0.3937964202129603</v>
      </c>
      <c r="E15" s="42">
        <f t="shared" si="0"/>
        <v>0.40217993180427242</v>
      </c>
      <c r="F15" s="17">
        <f>IF(E15="","",E15-B15)</f>
        <v>2.4456032451799059E-2</v>
      </c>
      <c r="G15" s="33">
        <f>IF(E15="","",E15-D15)</f>
        <v>8.3835115913121205E-3</v>
      </c>
    </row>
    <row r="16" spans="1:7" x14ac:dyDescent="0.25">
      <c r="A16" s="27" t="s">
        <v>777</v>
      </c>
      <c r="B16" s="18">
        <f t="shared" si="0"/>
        <v>0.43026240183872816</v>
      </c>
      <c r="C16" s="18">
        <f t="shared" si="0"/>
        <v>0.4503848792012804</v>
      </c>
      <c r="D16" s="18">
        <f t="shared" si="0"/>
        <v>0.44271394404657555</v>
      </c>
      <c r="E16" s="42">
        <f t="shared" si="0"/>
        <v>0.45267100484261502</v>
      </c>
      <c r="F16" s="17">
        <f>IF(E16="","",E16-B16)</f>
        <v>2.2408603003886862E-2</v>
      </c>
      <c r="G16" s="33">
        <f>IF(E16="","",E16-D16)</f>
        <v>9.9570607960394741E-3</v>
      </c>
    </row>
    <row r="17" spans="1:7" x14ac:dyDescent="0.25">
      <c r="A17" s="27" t="s">
        <v>778</v>
      </c>
      <c r="B17" s="18">
        <f t="shared" si="0"/>
        <v>0.25105947683764429</v>
      </c>
      <c r="C17" s="18">
        <f t="shared" si="0"/>
        <v>0.29098532494758905</v>
      </c>
      <c r="D17" s="18">
        <f t="shared" si="0"/>
        <v>0.26463959620227356</v>
      </c>
      <c r="E17" s="42">
        <f t="shared" si="0"/>
        <v>0.27637761640324648</v>
      </c>
      <c r="F17" s="17">
        <f>IF(E17="","",E17-B17)</f>
        <v>2.5318139565602193E-2</v>
      </c>
      <c r="G17" s="33">
        <f>IF(E17="","",E17-D17)</f>
        <v>1.1738020200972921E-2</v>
      </c>
    </row>
    <row r="18" spans="1:7" x14ac:dyDescent="0.25">
      <c r="A18" s="26" t="s">
        <v>779</v>
      </c>
      <c r="B18" s="19">
        <f>'Income statement'!D52</f>
        <v>1.21</v>
      </c>
      <c r="C18" s="19">
        <f>'Income statement'!H52</f>
        <v>1.3</v>
      </c>
      <c r="D18" s="19">
        <f>'Income statement'!I52</f>
        <v>1.27</v>
      </c>
      <c r="E18" s="47">
        <v>1.31</v>
      </c>
      <c r="F18" s="15">
        <f>IF(E18="","",E18/B18-1)</f>
        <v>8.2644628099173723E-2</v>
      </c>
      <c r="G18" s="32">
        <f>IF(E18="","",E18/D18-1)</f>
        <v>3.1496062992125928E-2</v>
      </c>
    </row>
    <row r="19" spans="1:7" x14ac:dyDescent="0.25">
      <c r="A19" s="28"/>
      <c r="B19" s="11"/>
      <c r="C19" s="11"/>
      <c r="D19" s="11"/>
      <c r="E19" s="48"/>
      <c r="F19" s="11"/>
      <c r="G19" s="34"/>
    </row>
    <row r="20" spans="1:7" x14ac:dyDescent="0.25">
      <c r="A20" s="29" t="s">
        <v>768</v>
      </c>
      <c r="B20" s="20"/>
      <c r="C20" s="20"/>
      <c r="D20" s="20"/>
      <c r="E20" s="50"/>
      <c r="F20" s="20"/>
      <c r="G20" s="35"/>
    </row>
    <row r="21" spans="1:7" x14ac:dyDescent="0.25">
      <c r="A21" s="28" t="s">
        <v>780</v>
      </c>
      <c r="B21" s="21">
        <f>Wireless!D21</f>
        <v>36</v>
      </c>
      <c r="C21" s="21">
        <f>Wireless!H21</f>
        <v>188</v>
      </c>
      <c r="D21" s="21">
        <f>Wireless!I21</f>
        <v>203.14</v>
      </c>
      <c r="E21" s="43">
        <v>231</v>
      </c>
      <c r="F21" s="17">
        <f>IF(E21="","",IF(B21&lt;=0,"n.m",E21/B21-1))</f>
        <v>5.416666666666667</v>
      </c>
      <c r="G21" s="33">
        <f>IF(E21="","",IF(D21&lt;=0,"n.m",E21/D21-1))</f>
        <v>0.13714679531357699</v>
      </c>
    </row>
    <row r="22" spans="1:7" x14ac:dyDescent="0.25">
      <c r="A22" s="28" t="s">
        <v>781</v>
      </c>
      <c r="B22" s="21">
        <f>Consumer!D164+Business!D89</f>
        <v>44</v>
      </c>
      <c r="C22" s="21">
        <f>Consumer!H164+Business!H89</f>
        <v>165.35999999999999</v>
      </c>
      <c r="D22" s="21">
        <f>Consumer!I164+Business!I89</f>
        <v>186.48000000000002</v>
      </c>
      <c r="E22" s="43">
        <v>406</v>
      </c>
      <c r="F22" s="17">
        <f>IF(E22="","",IF(B22&lt;=0,"n.m",E22/B22-1))</f>
        <v>8.2272727272727266</v>
      </c>
      <c r="G22" s="33">
        <f>IF(E22="","",IF(D22&lt;=0,"n.m",E22/D22-1))</f>
        <v>1.1771771771771768</v>
      </c>
    </row>
    <row r="23" spans="1:7" x14ac:dyDescent="0.25">
      <c r="A23" s="28" t="s">
        <v>782</v>
      </c>
      <c r="B23" s="21">
        <f>Wireless!D89</f>
        <v>261</v>
      </c>
      <c r="C23" s="21">
        <f>Wireless!H89</f>
        <v>193</v>
      </c>
      <c r="D23" s="21">
        <f>Wireless!I89</f>
        <v>194.3</v>
      </c>
      <c r="E23" s="43">
        <v>159</v>
      </c>
      <c r="F23" s="17">
        <f>IF(E23="","",IF(B23&lt;=0,"n.m",E23/B23-1))</f>
        <v>-0.39080459770114939</v>
      </c>
      <c r="G23" s="33">
        <f>IF(E23="","",IF(D23&lt;=0,"n.m",E23/D23-1))</f>
        <v>-0.18167781780751424</v>
      </c>
    </row>
    <row r="24" spans="1:7" x14ac:dyDescent="0.25">
      <c r="A24" s="28" t="s">
        <v>783</v>
      </c>
      <c r="B24" s="21">
        <f>Wireline!D40</f>
        <v>61</v>
      </c>
      <c r="C24" s="21">
        <f>Wireline!H40</f>
        <v>155</v>
      </c>
      <c r="D24" s="21">
        <f>Wireline!I40</f>
        <v>167.68</v>
      </c>
      <c r="E24" s="43">
        <v>155</v>
      </c>
      <c r="F24" s="17">
        <f>IF(E24="","",IF(B24&lt;=0,"n.m",E24/B24-1))</f>
        <v>1.540983606557377</v>
      </c>
      <c r="G24" s="33">
        <f>IF(E24="","",IF(D24&lt;=0,"n.m",E24/D24-1))</f>
        <v>-7.5620229007633655E-2</v>
      </c>
    </row>
    <row r="25" spans="1:7" x14ac:dyDescent="0.25">
      <c r="A25" s="28" t="s">
        <v>784</v>
      </c>
      <c r="B25" s="22">
        <f>(Consumer!D163+Business!D88)/(Consumer!D168+Business!D93)/3</f>
        <v>9.7880252217270123E-3</v>
      </c>
      <c r="C25" s="22">
        <f>(Consumer!H163+Business!H88)/(Consumer!H168+Business!H93)/3</f>
        <v>9.1991412266084639E-3</v>
      </c>
      <c r="D25" s="22">
        <f>(Consumer!I163+Business!I88)/(Consumer!I168+Business!I93)/3</f>
        <v>9.3659503602398966E-3</v>
      </c>
      <c r="E25" s="44">
        <v>9.4000000000000004E-3</v>
      </c>
      <c r="F25" s="17">
        <f>IF(E25="","",E25/B25-1)</f>
        <v>-3.9642850619723724E-2</v>
      </c>
      <c r="G25" s="33">
        <f>IF(E25="","",E25/D25-1)</f>
        <v>3.6354708759349652E-3</v>
      </c>
    </row>
    <row r="26" spans="1:7" x14ac:dyDescent="0.25">
      <c r="A26" s="30" t="s">
        <v>785</v>
      </c>
      <c r="B26" s="23" t="str">
        <f>Wireless!D37</f>
        <v>3.73%</v>
      </c>
      <c r="C26" s="23" t="str">
        <f>Wireless!H37</f>
        <v>3.59%</v>
      </c>
      <c r="D26" s="23" t="str">
        <f>Wireless!I37</f>
        <v>3.77%</v>
      </c>
      <c r="E26" s="45">
        <v>3.7999999999999999E-2</v>
      </c>
      <c r="F26" s="24">
        <f>IF(E26="","",E26/B26-1)</f>
        <v>1.8766756032171594E-2</v>
      </c>
      <c r="G26" s="36">
        <f>IF(E26="","",E26/D26-1)</f>
        <v>7.9575596816976457E-3</v>
      </c>
    </row>
    <row r="28" spans="1:7" x14ac:dyDescent="0.25">
      <c r="A28" s="37" t="s">
        <v>786</v>
      </c>
    </row>
    <row r="37" spans="11:11" x14ac:dyDescent="0.25">
      <c r="K37" s="51" t="s">
        <v>789</v>
      </c>
    </row>
    <row r="38" spans="11:11" ht="51" x14ac:dyDescent="0.25">
      <c r="K38" s="52" t="s">
        <v>800</v>
      </c>
    </row>
    <row r="39" spans="11:11" ht="38.25" x14ac:dyDescent="0.25">
      <c r="K39" s="52" t="s">
        <v>790</v>
      </c>
    </row>
    <row r="40" spans="11:11" ht="51" x14ac:dyDescent="0.25">
      <c r="K40" s="52" t="s">
        <v>791</v>
      </c>
    </row>
    <row r="41" spans="11:11" ht="38.25" x14ac:dyDescent="0.25">
      <c r="K41" s="52" t="s">
        <v>792</v>
      </c>
    </row>
    <row r="42" spans="11:11" ht="51" x14ac:dyDescent="0.25">
      <c r="K42" s="52" t="s">
        <v>793</v>
      </c>
    </row>
    <row r="43" spans="11:11" ht="51" x14ac:dyDescent="0.25">
      <c r="K43" s="52" t="s">
        <v>794</v>
      </c>
    </row>
    <row r="44" spans="11:11" ht="38.25" x14ac:dyDescent="0.25">
      <c r="K44" s="52" t="s">
        <v>795</v>
      </c>
    </row>
    <row r="45" spans="11:11" ht="51" x14ac:dyDescent="0.25">
      <c r="K45" s="52" t="s">
        <v>796</v>
      </c>
    </row>
    <row r="46" spans="11:11" ht="51" x14ac:dyDescent="0.25">
      <c r="K46" s="52" t="s">
        <v>797</v>
      </c>
    </row>
    <row r="47" spans="11:11" ht="51" x14ac:dyDescent="0.25">
      <c r="K47" s="52" t="s">
        <v>798</v>
      </c>
    </row>
    <row r="48" spans="11:11" ht="63.75" x14ac:dyDescent="0.25">
      <c r="K48" s="52" t="s">
        <v>799</v>
      </c>
    </row>
    <row r="49" spans="11:11" ht="63.75" x14ac:dyDescent="0.25">
      <c r="K49" s="52" t="s">
        <v>801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C0FD2-DE85-4484-9172-4C8B832BF773}">
  <dimension ref="A1:A3"/>
  <sheetViews>
    <sheetView showGridLines="0" workbookViewId="0">
      <selection activeCell="A3" sqref="A3"/>
    </sheetView>
  </sheetViews>
  <sheetFormatPr defaultRowHeight="15" x14ac:dyDescent="0.25"/>
  <cols>
    <col min="1" max="1" width="142.85546875" customWidth="1"/>
  </cols>
  <sheetData>
    <row r="1" spans="1:1" ht="18.75" x14ac:dyDescent="0.3">
      <c r="A1" s="38" t="s">
        <v>787</v>
      </c>
    </row>
    <row r="3" spans="1:1" ht="408.95" customHeight="1" x14ac:dyDescent="0.25">
      <c r="A3" s="39" t="s">
        <v>788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9B1A-3487-4019-8586-C93371AADA14}">
  <sheetPr>
    <tabColor theme="4"/>
  </sheetPr>
  <dimension ref="A1"/>
  <sheetViews>
    <sheetView workbookViewId="0">
      <selection activeCell="G51" sqref="G51"/>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C624-0A68-46D7-AC0A-AB1E335BEECE}">
  <dimension ref="A1:AE39"/>
  <sheetViews>
    <sheetView workbookViewId="0">
      <selection sqref="A1:D1"/>
    </sheetView>
  </sheetViews>
  <sheetFormatPr defaultRowHeight="15" x14ac:dyDescent="0.25"/>
  <cols>
    <col min="1" max="1" width="48.5703125" customWidth="1"/>
    <col min="2" max="5" width="18.42578125" customWidth="1"/>
    <col min="6" max="6" width="19.7109375" customWidth="1"/>
    <col min="7" max="8" width="18.42578125" customWidth="1"/>
    <col min="9" max="10" width="18" customWidth="1"/>
    <col min="11" max="11" width="16.85546875" customWidth="1"/>
    <col min="12" max="15" width="18" customWidth="1"/>
    <col min="16" max="16" width="16.85546875" customWidth="1"/>
    <col min="17" max="20" width="18" customWidth="1"/>
    <col min="21" max="21" width="16.85546875" customWidth="1"/>
    <col min="22" max="25" width="18" customWidth="1"/>
    <col min="26" max="26" width="16.85546875" customWidth="1"/>
    <col min="27" max="30" width="18" customWidth="1"/>
    <col min="31" max="31" width="16.85546875" customWidth="1"/>
  </cols>
  <sheetData>
    <row r="1" spans="1:31" ht="39.950000000000003" customHeight="1" x14ac:dyDescent="0.25">
      <c r="A1" s="40"/>
      <c r="B1" s="40"/>
      <c r="C1" s="40"/>
      <c r="D1" s="40"/>
    </row>
    <row r="2" spans="1:31" ht="30" customHeight="1" x14ac:dyDescent="0.3">
      <c r="A2" s="1" t="s">
        <v>759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19</v>
      </c>
      <c r="C15" s="7">
        <v>19</v>
      </c>
      <c r="D15" s="7">
        <v>19</v>
      </c>
      <c r="E15" s="7">
        <v>19</v>
      </c>
      <c r="F15" s="7">
        <v>20</v>
      </c>
      <c r="G15" s="7">
        <v>20</v>
      </c>
      <c r="H15" s="7">
        <v>20</v>
      </c>
      <c r="I15" s="8" t="s">
        <v>40</v>
      </c>
      <c r="J15" s="8" t="s">
        <v>40</v>
      </c>
      <c r="K15" s="8" t="s">
        <v>40</v>
      </c>
      <c r="L15" s="8" t="s">
        <v>41</v>
      </c>
      <c r="M15" s="8" t="s">
        <v>41</v>
      </c>
      <c r="N15" s="8" t="s">
        <v>42</v>
      </c>
      <c r="O15" s="8" t="s">
        <v>42</v>
      </c>
      <c r="P15" s="8" t="s">
        <v>40</v>
      </c>
      <c r="Q15" s="8" t="s">
        <v>43</v>
      </c>
      <c r="R15" s="8" t="s">
        <v>43</v>
      </c>
      <c r="S15" s="8" t="s">
        <v>43</v>
      </c>
      <c r="T15" s="8" t="s">
        <v>43</v>
      </c>
      <c r="U15" s="8" t="s">
        <v>44</v>
      </c>
      <c r="V15" s="8" t="s">
        <v>45</v>
      </c>
      <c r="W15" s="8" t="s">
        <v>45</v>
      </c>
      <c r="X15" s="8" t="s">
        <v>45</v>
      </c>
      <c r="Y15" s="8" t="s">
        <v>45</v>
      </c>
      <c r="Z15" s="8" t="s">
        <v>46</v>
      </c>
      <c r="AA15" s="8" t="s">
        <v>45</v>
      </c>
      <c r="AB15" s="8" t="s">
        <v>45</v>
      </c>
      <c r="AC15" s="8" t="s">
        <v>45</v>
      </c>
      <c r="AD15" s="8" t="s">
        <v>45</v>
      </c>
      <c r="AE15" s="8" t="s">
        <v>46</v>
      </c>
    </row>
    <row r="16" spans="1:31" x14ac:dyDescent="0.25">
      <c r="A16" s="3" t="s">
        <v>758</v>
      </c>
      <c r="B16" s="9">
        <v>4983</v>
      </c>
      <c r="C16" s="9">
        <v>5121</v>
      </c>
      <c r="D16" s="9">
        <v>5056</v>
      </c>
      <c r="E16" s="9">
        <v>2448</v>
      </c>
      <c r="F16" s="9">
        <v>17608</v>
      </c>
      <c r="G16" s="9">
        <v>5146</v>
      </c>
      <c r="H16" s="9">
        <v>3949</v>
      </c>
      <c r="I16" s="9">
        <v>5303.09</v>
      </c>
      <c r="J16" s="9">
        <v>4752.37</v>
      </c>
      <c r="K16" s="9">
        <v>19133.86</v>
      </c>
      <c r="L16" s="9">
        <v>5444.26</v>
      </c>
      <c r="M16" s="9">
        <v>5415.87</v>
      </c>
      <c r="N16" s="9">
        <v>5602.89</v>
      </c>
      <c r="O16" s="9">
        <v>5041.72</v>
      </c>
      <c r="P16" s="9">
        <v>21494.47</v>
      </c>
      <c r="Q16" s="9">
        <v>5598.85</v>
      </c>
      <c r="R16" s="9">
        <v>5676.23</v>
      </c>
      <c r="S16" s="9">
        <v>5839.72</v>
      </c>
      <c r="T16" s="9">
        <v>5352.45</v>
      </c>
      <c r="U16" s="9">
        <v>22534.14</v>
      </c>
      <c r="V16" s="9">
        <v>5833.63</v>
      </c>
      <c r="W16" s="9">
        <v>5888.31</v>
      </c>
      <c r="X16" s="9">
        <v>6030.81</v>
      </c>
      <c r="Y16" s="9">
        <v>5564.66</v>
      </c>
      <c r="Z16" s="9">
        <v>23385.22</v>
      </c>
      <c r="AA16" s="9">
        <v>5984.87</v>
      </c>
      <c r="AB16" s="9">
        <v>6037.95</v>
      </c>
      <c r="AC16" s="9">
        <v>6177.96</v>
      </c>
      <c r="AD16" s="9">
        <v>5716.5</v>
      </c>
      <c r="AE16" s="9">
        <v>23890.43</v>
      </c>
    </row>
    <row r="17" spans="1:31" x14ac:dyDescent="0.25">
      <c r="A17" s="3" t="s">
        <v>757</v>
      </c>
      <c r="B17" s="9">
        <v>4577</v>
      </c>
      <c r="C17" s="9">
        <v>4635</v>
      </c>
      <c r="D17" s="9">
        <v>4618</v>
      </c>
      <c r="E17" s="9">
        <v>4519</v>
      </c>
      <c r="F17" s="9">
        <v>18349</v>
      </c>
      <c r="G17" s="9">
        <v>4892</v>
      </c>
      <c r="H17" s="9">
        <v>5008</v>
      </c>
      <c r="I17" s="9">
        <v>4908.03</v>
      </c>
      <c r="J17" s="9">
        <v>4917.8900000000003</v>
      </c>
      <c r="K17" s="9">
        <v>19650.53</v>
      </c>
      <c r="L17" s="9">
        <v>4884.88</v>
      </c>
      <c r="M17" s="9">
        <v>4903.96</v>
      </c>
      <c r="N17" s="9">
        <v>4909.1499999999996</v>
      </c>
      <c r="O17" s="9">
        <v>4908.2</v>
      </c>
      <c r="P17" s="9">
        <v>19719.89</v>
      </c>
      <c r="Q17" s="9">
        <v>4958.67</v>
      </c>
      <c r="R17" s="9">
        <v>4989.7299999999996</v>
      </c>
      <c r="S17" s="9">
        <v>4989.71</v>
      </c>
      <c r="T17" s="9">
        <v>4951.88</v>
      </c>
      <c r="U17" s="9">
        <v>19926.25</v>
      </c>
      <c r="V17" s="9">
        <v>5048.8500000000004</v>
      </c>
      <c r="W17" s="9">
        <v>5075.42</v>
      </c>
      <c r="X17" s="9">
        <v>5078.01</v>
      </c>
      <c r="Y17" s="9">
        <v>5049.66</v>
      </c>
      <c r="Z17" s="9">
        <v>20159.830000000002</v>
      </c>
      <c r="AA17" s="9">
        <v>5079.13</v>
      </c>
      <c r="AB17" s="9">
        <v>5104.8599999999997</v>
      </c>
      <c r="AC17" s="9">
        <v>5106.84</v>
      </c>
      <c r="AD17" s="9">
        <v>5076.3900000000003</v>
      </c>
      <c r="AE17" s="9">
        <v>20293.900000000001</v>
      </c>
    </row>
    <row r="18" spans="1:31" x14ac:dyDescent="0.25">
      <c r="A18" s="3" t="s">
        <v>756</v>
      </c>
      <c r="B18" s="9">
        <v>143</v>
      </c>
      <c r="C18" s="9">
        <v>188</v>
      </c>
      <c r="D18" s="9">
        <v>113</v>
      </c>
      <c r="E18" s="9">
        <v>581</v>
      </c>
      <c r="F18" s="9">
        <v>1025</v>
      </c>
      <c r="G18" s="10">
        <v>-117</v>
      </c>
      <c r="H18" s="9">
        <v>152</v>
      </c>
      <c r="I18" s="10">
        <v>-24.16</v>
      </c>
      <c r="J18" s="10">
        <v>-6</v>
      </c>
      <c r="K18" s="10">
        <v>-5.43</v>
      </c>
      <c r="L18" s="10">
        <v>-36.380000000000003</v>
      </c>
      <c r="M18" s="9">
        <v>32.65</v>
      </c>
      <c r="N18" s="9">
        <v>27.66</v>
      </c>
      <c r="O18" s="10">
        <v>-19.920000000000002</v>
      </c>
      <c r="P18" s="10">
        <v>-67.540000000000006</v>
      </c>
      <c r="Q18" s="10">
        <v>-51.83</v>
      </c>
      <c r="R18" s="9">
        <v>54.19</v>
      </c>
      <c r="S18" s="9">
        <v>23.41</v>
      </c>
      <c r="T18" s="10">
        <v>-49.63</v>
      </c>
      <c r="U18" s="10">
        <v>-79.900000000000006</v>
      </c>
      <c r="V18" s="10">
        <v>-12.66</v>
      </c>
      <c r="W18" s="10">
        <v>-12.66</v>
      </c>
      <c r="X18" s="10">
        <v>-12.66</v>
      </c>
      <c r="Y18" s="10">
        <v>-12.66</v>
      </c>
      <c r="Z18" s="10">
        <v>-107.1</v>
      </c>
      <c r="AA18" s="10">
        <v>-9.7899999999999991</v>
      </c>
      <c r="AB18" s="10">
        <v>-9.7899999999999991</v>
      </c>
      <c r="AC18" s="10">
        <v>-9.7899999999999991</v>
      </c>
      <c r="AD18" s="10">
        <v>-9.7899999999999991</v>
      </c>
      <c r="AE18" s="10">
        <v>-99.45</v>
      </c>
    </row>
    <row r="19" spans="1:31" x14ac:dyDescent="0.25">
      <c r="A19" s="3" t="s">
        <v>755</v>
      </c>
      <c r="B19" s="9">
        <v>132</v>
      </c>
      <c r="C19" s="10">
        <v>-37</v>
      </c>
      <c r="D19" s="9">
        <v>1714</v>
      </c>
      <c r="E19" s="9">
        <v>531</v>
      </c>
      <c r="F19" s="9">
        <v>2340</v>
      </c>
      <c r="G19" s="9">
        <v>703</v>
      </c>
      <c r="H19" s="9">
        <v>730</v>
      </c>
      <c r="I19" s="9">
        <v>555.76</v>
      </c>
      <c r="J19" s="9">
        <v>299.32</v>
      </c>
      <c r="K19" s="9">
        <v>2050.3200000000002</v>
      </c>
      <c r="L19" s="9">
        <v>345.17</v>
      </c>
      <c r="M19" s="9">
        <v>391.07</v>
      </c>
      <c r="N19" s="9">
        <v>413.37</v>
      </c>
      <c r="O19" s="9">
        <v>379.04</v>
      </c>
      <c r="P19" s="9">
        <v>1430.99</v>
      </c>
      <c r="Q19" s="9">
        <v>229.15</v>
      </c>
      <c r="R19" s="9">
        <v>370.54</v>
      </c>
      <c r="S19" s="9">
        <v>354.32</v>
      </c>
      <c r="T19" s="9">
        <v>324.63</v>
      </c>
      <c r="U19" s="9">
        <v>1078.24</v>
      </c>
      <c r="V19" s="9">
        <v>363.45</v>
      </c>
      <c r="W19" s="9">
        <v>363.8</v>
      </c>
      <c r="X19" s="9">
        <v>354.02</v>
      </c>
      <c r="Y19" s="9">
        <v>323.36</v>
      </c>
      <c r="Z19" s="9">
        <v>969.07</v>
      </c>
      <c r="AA19" s="9">
        <v>195.41</v>
      </c>
      <c r="AB19" s="9">
        <v>181.63</v>
      </c>
      <c r="AC19" s="9">
        <v>193.92</v>
      </c>
      <c r="AD19" s="9">
        <v>168.03</v>
      </c>
      <c r="AE19" s="9">
        <v>604.59</v>
      </c>
    </row>
    <row r="20" spans="1:31" x14ac:dyDescent="0.25">
      <c r="A20" s="3" t="s">
        <v>754</v>
      </c>
      <c r="B20" s="9">
        <v>587</v>
      </c>
      <c r="C20" s="9">
        <v>548</v>
      </c>
      <c r="D20" s="9">
        <v>478</v>
      </c>
      <c r="E20" s="9">
        <v>736</v>
      </c>
      <c r="F20" s="9">
        <v>2349</v>
      </c>
      <c r="G20" s="9">
        <v>581</v>
      </c>
      <c r="H20" s="9">
        <v>462</v>
      </c>
      <c r="I20" s="9">
        <v>508.27</v>
      </c>
      <c r="J20" s="9">
        <v>525.25</v>
      </c>
      <c r="K20" s="9">
        <v>2004.21</v>
      </c>
      <c r="L20" s="9">
        <v>480.43</v>
      </c>
      <c r="M20" s="9">
        <v>453.58</v>
      </c>
      <c r="N20" s="9">
        <v>452.12</v>
      </c>
      <c r="O20" s="9">
        <v>476.71</v>
      </c>
      <c r="P20" s="9">
        <v>1969.84</v>
      </c>
      <c r="Q20" s="9">
        <v>466.44</v>
      </c>
      <c r="R20" s="9">
        <v>449.79</v>
      </c>
      <c r="S20" s="9">
        <v>448.3</v>
      </c>
      <c r="T20" s="9">
        <v>493.96</v>
      </c>
      <c r="U20" s="9">
        <v>1991.24</v>
      </c>
      <c r="V20" s="9">
        <v>465.64</v>
      </c>
      <c r="W20" s="9">
        <v>441.04</v>
      </c>
      <c r="X20" s="9">
        <v>443.55</v>
      </c>
      <c r="Y20" s="9">
        <v>499.93</v>
      </c>
      <c r="Z20" s="9">
        <v>2011.85</v>
      </c>
      <c r="AA20" s="9">
        <v>465.87</v>
      </c>
      <c r="AB20" s="9">
        <v>441.24</v>
      </c>
      <c r="AC20" s="9">
        <v>443.76</v>
      </c>
      <c r="AD20" s="9">
        <v>500.26</v>
      </c>
      <c r="AE20" s="9">
        <v>2012.14</v>
      </c>
    </row>
    <row r="21" spans="1:31" x14ac:dyDescent="0.25">
      <c r="A21" s="3" t="s">
        <v>753</v>
      </c>
      <c r="B21" s="9">
        <v>20</v>
      </c>
      <c r="C21" s="9">
        <v>9</v>
      </c>
      <c r="D21" s="9">
        <v>12</v>
      </c>
      <c r="E21" s="9">
        <v>1</v>
      </c>
      <c r="F21" s="9">
        <v>42</v>
      </c>
      <c r="G21" s="9">
        <v>3</v>
      </c>
      <c r="H21" s="10">
        <v>-38</v>
      </c>
      <c r="I21" s="9">
        <v>8.07</v>
      </c>
      <c r="J21" s="9">
        <v>3.61</v>
      </c>
      <c r="K21" s="10">
        <v>-29.16</v>
      </c>
      <c r="L21" s="9">
        <v>3.92</v>
      </c>
      <c r="M21" s="10">
        <v>-13.39</v>
      </c>
      <c r="N21" s="9">
        <v>8.06</v>
      </c>
      <c r="O21" s="9">
        <v>3.58</v>
      </c>
      <c r="P21" s="9">
        <v>2.17</v>
      </c>
      <c r="Q21" s="9">
        <v>3.87</v>
      </c>
      <c r="R21" s="10">
        <v>-12.16</v>
      </c>
      <c r="S21" s="9">
        <v>7.87</v>
      </c>
      <c r="T21" s="9">
        <v>3.78</v>
      </c>
      <c r="U21" s="9">
        <v>6.13</v>
      </c>
      <c r="V21" s="9">
        <v>2.67</v>
      </c>
      <c r="W21" s="10">
        <v>-24</v>
      </c>
      <c r="X21" s="9">
        <v>9.33</v>
      </c>
      <c r="Y21" s="9">
        <v>2.67</v>
      </c>
      <c r="Z21" s="10">
        <v>-2</v>
      </c>
      <c r="AA21" s="9">
        <v>2.67</v>
      </c>
      <c r="AB21" s="10">
        <v>-24</v>
      </c>
      <c r="AC21" s="9">
        <v>9.33</v>
      </c>
      <c r="AD21" s="9">
        <v>2.67</v>
      </c>
      <c r="AE21" s="10">
        <v>-2</v>
      </c>
    </row>
    <row r="22" spans="1:31" x14ac:dyDescent="0.25">
      <c r="A22" s="3" t="s">
        <v>752</v>
      </c>
      <c r="B22" s="10">
        <v>-2618</v>
      </c>
      <c r="C22" s="10">
        <v>-700</v>
      </c>
      <c r="D22" s="10">
        <v>-736</v>
      </c>
      <c r="E22" s="9">
        <v>1734</v>
      </c>
      <c r="F22" s="10">
        <v>-2320</v>
      </c>
      <c r="G22" s="10">
        <v>-3082</v>
      </c>
      <c r="H22" s="10">
        <v>-336</v>
      </c>
      <c r="I22" s="10">
        <v>-776.04</v>
      </c>
      <c r="J22" s="9">
        <v>433.06</v>
      </c>
      <c r="K22" s="10">
        <v>-3638.96</v>
      </c>
      <c r="L22" s="10">
        <v>-1681.47</v>
      </c>
      <c r="M22" s="10">
        <v>-1052.33</v>
      </c>
      <c r="N22" s="10">
        <v>-201.78</v>
      </c>
      <c r="O22" s="9">
        <v>406.3</v>
      </c>
      <c r="P22" s="10">
        <v>-2866.3</v>
      </c>
      <c r="Q22" s="10">
        <v>-1548.28</v>
      </c>
      <c r="R22" s="10">
        <v>-1373.8</v>
      </c>
      <c r="S22" s="9">
        <v>198.88</v>
      </c>
      <c r="T22" s="9">
        <v>648.29</v>
      </c>
      <c r="U22" s="10">
        <v>-2427.7199999999998</v>
      </c>
      <c r="V22" s="10">
        <v>-1443.31</v>
      </c>
      <c r="W22" s="10">
        <v>-1589.2</v>
      </c>
      <c r="X22" s="9">
        <v>240.34</v>
      </c>
      <c r="Y22" s="9">
        <v>194.93</v>
      </c>
      <c r="Z22" s="10">
        <v>-2517.1799999999998</v>
      </c>
      <c r="AA22" s="10">
        <v>-1467.55</v>
      </c>
      <c r="AB22" s="10">
        <v>-1598.96</v>
      </c>
      <c r="AC22" s="9">
        <v>242.38</v>
      </c>
      <c r="AD22" s="9">
        <v>148.62</v>
      </c>
      <c r="AE22" s="10">
        <v>-2343.15</v>
      </c>
    </row>
    <row r="23" spans="1:31" x14ac:dyDescent="0.25">
      <c r="A23" s="3" t="s">
        <v>751</v>
      </c>
      <c r="B23" s="10">
        <v>-42</v>
      </c>
      <c r="C23" s="10">
        <v>-789</v>
      </c>
      <c r="D23" s="9">
        <v>11</v>
      </c>
      <c r="E23" s="10">
        <v>-1436</v>
      </c>
      <c r="F23" s="10">
        <v>-2256</v>
      </c>
      <c r="G23" s="10">
        <v>-142</v>
      </c>
      <c r="H23" s="9">
        <v>508</v>
      </c>
      <c r="I23" s="10">
        <v>-284.89</v>
      </c>
      <c r="J23" s="10">
        <v>-987.04</v>
      </c>
      <c r="K23" s="10">
        <v>-516.15</v>
      </c>
      <c r="L23" s="10">
        <v>-236.39</v>
      </c>
      <c r="M23" s="10">
        <v>-237.82</v>
      </c>
      <c r="N23" s="10">
        <v>-341.36</v>
      </c>
      <c r="O23" s="10">
        <v>-914.4</v>
      </c>
      <c r="P23" s="10">
        <v>-1029.26</v>
      </c>
      <c r="Q23" s="10">
        <v>-215.43</v>
      </c>
      <c r="R23" s="10">
        <v>-554.20000000000005</v>
      </c>
      <c r="S23" s="10">
        <v>-491.68</v>
      </c>
      <c r="T23" s="10">
        <v>-1198.29</v>
      </c>
      <c r="U23" s="10">
        <v>-1264.3800000000001</v>
      </c>
      <c r="V23" s="10">
        <v>-427.13</v>
      </c>
      <c r="W23" s="10">
        <v>-555.98</v>
      </c>
      <c r="X23" s="10">
        <v>-560.25</v>
      </c>
      <c r="Y23" s="10">
        <v>-783.38</v>
      </c>
      <c r="Z23" s="10">
        <v>-775.63</v>
      </c>
      <c r="AA23" s="10">
        <v>-317.77999999999997</v>
      </c>
      <c r="AB23" s="10">
        <v>-430.89</v>
      </c>
      <c r="AC23" s="10">
        <v>-454.53</v>
      </c>
      <c r="AD23" s="10">
        <v>-706.94</v>
      </c>
      <c r="AE23" s="10">
        <v>-661.63</v>
      </c>
    </row>
    <row r="24" spans="1:31" x14ac:dyDescent="0.25">
      <c r="A24" s="4" t="s">
        <v>750</v>
      </c>
      <c r="B24" s="9">
        <v>7782</v>
      </c>
      <c r="C24" s="9">
        <v>8975</v>
      </c>
      <c r="D24" s="9">
        <v>11266</v>
      </c>
      <c r="E24" s="9">
        <v>9114</v>
      </c>
      <c r="F24" s="9">
        <v>37137</v>
      </c>
      <c r="G24" s="9">
        <v>7984</v>
      </c>
      <c r="H24" s="9">
        <v>10435</v>
      </c>
      <c r="I24" s="9">
        <v>10195.14</v>
      </c>
      <c r="J24" s="9">
        <v>9843.9599999999991</v>
      </c>
      <c r="K24" s="9">
        <v>38344.559999999998</v>
      </c>
      <c r="L24" s="9">
        <v>9271.15</v>
      </c>
      <c r="M24" s="9">
        <v>9801.61</v>
      </c>
      <c r="N24" s="9">
        <v>10843.04</v>
      </c>
      <c r="O24" s="9">
        <v>10373.83</v>
      </c>
      <c r="P24" s="9">
        <v>40128.93</v>
      </c>
      <c r="Q24" s="9">
        <v>9453.19</v>
      </c>
      <c r="R24" s="9">
        <v>9614.5300000000007</v>
      </c>
      <c r="S24" s="9">
        <v>11381.22</v>
      </c>
      <c r="T24" s="9">
        <v>10664.98</v>
      </c>
      <c r="U24" s="9">
        <v>41155.82</v>
      </c>
      <c r="V24" s="9">
        <v>9918.0300000000007</v>
      </c>
      <c r="W24" s="9">
        <v>9710.06</v>
      </c>
      <c r="X24" s="9">
        <v>11694.01</v>
      </c>
      <c r="Y24" s="9">
        <v>10997.31</v>
      </c>
      <c r="Z24" s="9">
        <v>42390.26</v>
      </c>
      <c r="AA24" s="9">
        <v>9997.2800000000007</v>
      </c>
      <c r="AB24" s="9">
        <v>9799.76</v>
      </c>
      <c r="AC24" s="9">
        <v>11798.99</v>
      </c>
      <c r="AD24" s="9">
        <v>11038.02</v>
      </c>
      <c r="AE24" s="9">
        <v>42950.9</v>
      </c>
    </row>
    <row r="25" spans="1:31" x14ac:dyDescent="0.25">
      <c r="A25" s="3" t="s">
        <v>749</v>
      </c>
      <c r="B25" s="9">
        <v>4145</v>
      </c>
      <c r="C25" s="9">
        <v>3808</v>
      </c>
      <c r="D25" s="9">
        <v>4310</v>
      </c>
      <c r="E25" s="9">
        <v>4748</v>
      </c>
      <c r="F25" s="9">
        <v>17011</v>
      </c>
      <c r="G25" s="9">
        <v>4201</v>
      </c>
      <c r="H25" s="9">
        <v>4009</v>
      </c>
      <c r="I25" s="9">
        <v>4008.73</v>
      </c>
      <c r="J25" s="9">
        <v>4142.97</v>
      </c>
      <c r="K25" s="9">
        <v>16344.13</v>
      </c>
      <c r="L25" s="9">
        <v>4160.6099999999997</v>
      </c>
      <c r="M25" s="9">
        <v>4114.25</v>
      </c>
      <c r="N25" s="9">
        <v>4086.13</v>
      </c>
      <c r="O25" s="9">
        <v>4258.26</v>
      </c>
      <c r="P25" s="9">
        <v>16665.32</v>
      </c>
      <c r="Q25" s="9">
        <v>4287.07</v>
      </c>
      <c r="R25" s="9">
        <v>4168.59</v>
      </c>
      <c r="S25" s="9">
        <v>4166.07</v>
      </c>
      <c r="T25" s="9">
        <v>4256.04</v>
      </c>
      <c r="U25" s="9">
        <v>16949.72</v>
      </c>
      <c r="V25" s="9">
        <v>4309.76</v>
      </c>
      <c r="W25" s="9">
        <v>4177.1000000000004</v>
      </c>
      <c r="X25" s="9">
        <v>4153.67</v>
      </c>
      <c r="Y25" s="9">
        <v>4233.8599999999997</v>
      </c>
      <c r="Z25" s="9">
        <v>17063.41</v>
      </c>
      <c r="AA25" s="9">
        <v>4316.82</v>
      </c>
      <c r="AB25" s="9">
        <v>4186.32</v>
      </c>
      <c r="AC25" s="9">
        <v>4159.72</v>
      </c>
      <c r="AD25" s="9">
        <v>4239.67</v>
      </c>
      <c r="AE25" s="9">
        <v>17179.16</v>
      </c>
    </row>
    <row r="26" spans="1:31" x14ac:dyDescent="0.25">
      <c r="A26" s="3" t="s">
        <v>748</v>
      </c>
      <c r="B26" s="10">
        <v>-122</v>
      </c>
      <c r="C26" s="10">
        <v>-112</v>
      </c>
      <c r="D26" s="10">
        <v>-106</v>
      </c>
      <c r="E26" s="10">
        <v>-110</v>
      </c>
      <c r="F26" s="10">
        <v>-450</v>
      </c>
      <c r="G26" s="10">
        <v>-9563</v>
      </c>
      <c r="H26" s="10">
        <v>-1072</v>
      </c>
      <c r="I26" s="10">
        <v>-2306.69</v>
      </c>
      <c r="J26" s="10">
        <v>-103.6</v>
      </c>
      <c r="K26" s="10">
        <v>-13796.1</v>
      </c>
      <c r="L26" s="10">
        <v>-229.25</v>
      </c>
      <c r="M26" s="10">
        <v>-94</v>
      </c>
      <c r="N26" s="10">
        <v>-6318</v>
      </c>
      <c r="O26" s="10">
        <v>-87.33</v>
      </c>
      <c r="P26" s="10">
        <v>-4508.5</v>
      </c>
      <c r="Q26" s="10">
        <v>-84</v>
      </c>
      <c r="R26" s="10">
        <v>-125</v>
      </c>
      <c r="S26" s="10">
        <v>-5083.33</v>
      </c>
      <c r="T26" s="10">
        <v>-1116.67</v>
      </c>
      <c r="U26" s="10">
        <v>-5268.53</v>
      </c>
      <c r="V26" s="10">
        <v>-150</v>
      </c>
      <c r="W26" s="10">
        <v>-150</v>
      </c>
      <c r="X26" s="10">
        <v>-2575</v>
      </c>
      <c r="Y26" s="10">
        <v>-150</v>
      </c>
      <c r="Z26" s="10">
        <v>-2766.8</v>
      </c>
      <c r="AA26" s="10">
        <v>-150</v>
      </c>
      <c r="AB26" s="10">
        <v>-150</v>
      </c>
      <c r="AC26" s="10">
        <v>-150</v>
      </c>
      <c r="AD26" s="10">
        <v>-2675</v>
      </c>
      <c r="AE26" s="10">
        <v>-2825.36</v>
      </c>
    </row>
    <row r="27" spans="1:31" x14ac:dyDescent="0.25">
      <c r="A27" s="3" t="s">
        <v>747</v>
      </c>
      <c r="B27" s="9">
        <v>515</v>
      </c>
      <c r="C27" s="9">
        <v>482</v>
      </c>
      <c r="D27" s="10">
        <v>-74</v>
      </c>
      <c r="E27" s="10">
        <v>-122</v>
      </c>
      <c r="F27" s="9">
        <v>801</v>
      </c>
      <c r="G27" s="9">
        <v>191</v>
      </c>
      <c r="H27" s="9">
        <v>154</v>
      </c>
      <c r="I27" s="10">
        <v>-103.18</v>
      </c>
      <c r="J27" s="10">
        <v>-100.09</v>
      </c>
      <c r="K27" s="9">
        <v>266.82</v>
      </c>
      <c r="L27" s="10">
        <v>-106.22</v>
      </c>
      <c r="M27" s="10">
        <v>-53.84</v>
      </c>
      <c r="N27" s="10">
        <v>-105.36</v>
      </c>
      <c r="O27" s="10">
        <v>-103.87</v>
      </c>
      <c r="P27" s="10">
        <v>-321.83999999999997</v>
      </c>
      <c r="Q27" s="10">
        <v>-112.63</v>
      </c>
      <c r="R27" s="10">
        <v>-112.12</v>
      </c>
      <c r="S27" s="10">
        <v>-111.68</v>
      </c>
      <c r="T27" s="10">
        <v>-110.28</v>
      </c>
      <c r="U27" s="10">
        <v>-417.37</v>
      </c>
      <c r="V27" s="10">
        <v>-125.49</v>
      </c>
      <c r="W27" s="10">
        <v>-124.48</v>
      </c>
      <c r="X27" s="10">
        <v>-123.62</v>
      </c>
      <c r="Y27" s="10">
        <v>-120.92</v>
      </c>
      <c r="Z27" s="10">
        <v>-396.34</v>
      </c>
      <c r="AA27" s="10">
        <v>-125.78</v>
      </c>
      <c r="AB27" s="10">
        <v>-124.73</v>
      </c>
      <c r="AC27" s="10">
        <v>-123.88</v>
      </c>
      <c r="AD27" s="10">
        <v>-121.33</v>
      </c>
      <c r="AE27" s="10">
        <v>-363.81</v>
      </c>
    </row>
    <row r="28" spans="1:31" x14ac:dyDescent="0.25">
      <c r="A28" s="4" t="s">
        <v>746</v>
      </c>
      <c r="B28" s="10">
        <v>-3752</v>
      </c>
      <c r="C28" s="10">
        <v>-3438</v>
      </c>
      <c r="D28" s="10">
        <v>-4490</v>
      </c>
      <c r="E28" s="10">
        <v>-4980</v>
      </c>
      <c r="F28" s="10">
        <v>-16660</v>
      </c>
      <c r="G28" s="10">
        <v>-13573</v>
      </c>
      <c r="H28" s="10">
        <v>-4927</v>
      </c>
      <c r="I28" s="10">
        <v>-4778.37</v>
      </c>
      <c r="J28" s="10">
        <v>-4218.29</v>
      </c>
      <c r="K28" s="10">
        <v>-29244.57</v>
      </c>
      <c r="L28" s="10">
        <v>-4293.2700000000004</v>
      </c>
      <c r="M28" s="10">
        <v>-4181.0200000000004</v>
      </c>
      <c r="N28" s="10">
        <v>-6444.63</v>
      </c>
      <c r="O28" s="10">
        <v>-4342.58</v>
      </c>
      <c r="P28" s="10">
        <v>-19036.5</v>
      </c>
      <c r="Q28" s="10">
        <v>-4423.1499999999996</v>
      </c>
      <c r="R28" s="10">
        <v>-4304.08</v>
      </c>
      <c r="S28" s="10">
        <v>-6444.17</v>
      </c>
      <c r="T28" s="10">
        <v>-5547.63</v>
      </c>
      <c r="U28" s="10">
        <v>-20432.330000000002</v>
      </c>
      <c r="V28" s="10">
        <v>-4439.95</v>
      </c>
      <c r="W28" s="10">
        <v>-4306.8999999999996</v>
      </c>
      <c r="X28" s="10">
        <v>-5283.12</v>
      </c>
      <c r="Y28" s="10">
        <v>-5362.23</v>
      </c>
      <c r="Z28" s="10">
        <v>-18745.72</v>
      </c>
      <c r="AA28" s="10">
        <v>-4447.13</v>
      </c>
      <c r="AB28" s="10">
        <v>-4316.21</v>
      </c>
      <c r="AC28" s="10">
        <v>-4289.2700000000004</v>
      </c>
      <c r="AD28" s="10">
        <v>-6408.2</v>
      </c>
      <c r="AE28" s="10">
        <v>-18913.63</v>
      </c>
    </row>
    <row r="29" spans="1:31" x14ac:dyDescent="0.25">
      <c r="A29" s="3" t="s">
        <v>745</v>
      </c>
      <c r="B29" s="10">
        <v>-2254</v>
      </c>
      <c r="C29" s="10">
        <v>-1150</v>
      </c>
      <c r="D29" s="9">
        <v>730</v>
      </c>
      <c r="E29" s="9">
        <v>10491</v>
      </c>
      <c r="F29" s="9">
        <v>7817</v>
      </c>
      <c r="G29" s="9">
        <v>1043</v>
      </c>
      <c r="H29" s="10">
        <v>-7413</v>
      </c>
      <c r="I29" s="10">
        <v>-520.79999999999995</v>
      </c>
      <c r="J29" s="10">
        <v>-1396.49</v>
      </c>
      <c r="K29" s="10">
        <v>-5905.94</v>
      </c>
      <c r="L29" s="10">
        <v>-923.14</v>
      </c>
      <c r="M29" s="10">
        <v>-1387.08</v>
      </c>
      <c r="N29" s="9">
        <v>880.29</v>
      </c>
      <c r="O29" s="10">
        <v>-576.96</v>
      </c>
      <c r="P29" s="10">
        <v>-1367.3</v>
      </c>
      <c r="Q29" s="10">
        <v>-109.78</v>
      </c>
      <c r="R29" s="9">
        <v>69.17</v>
      </c>
      <c r="S29" s="9">
        <v>1021.84</v>
      </c>
      <c r="T29" s="10">
        <v>-43.35</v>
      </c>
      <c r="U29" s="9">
        <v>1834.18</v>
      </c>
      <c r="V29" s="9">
        <v>108.75</v>
      </c>
      <c r="W29" s="9">
        <v>182.8</v>
      </c>
      <c r="X29" s="9">
        <v>1483</v>
      </c>
      <c r="Y29" s="10">
        <v>-942.94</v>
      </c>
      <c r="Z29" s="9">
        <v>326.32</v>
      </c>
      <c r="AA29" s="9">
        <v>530.88</v>
      </c>
      <c r="AB29" s="9">
        <v>572.12</v>
      </c>
      <c r="AC29" s="9">
        <v>734.02</v>
      </c>
      <c r="AD29" s="9">
        <v>336.8</v>
      </c>
      <c r="AE29" s="10">
        <v>-29.7</v>
      </c>
    </row>
    <row r="30" spans="1:31" x14ac:dyDescent="0.25">
      <c r="A30" s="3" t="s">
        <v>744</v>
      </c>
      <c r="B30" s="9">
        <v>0</v>
      </c>
      <c r="C30" s="9">
        <v>0</v>
      </c>
      <c r="D30" s="9">
        <v>0</v>
      </c>
      <c r="E30" s="9">
        <v>0</v>
      </c>
      <c r="F30" s="9">
        <v>0</v>
      </c>
      <c r="G30" s="10">
        <v>-2500</v>
      </c>
      <c r="H30" s="10">
        <v>-1000</v>
      </c>
      <c r="I30" s="10">
        <v>-437.5</v>
      </c>
      <c r="J30" s="10">
        <v>-316.67</v>
      </c>
      <c r="K30" s="10">
        <v>-3737.94</v>
      </c>
      <c r="L30" s="10">
        <v>-2050</v>
      </c>
      <c r="M30" s="10">
        <v>-2050</v>
      </c>
      <c r="N30" s="10">
        <v>-2150</v>
      </c>
      <c r="O30" s="10">
        <v>-2150</v>
      </c>
      <c r="P30" s="10">
        <v>-6588.24</v>
      </c>
      <c r="Q30" s="10">
        <v>-2678.57</v>
      </c>
      <c r="R30" s="10">
        <v>-2678.57</v>
      </c>
      <c r="S30" s="10">
        <v>-2821.43</v>
      </c>
      <c r="T30" s="10">
        <v>-2821.43</v>
      </c>
      <c r="U30" s="10">
        <v>-8125</v>
      </c>
      <c r="V30" s="10">
        <v>-2800</v>
      </c>
      <c r="W30" s="10">
        <v>-2800</v>
      </c>
      <c r="X30" s="10">
        <v>-2800</v>
      </c>
      <c r="Y30" s="10">
        <v>-2800</v>
      </c>
      <c r="Z30" s="10">
        <v>-7538.46</v>
      </c>
      <c r="AA30" s="10">
        <v>-2800</v>
      </c>
      <c r="AB30" s="10">
        <v>-2800</v>
      </c>
      <c r="AC30" s="10">
        <v>-2800</v>
      </c>
      <c r="AD30" s="10">
        <v>-2800</v>
      </c>
      <c r="AE30" s="10">
        <v>-7538.46</v>
      </c>
    </row>
    <row r="31" spans="1:31" x14ac:dyDescent="0.25">
      <c r="A31" s="3" t="s">
        <v>743</v>
      </c>
      <c r="B31" s="9">
        <v>2856</v>
      </c>
      <c r="C31" s="9">
        <v>2856</v>
      </c>
      <c r="D31" s="9">
        <v>2857</v>
      </c>
      <c r="E31" s="9">
        <v>2912</v>
      </c>
      <c r="F31" s="9">
        <v>11481</v>
      </c>
      <c r="G31" s="9">
        <v>2910</v>
      </c>
      <c r="H31" s="9">
        <v>2954</v>
      </c>
      <c r="I31" s="9">
        <v>2935.55</v>
      </c>
      <c r="J31" s="9">
        <v>2929.08</v>
      </c>
      <c r="K31" s="9">
        <v>11721.86</v>
      </c>
      <c r="L31" s="9">
        <v>2943.36</v>
      </c>
      <c r="M31" s="9">
        <v>2933.59</v>
      </c>
      <c r="N31" s="9">
        <v>2914.13</v>
      </c>
      <c r="O31" s="9">
        <v>2888.02</v>
      </c>
      <c r="P31" s="9">
        <v>11656.4</v>
      </c>
      <c r="Q31" s="9">
        <v>2889.71</v>
      </c>
      <c r="R31" s="9">
        <v>2861.96</v>
      </c>
      <c r="S31" s="9">
        <v>2828.45</v>
      </c>
      <c r="T31" s="9">
        <v>2790.99</v>
      </c>
      <c r="U31" s="9">
        <v>11403.69</v>
      </c>
      <c r="V31" s="9">
        <v>2837.05</v>
      </c>
      <c r="W31" s="9">
        <v>2814.27</v>
      </c>
      <c r="X31" s="9">
        <v>2783.5</v>
      </c>
      <c r="Y31" s="9">
        <v>2749.75</v>
      </c>
      <c r="Z31" s="9">
        <v>11196.74</v>
      </c>
      <c r="AA31" s="9">
        <v>2766.72</v>
      </c>
      <c r="AB31" s="9">
        <v>2745.46</v>
      </c>
      <c r="AC31" s="9">
        <v>2716.37</v>
      </c>
      <c r="AD31" s="9">
        <v>2684.45</v>
      </c>
      <c r="AE31" s="9">
        <v>10968.17</v>
      </c>
    </row>
    <row r="32" spans="1:31" x14ac:dyDescent="0.25">
      <c r="A32" s="3" t="s">
        <v>742</v>
      </c>
      <c r="B32" s="10">
        <v>-783</v>
      </c>
      <c r="C32" s="10">
        <v>-372</v>
      </c>
      <c r="D32" s="10">
        <v>-424</v>
      </c>
      <c r="E32" s="10">
        <v>-370</v>
      </c>
      <c r="F32" s="10">
        <v>-1949</v>
      </c>
      <c r="G32" s="10">
        <v>-911</v>
      </c>
      <c r="H32" s="10">
        <v>-469</v>
      </c>
      <c r="I32" s="10">
        <v>-353.44</v>
      </c>
      <c r="J32" s="10">
        <v>-352.58</v>
      </c>
      <c r="K32" s="10">
        <v>-3487.47</v>
      </c>
      <c r="L32" s="10">
        <v>-629.76</v>
      </c>
      <c r="M32" s="10">
        <v>-639.37</v>
      </c>
      <c r="N32" s="10">
        <v>-456.4</v>
      </c>
      <c r="O32" s="10">
        <v>-457.49</v>
      </c>
      <c r="P32" s="10">
        <v>-2026.26</v>
      </c>
      <c r="Q32" s="10">
        <v>-325.82</v>
      </c>
      <c r="R32" s="10">
        <v>-323.23</v>
      </c>
      <c r="S32" s="10">
        <v>-321.05</v>
      </c>
      <c r="T32" s="10">
        <v>-335.78</v>
      </c>
      <c r="U32" s="10">
        <v>-1363.38</v>
      </c>
      <c r="V32" s="10">
        <v>-326.39</v>
      </c>
      <c r="W32" s="10">
        <v>-323.86</v>
      </c>
      <c r="X32" s="10">
        <v>-321.70999999999998</v>
      </c>
      <c r="Y32" s="10">
        <v>-336.66</v>
      </c>
      <c r="Z32" s="10">
        <v>-1364.75</v>
      </c>
      <c r="AA32" s="10">
        <v>-327.10000000000002</v>
      </c>
      <c r="AB32" s="10">
        <v>-324.49</v>
      </c>
      <c r="AC32" s="10">
        <v>-322.37</v>
      </c>
      <c r="AD32" s="10">
        <v>-337.69</v>
      </c>
      <c r="AE32" s="10">
        <v>-1373.78</v>
      </c>
    </row>
    <row r="33" spans="1:31" x14ac:dyDescent="0.25">
      <c r="A33" s="4" t="s">
        <v>741</v>
      </c>
      <c r="B33" s="10">
        <v>-5893</v>
      </c>
      <c r="C33" s="10">
        <v>-4378</v>
      </c>
      <c r="D33" s="10">
        <v>-2551</v>
      </c>
      <c r="E33" s="9">
        <v>7209</v>
      </c>
      <c r="F33" s="10">
        <v>-5613</v>
      </c>
      <c r="G33" s="10">
        <v>-5278</v>
      </c>
      <c r="H33" s="10">
        <v>-11836</v>
      </c>
      <c r="I33" s="10">
        <v>-3465.55</v>
      </c>
      <c r="J33" s="10">
        <v>-4304.99</v>
      </c>
      <c r="K33" s="10">
        <v>-23225.3</v>
      </c>
      <c r="L33" s="10">
        <v>-5847.38</v>
      </c>
      <c r="M33" s="10">
        <v>-6259.47</v>
      </c>
      <c r="N33" s="10">
        <v>-4518.8999999999996</v>
      </c>
      <c r="O33" s="10">
        <v>-5553.3</v>
      </c>
      <c r="P33" s="10">
        <v>-20815.02</v>
      </c>
      <c r="Q33" s="10">
        <v>-5848.56</v>
      </c>
      <c r="R33" s="10">
        <v>-5665.95</v>
      </c>
      <c r="S33" s="10">
        <v>-4957.4799999999996</v>
      </c>
      <c r="T33" s="10">
        <v>-5841.45</v>
      </c>
      <c r="U33" s="10">
        <v>-19149.72</v>
      </c>
      <c r="V33" s="10">
        <v>-5811.15</v>
      </c>
      <c r="W33" s="10">
        <v>-5727.12</v>
      </c>
      <c r="X33" s="10">
        <v>-4654.46</v>
      </c>
      <c r="Y33" s="10">
        <v>-6384.85</v>
      </c>
      <c r="Z33" s="10">
        <v>-19129.38</v>
      </c>
      <c r="AA33" s="10">
        <v>-5509.88</v>
      </c>
      <c r="AB33" s="10">
        <v>-5461.77</v>
      </c>
      <c r="AC33" s="10">
        <v>-5333.85</v>
      </c>
      <c r="AD33" s="10">
        <v>-5552.52</v>
      </c>
      <c r="AE33" s="10">
        <v>-19103.25</v>
      </c>
    </row>
    <row r="34" spans="1:31" x14ac:dyDescent="0.25">
      <c r="A34" s="3" t="s">
        <v>740</v>
      </c>
      <c r="B34" s="10">
        <v>-1863</v>
      </c>
      <c r="C34" s="9">
        <v>1159</v>
      </c>
      <c r="D34" s="9">
        <v>4225</v>
      </c>
      <c r="E34" s="9">
        <v>11343</v>
      </c>
      <c r="F34" s="9">
        <v>14864</v>
      </c>
      <c r="G34" s="10">
        <v>-10867</v>
      </c>
      <c r="H34" s="10">
        <v>-6328</v>
      </c>
      <c r="I34" s="9">
        <v>1951.22</v>
      </c>
      <c r="J34" s="9">
        <v>1496.77</v>
      </c>
      <c r="K34" s="10">
        <v>-14280.62</v>
      </c>
      <c r="L34" s="10">
        <v>-869.5</v>
      </c>
      <c r="M34" s="10">
        <v>-696.96</v>
      </c>
      <c r="N34" s="10">
        <v>-132.54</v>
      </c>
      <c r="O34" s="9">
        <v>525.75</v>
      </c>
      <c r="P34" s="9">
        <v>293.72000000000003</v>
      </c>
      <c r="Q34" s="10">
        <v>-818.52</v>
      </c>
      <c r="R34" s="10">
        <v>-414.75</v>
      </c>
      <c r="S34" s="10">
        <v>-23.83</v>
      </c>
      <c r="T34" s="10">
        <v>-844.78</v>
      </c>
      <c r="U34" s="9">
        <v>1798.59</v>
      </c>
      <c r="V34" s="10">
        <v>-333.07</v>
      </c>
      <c r="W34" s="10">
        <v>-404.95</v>
      </c>
      <c r="X34" s="9">
        <v>2195.5300000000002</v>
      </c>
      <c r="Y34" s="10">
        <v>-749.76</v>
      </c>
      <c r="Z34" s="9">
        <v>5336.1</v>
      </c>
      <c r="AA34" s="9">
        <v>40.26</v>
      </c>
      <c r="AB34" s="9">
        <v>21.78</v>
      </c>
      <c r="AC34" s="9">
        <v>2175.88</v>
      </c>
      <c r="AD34" s="10">
        <v>-922.71</v>
      </c>
      <c r="AE34" s="9">
        <v>5831.12</v>
      </c>
    </row>
    <row r="35" spans="1:31" x14ac:dyDescent="0.25">
      <c r="A35" s="4" t="s">
        <v>739</v>
      </c>
      <c r="B35" s="9">
        <v>4635</v>
      </c>
      <c r="C35" s="9">
        <v>2772</v>
      </c>
      <c r="D35" s="9">
        <v>3931</v>
      </c>
      <c r="E35" s="9">
        <v>8156</v>
      </c>
      <c r="F35" s="9">
        <v>4635</v>
      </c>
      <c r="G35" s="9">
        <v>19499</v>
      </c>
      <c r="H35" s="9">
        <v>8632</v>
      </c>
      <c r="I35" s="9">
        <v>2176.62</v>
      </c>
      <c r="J35" s="9">
        <v>3894.46</v>
      </c>
      <c r="K35" s="9">
        <v>19504.39</v>
      </c>
      <c r="L35" s="9">
        <v>4756</v>
      </c>
      <c r="M35" s="9">
        <v>3719.75</v>
      </c>
      <c r="N35" s="9">
        <v>3744.1</v>
      </c>
      <c r="O35" s="9">
        <v>3486.63</v>
      </c>
      <c r="P35" s="9">
        <v>5845.75</v>
      </c>
      <c r="Q35" s="9">
        <v>3823.97</v>
      </c>
      <c r="R35" s="9">
        <v>2538.23</v>
      </c>
      <c r="S35" s="9">
        <v>2785.58</v>
      </c>
      <c r="T35" s="9">
        <v>2456.7600000000002</v>
      </c>
      <c r="U35" s="9">
        <v>6296.05</v>
      </c>
      <c r="V35" s="9">
        <v>2815.12</v>
      </c>
      <c r="W35" s="9">
        <v>2479.79</v>
      </c>
      <c r="X35" s="9">
        <v>2734.16</v>
      </c>
      <c r="Y35" s="9">
        <v>4386.45</v>
      </c>
      <c r="Z35" s="9">
        <v>8231.48</v>
      </c>
      <c r="AA35" s="9">
        <v>4405.58</v>
      </c>
      <c r="AB35" s="9">
        <v>4715.21</v>
      </c>
      <c r="AC35" s="9">
        <v>5365.11</v>
      </c>
      <c r="AD35" s="9">
        <v>7710.46</v>
      </c>
      <c r="AE35" s="9">
        <v>11447.57</v>
      </c>
    </row>
    <row r="36" spans="1:31" x14ac:dyDescent="0.25">
      <c r="A36" s="4" t="s">
        <v>738</v>
      </c>
      <c r="B36" s="9">
        <v>2772</v>
      </c>
      <c r="C36" s="9">
        <v>3931</v>
      </c>
      <c r="D36" s="9">
        <v>8156</v>
      </c>
      <c r="E36" s="9">
        <v>19499</v>
      </c>
      <c r="F36" s="9">
        <v>19499</v>
      </c>
      <c r="G36" s="9">
        <v>8632</v>
      </c>
      <c r="H36" s="9">
        <v>2304</v>
      </c>
      <c r="I36" s="9">
        <v>3894.46</v>
      </c>
      <c r="J36" s="9">
        <v>5353.73</v>
      </c>
      <c r="K36" s="9">
        <v>5664.06</v>
      </c>
      <c r="L36" s="9">
        <v>3719.75</v>
      </c>
      <c r="M36" s="9">
        <v>3744.1</v>
      </c>
      <c r="N36" s="9">
        <v>3486.63</v>
      </c>
      <c r="O36" s="9">
        <v>4173.3100000000004</v>
      </c>
      <c r="P36" s="9">
        <v>5638.49</v>
      </c>
      <c r="Q36" s="9">
        <v>2531.8000000000002</v>
      </c>
      <c r="R36" s="9">
        <v>2785.58</v>
      </c>
      <c r="S36" s="9">
        <v>2456.7600000000002</v>
      </c>
      <c r="T36" s="9">
        <v>2285.6</v>
      </c>
      <c r="U36" s="9">
        <v>6462.95</v>
      </c>
      <c r="V36" s="9">
        <v>2479.79</v>
      </c>
      <c r="W36" s="9">
        <v>2734.16</v>
      </c>
      <c r="X36" s="9">
        <v>4386.45</v>
      </c>
      <c r="Y36" s="9">
        <v>4405.58</v>
      </c>
      <c r="Z36" s="9">
        <v>10380.65</v>
      </c>
      <c r="AA36" s="9">
        <v>4715.21</v>
      </c>
      <c r="AB36" s="9">
        <v>5365.11</v>
      </c>
      <c r="AC36" s="9">
        <v>7710.46</v>
      </c>
      <c r="AD36" s="9">
        <v>7651.6</v>
      </c>
      <c r="AE36" s="9">
        <v>13904.07</v>
      </c>
    </row>
    <row r="37" spans="1:31" x14ac:dyDescent="0.25">
      <c r="A37" s="4" t="s">
        <v>76</v>
      </c>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spans="1:31" x14ac:dyDescent="0.25">
      <c r="A38" s="4" t="s">
        <v>737</v>
      </c>
      <c r="B38" s="9">
        <v>3637</v>
      </c>
      <c r="C38" s="9">
        <v>5167</v>
      </c>
      <c r="D38" s="9">
        <v>6956</v>
      </c>
      <c r="E38" s="9">
        <v>4366</v>
      </c>
      <c r="F38" s="9">
        <v>20126</v>
      </c>
      <c r="G38" s="9">
        <v>3783</v>
      </c>
      <c r="H38" s="9">
        <v>6426</v>
      </c>
      <c r="I38" s="9">
        <v>6182.62</v>
      </c>
      <c r="J38" s="9">
        <v>5700.28</v>
      </c>
      <c r="K38" s="9">
        <v>21997.16</v>
      </c>
      <c r="L38" s="9">
        <v>5110.54</v>
      </c>
      <c r="M38" s="9">
        <v>5687.36</v>
      </c>
      <c r="N38" s="9">
        <v>6756.9</v>
      </c>
      <c r="O38" s="9">
        <v>6115.58</v>
      </c>
      <c r="P38" s="9">
        <v>23482.21</v>
      </c>
      <c r="Q38" s="9">
        <v>5166.12</v>
      </c>
      <c r="R38" s="9">
        <v>5445.94</v>
      </c>
      <c r="S38" s="9">
        <v>7215.15</v>
      </c>
      <c r="T38" s="9">
        <v>6408.94</v>
      </c>
      <c r="U38" s="9">
        <v>24209.25</v>
      </c>
      <c r="V38" s="9">
        <v>5608.27</v>
      </c>
      <c r="W38" s="9">
        <v>5532.96</v>
      </c>
      <c r="X38" s="9">
        <v>7540.34</v>
      </c>
      <c r="Y38" s="9">
        <v>6763.45</v>
      </c>
      <c r="Z38" s="9">
        <v>25302.74</v>
      </c>
      <c r="AA38" s="9">
        <v>5680.45</v>
      </c>
      <c r="AB38" s="9">
        <v>5613.45</v>
      </c>
      <c r="AC38" s="9">
        <v>7639.28</v>
      </c>
      <c r="AD38" s="9">
        <v>6798.34</v>
      </c>
      <c r="AE38" s="9">
        <v>25719.5</v>
      </c>
    </row>
    <row r="39" spans="1:31" x14ac:dyDescent="0.25">
      <c r="A39" s="4" t="s">
        <v>736</v>
      </c>
      <c r="B39" s="9">
        <v>0.86</v>
      </c>
      <c r="C39" s="9">
        <v>1.22</v>
      </c>
      <c r="D39" s="9">
        <v>1.64</v>
      </c>
      <c r="E39" s="9">
        <v>1.03</v>
      </c>
      <c r="F39" s="9">
        <v>4.76</v>
      </c>
      <c r="G39" s="9">
        <v>0.9</v>
      </c>
      <c r="H39" s="9">
        <v>1.54</v>
      </c>
      <c r="I39" s="9">
        <v>1.45</v>
      </c>
      <c r="J39" s="9">
        <v>1.4</v>
      </c>
      <c r="K39" s="9">
        <v>5.25</v>
      </c>
      <c r="L39" s="9">
        <v>1.21</v>
      </c>
      <c r="M39" s="9">
        <v>1.41</v>
      </c>
      <c r="N39" s="9">
        <v>1.67</v>
      </c>
      <c r="O39" s="9">
        <v>1.53</v>
      </c>
      <c r="P39" s="9">
        <v>5.75</v>
      </c>
      <c r="Q39" s="9">
        <v>1.31</v>
      </c>
      <c r="R39" s="9">
        <v>1.4</v>
      </c>
      <c r="S39" s="9">
        <v>1.88</v>
      </c>
      <c r="T39" s="9">
        <v>1.69</v>
      </c>
      <c r="U39" s="9">
        <v>6.29</v>
      </c>
      <c r="V39" s="9">
        <v>1.48</v>
      </c>
      <c r="W39" s="9">
        <v>1.49</v>
      </c>
      <c r="X39" s="9">
        <v>2.0499999999999998</v>
      </c>
      <c r="Y39" s="9">
        <v>1.87</v>
      </c>
      <c r="Z39" s="9">
        <v>6.82</v>
      </c>
      <c r="AA39" s="9">
        <v>1.58</v>
      </c>
      <c r="AB39" s="9">
        <v>1.58</v>
      </c>
      <c r="AC39" s="9">
        <v>2.17</v>
      </c>
      <c r="AD39" s="9">
        <v>1.97</v>
      </c>
      <c r="AE39" s="9">
        <v>7.28</v>
      </c>
    </row>
  </sheetData>
  <mergeCells count="1">
    <mergeCell ref="A1:D1"/>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4928-39EF-4F19-B1CA-15609019A232}">
  <dimension ref="A1:AE64"/>
  <sheetViews>
    <sheetView workbookViewId="0">
      <selection sqref="A1:D1"/>
    </sheetView>
  </sheetViews>
  <sheetFormatPr defaultRowHeight="15" x14ac:dyDescent="0.25"/>
  <cols>
    <col min="1" max="1" width="48.5703125" customWidth="1"/>
    <col min="2" max="5" width="18.42578125" customWidth="1"/>
    <col min="6" max="6" width="19.7109375" customWidth="1"/>
    <col min="7" max="8" width="18.42578125" customWidth="1"/>
    <col min="9" max="10" width="18" customWidth="1"/>
    <col min="11" max="11" width="17.5703125" customWidth="1"/>
    <col min="12" max="15" width="18" customWidth="1"/>
    <col min="16" max="16" width="17.5703125" customWidth="1"/>
    <col min="17" max="20" width="18" customWidth="1"/>
    <col min="21" max="21" width="17.5703125" customWidth="1"/>
    <col min="22" max="25" width="18" customWidth="1"/>
    <col min="26" max="26" width="17.5703125" customWidth="1"/>
    <col min="27" max="30" width="18" customWidth="1"/>
    <col min="31" max="31" width="17.5703125" customWidth="1"/>
  </cols>
  <sheetData>
    <row r="1" spans="1:31" ht="39.950000000000003" customHeight="1" x14ac:dyDescent="0.25">
      <c r="A1" s="40"/>
      <c r="B1" s="40"/>
      <c r="C1" s="40"/>
      <c r="D1" s="40"/>
    </row>
    <row r="2" spans="1:31" ht="30" customHeight="1" x14ac:dyDescent="0.3">
      <c r="A2" s="1" t="s">
        <v>735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19</v>
      </c>
      <c r="C15" s="7">
        <v>19</v>
      </c>
      <c r="D15" s="7">
        <v>19</v>
      </c>
      <c r="E15" s="7">
        <v>19</v>
      </c>
      <c r="F15" s="7">
        <v>20</v>
      </c>
      <c r="G15" s="7">
        <v>20</v>
      </c>
      <c r="H15" s="7">
        <v>20</v>
      </c>
      <c r="I15" s="8" t="s">
        <v>40</v>
      </c>
      <c r="J15" s="8" t="s">
        <v>40</v>
      </c>
      <c r="K15" s="8" t="s">
        <v>40</v>
      </c>
      <c r="L15" s="8" t="s">
        <v>41</v>
      </c>
      <c r="M15" s="8" t="s">
        <v>41</v>
      </c>
      <c r="N15" s="8" t="s">
        <v>42</v>
      </c>
      <c r="O15" s="8" t="s">
        <v>42</v>
      </c>
      <c r="P15" s="8" t="s">
        <v>40</v>
      </c>
      <c r="Q15" s="8" t="s">
        <v>43</v>
      </c>
      <c r="R15" s="8" t="s">
        <v>43</v>
      </c>
      <c r="S15" s="8" t="s">
        <v>43</v>
      </c>
      <c r="T15" s="8" t="s">
        <v>43</v>
      </c>
      <c r="U15" s="8" t="s">
        <v>44</v>
      </c>
      <c r="V15" s="8" t="s">
        <v>45</v>
      </c>
      <c r="W15" s="8" t="s">
        <v>45</v>
      </c>
      <c r="X15" s="8" t="s">
        <v>45</v>
      </c>
      <c r="Y15" s="8" t="s">
        <v>45</v>
      </c>
      <c r="Z15" s="8" t="s">
        <v>46</v>
      </c>
      <c r="AA15" s="8" t="s">
        <v>45</v>
      </c>
      <c r="AB15" s="8" t="s">
        <v>45</v>
      </c>
      <c r="AC15" s="8" t="s">
        <v>45</v>
      </c>
      <c r="AD15" s="8" t="s">
        <v>45</v>
      </c>
      <c r="AE15" s="8" t="s">
        <v>46</v>
      </c>
    </row>
    <row r="16" spans="1:31" x14ac:dyDescent="0.25">
      <c r="A16" s="3" t="s">
        <v>691</v>
      </c>
      <c r="B16" s="9">
        <v>2257</v>
      </c>
      <c r="C16" s="9">
        <v>3435</v>
      </c>
      <c r="D16" s="9">
        <v>7706</v>
      </c>
      <c r="E16" s="9">
        <v>19048</v>
      </c>
      <c r="F16" s="9">
        <v>19048</v>
      </c>
      <c r="G16" s="9">
        <v>8366</v>
      </c>
      <c r="H16" s="9">
        <v>1752</v>
      </c>
      <c r="I16" s="9">
        <v>3509.75</v>
      </c>
      <c r="J16" s="9">
        <v>4829.82</v>
      </c>
      <c r="K16" s="9">
        <v>5010.6499999999996</v>
      </c>
      <c r="L16" s="9">
        <v>4019.84</v>
      </c>
      <c r="M16" s="9">
        <v>4027.01</v>
      </c>
      <c r="N16" s="9">
        <v>3382.77</v>
      </c>
      <c r="O16" s="9">
        <v>4141.25</v>
      </c>
      <c r="P16" s="9">
        <v>5279.76</v>
      </c>
      <c r="Q16" s="9">
        <v>2564.6799999999998</v>
      </c>
      <c r="R16" s="9">
        <v>2861.5</v>
      </c>
      <c r="S16" s="9">
        <v>2466.91</v>
      </c>
      <c r="T16" s="9">
        <v>2293.35</v>
      </c>
      <c r="U16" s="9">
        <v>6842.32</v>
      </c>
      <c r="V16" s="9">
        <v>2605.0500000000002</v>
      </c>
      <c r="W16" s="9">
        <v>2944.21</v>
      </c>
      <c r="X16" s="9">
        <v>5147.2700000000004</v>
      </c>
      <c r="Y16" s="9">
        <v>5075.03</v>
      </c>
      <c r="Z16" s="9">
        <v>12574.3</v>
      </c>
      <c r="AA16" s="9">
        <v>4439.21</v>
      </c>
      <c r="AB16" s="9">
        <v>5089.1099999999997</v>
      </c>
      <c r="AC16" s="9">
        <v>7434.46</v>
      </c>
      <c r="AD16" s="9">
        <v>7375.6</v>
      </c>
      <c r="AE16" s="9">
        <v>17359.43</v>
      </c>
    </row>
    <row r="17" spans="1:31" x14ac:dyDescent="0.25">
      <c r="A17" s="3" t="s">
        <v>734</v>
      </c>
      <c r="B17" s="9">
        <v>25889</v>
      </c>
      <c r="C17" s="9">
        <v>26275</v>
      </c>
      <c r="D17" s="9">
        <v>25920</v>
      </c>
      <c r="E17" s="9">
        <v>27097</v>
      </c>
      <c r="F17" s="9">
        <v>27097</v>
      </c>
      <c r="G17" s="9">
        <v>26655</v>
      </c>
      <c r="H17" s="9">
        <v>26486</v>
      </c>
      <c r="I17" s="9">
        <v>26976.880000000001</v>
      </c>
      <c r="J17" s="9">
        <v>28099.759999999998</v>
      </c>
      <c r="K17" s="9">
        <v>28041.15</v>
      </c>
      <c r="L17" s="9">
        <v>27288.15</v>
      </c>
      <c r="M17" s="9">
        <v>27146.94</v>
      </c>
      <c r="N17" s="9">
        <v>27229.65</v>
      </c>
      <c r="O17" s="9">
        <v>28664.42</v>
      </c>
      <c r="P17" s="9">
        <v>28731.439999999999</v>
      </c>
      <c r="Q17" s="9">
        <v>28068.74</v>
      </c>
      <c r="R17" s="9">
        <v>28278.55</v>
      </c>
      <c r="S17" s="9">
        <v>27844.82</v>
      </c>
      <c r="T17" s="9">
        <v>29234.44</v>
      </c>
      <c r="U17" s="9">
        <v>29228.04</v>
      </c>
      <c r="V17" s="9">
        <v>28771.040000000001</v>
      </c>
      <c r="W17" s="9">
        <v>28749.16</v>
      </c>
      <c r="X17" s="9">
        <v>28378.19</v>
      </c>
      <c r="Y17" s="9">
        <v>29838.6</v>
      </c>
      <c r="Z17" s="9">
        <v>29861.9</v>
      </c>
      <c r="AA17" s="9">
        <v>29033.1</v>
      </c>
      <c r="AB17" s="9">
        <v>28932.01</v>
      </c>
      <c r="AC17" s="9">
        <v>28549.54</v>
      </c>
      <c r="AD17" s="9">
        <v>30235.33</v>
      </c>
      <c r="AE17" s="9">
        <v>30247.71</v>
      </c>
    </row>
    <row r="18" spans="1:31" x14ac:dyDescent="0.25">
      <c r="A18" s="3" t="s">
        <v>733</v>
      </c>
      <c r="B18" s="9">
        <v>2197</v>
      </c>
      <c r="C18" s="9">
        <v>2137</v>
      </c>
      <c r="D18" s="9">
        <v>2700</v>
      </c>
      <c r="E18" s="9">
        <v>2441</v>
      </c>
      <c r="F18" s="9">
        <v>2441</v>
      </c>
      <c r="G18" s="9">
        <v>2320</v>
      </c>
      <c r="H18" s="9">
        <v>2036</v>
      </c>
      <c r="I18" s="9">
        <v>2187.13</v>
      </c>
      <c r="J18" s="9">
        <v>2378.04</v>
      </c>
      <c r="K18" s="9">
        <v>2385.59</v>
      </c>
      <c r="L18" s="9">
        <v>2172.48</v>
      </c>
      <c r="M18" s="9">
        <v>2118.89</v>
      </c>
      <c r="N18" s="9">
        <v>2269.75</v>
      </c>
      <c r="O18" s="9">
        <v>2326.08</v>
      </c>
      <c r="P18" s="9">
        <v>2347.7399999999998</v>
      </c>
      <c r="Q18" s="9">
        <v>2038.31</v>
      </c>
      <c r="R18" s="9">
        <v>2059.2399999999998</v>
      </c>
      <c r="S18" s="9">
        <v>2083.67</v>
      </c>
      <c r="T18" s="9">
        <v>2224.92</v>
      </c>
      <c r="U18" s="9">
        <v>2348.75</v>
      </c>
      <c r="V18" s="9">
        <v>2036.23</v>
      </c>
      <c r="W18" s="9">
        <v>2003.99</v>
      </c>
      <c r="X18" s="9">
        <v>2012.72</v>
      </c>
      <c r="Y18" s="9">
        <v>2141.9699999999998</v>
      </c>
      <c r="Z18" s="9">
        <v>2359.38</v>
      </c>
      <c r="AA18" s="9">
        <v>2128.5</v>
      </c>
      <c r="AB18" s="9">
        <v>2094.09</v>
      </c>
      <c r="AC18" s="9">
        <v>2095.27</v>
      </c>
      <c r="AD18" s="9">
        <v>2241.2800000000002</v>
      </c>
      <c r="AE18" s="9">
        <v>2392.7199999999998</v>
      </c>
    </row>
    <row r="19" spans="1:31" x14ac:dyDescent="0.25">
      <c r="A19" s="3" t="s">
        <v>732</v>
      </c>
      <c r="B19" s="9">
        <v>7010</v>
      </c>
      <c r="C19" s="9">
        <v>6999</v>
      </c>
      <c r="D19" s="9">
        <v>7684</v>
      </c>
      <c r="E19" s="9">
        <v>8336</v>
      </c>
      <c r="F19" s="9">
        <v>8336</v>
      </c>
      <c r="G19" s="9">
        <v>7382</v>
      </c>
      <c r="H19" s="9">
        <v>7297</v>
      </c>
      <c r="I19" s="9">
        <v>7655.39</v>
      </c>
      <c r="J19" s="9">
        <v>8016.61</v>
      </c>
      <c r="K19" s="9">
        <v>8051.03</v>
      </c>
      <c r="L19" s="9">
        <v>8230.66</v>
      </c>
      <c r="M19" s="9">
        <v>8396.94</v>
      </c>
      <c r="N19" s="9">
        <v>8687.86</v>
      </c>
      <c r="O19" s="9">
        <v>9041.24</v>
      </c>
      <c r="P19" s="9">
        <v>8892.43</v>
      </c>
      <c r="Q19" s="9">
        <v>9128.67</v>
      </c>
      <c r="R19" s="9">
        <v>9316.49</v>
      </c>
      <c r="S19" s="9">
        <v>9475.0300000000007</v>
      </c>
      <c r="T19" s="9">
        <v>9869.24</v>
      </c>
      <c r="U19" s="9">
        <v>9363.19</v>
      </c>
      <c r="V19" s="9">
        <v>10584.86</v>
      </c>
      <c r="W19" s="9">
        <v>10829.66</v>
      </c>
      <c r="X19" s="9">
        <v>11040.57</v>
      </c>
      <c r="Y19" s="9">
        <v>11479.53</v>
      </c>
      <c r="Z19" s="9">
        <v>10304.15</v>
      </c>
      <c r="AA19" s="9">
        <v>10937.53</v>
      </c>
      <c r="AB19" s="9">
        <v>11106.71</v>
      </c>
      <c r="AC19" s="9">
        <v>11255.14</v>
      </c>
      <c r="AD19" s="9">
        <v>11764.67</v>
      </c>
      <c r="AE19" s="9">
        <v>10833.38</v>
      </c>
    </row>
    <row r="20" spans="1:31" x14ac:dyDescent="0.25">
      <c r="A20" s="4" t="s">
        <v>731</v>
      </c>
      <c r="B20" s="9">
        <v>37353</v>
      </c>
      <c r="C20" s="9">
        <v>38846</v>
      </c>
      <c r="D20" s="9">
        <v>44010</v>
      </c>
      <c r="E20" s="9">
        <v>56922</v>
      </c>
      <c r="F20" s="9">
        <v>56922</v>
      </c>
      <c r="G20" s="9">
        <v>44723</v>
      </c>
      <c r="H20" s="9">
        <v>37571</v>
      </c>
      <c r="I20" s="9">
        <v>40778.74</v>
      </c>
      <c r="J20" s="9">
        <v>43742.94</v>
      </c>
      <c r="K20" s="9">
        <v>43879.85</v>
      </c>
      <c r="L20" s="9">
        <v>41293.94</v>
      </c>
      <c r="M20" s="9">
        <v>40550.04</v>
      </c>
      <c r="N20" s="9">
        <v>40941.99</v>
      </c>
      <c r="O20" s="9">
        <v>43312.23</v>
      </c>
      <c r="P20" s="9">
        <v>45440.639999999999</v>
      </c>
      <c r="Q20" s="9">
        <v>40965.78</v>
      </c>
      <c r="R20" s="9">
        <v>40969.58</v>
      </c>
      <c r="S20" s="9">
        <v>40695</v>
      </c>
      <c r="T20" s="9">
        <v>41801.81</v>
      </c>
      <c r="U20" s="9">
        <v>48247.41</v>
      </c>
      <c r="V20" s="9">
        <v>41108.06</v>
      </c>
      <c r="W20" s="9">
        <v>40893.78</v>
      </c>
      <c r="X20" s="9">
        <v>42937.98</v>
      </c>
      <c r="Y20" s="9">
        <v>43956.09</v>
      </c>
      <c r="Z20" s="9">
        <v>55007.19</v>
      </c>
      <c r="AA20" s="9">
        <v>42794.83</v>
      </c>
      <c r="AB20" s="9">
        <v>42850.29</v>
      </c>
      <c r="AC20" s="9">
        <v>44793.32</v>
      </c>
      <c r="AD20" s="9">
        <v>46211.93</v>
      </c>
      <c r="AE20" s="9">
        <v>59129.120000000003</v>
      </c>
    </row>
    <row r="21" spans="1:31" x14ac:dyDescent="0.25">
      <c r="A21" s="3" t="s">
        <v>730</v>
      </c>
      <c r="B21" s="9">
        <v>331888</v>
      </c>
      <c r="C21" s="9">
        <v>332529</v>
      </c>
      <c r="D21" s="9">
        <v>334765</v>
      </c>
      <c r="E21" s="9">
        <v>337991</v>
      </c>
      <c r="F21" s="9">
        <v>337991</v>
      </c>
      <c r="G21" s="9">
        <v>357650</v>
      </c>
      <c r="H21" s="9">
        <v>357086</v>
      </c>
      <c r="I21" s="9">
        <v>360802.25</v>
      </c>
      <c r="J21" s="9">
        <v>364017.27</v>
      </c>
      <c r="K21" s="9">
        <v>363758.22</v>
      </c>
      <c r="L21" s="9">
        <v>367574.51</v>
      </c>
      <c r="M21" s="9">
        <v>370539.54</v>
      </c>
      <c r="N21" s="9">
        <v>374169.93</v>
      </c>
      <c r="O21" s="9">
        <v>377343.86</v>
      </c>
      <c r="P21" s="9">
        <v>378519.22</v>
      </c>
      <c r="Q21" s="9">
        <v>382168.14</v>
      </c>
      <c r="R21" s="9">
        <v>385733</v>
      </c>
      <c r="S21" s="9">
        <v>389283.65</v>
      </c>
      <c r="T21" s="9">
        <v>392895.77</v>
      </c>
      <c r="U21" s="9">
        <v>394884.55</v>
      </c>
      <c r="V21" s="9">
        <v>393589.56</v>
      </c>
      <c r="W21" s="9">
        <v>396914.3</v>
      </c>
      <c r="X21" s="9">
        <v>400163.54</v>
      </c>
      <c r="Y21" s="9">
        <v>403403.99</v>
      </c>
      <c r="Z21" s="9">
        <v>409726.21</v>
      </c>
      <c r="AA21" s="9">
        <v>406990.09</v>
      </c>
      <c r="AB21" s="9">
        <v>410336.52</v>
      </c>
      <c r="AC21" s="9">
        <v>413605.65</v>
      </c>
      <c r="AD21" s="9">
        <v>416862.69</v>
      </c>
      <c r="AE21" s="9">
        <v>425470.25</v>
      </c>
    </row>
    <row r="22" spans="1:31" x14ac:dyDescent="0.25">
      <c r="A22" s="3" t="s">
        <v>729</v>
      </c>
      <c r="B22" s="9">
        <v>223965</v>
      </c>
      <c r="C22" s="9">
        <v>224460</v>
      </c>
      <c r="D22" s="9">
        <v>226298</v>
      </c>
      <c r="E22" s="9">
        <v>228524</v>
      </c>
      <c r="F22" s="9">
        <v>228524</v>
      </c>
      <c r="G22" s="9">
        <v>231678</v>
      </c>
      <c r="H22" s="9">
        <v>231589</v>
      </c>
      <c r="I22" s="9">
        <v>232545.54</v>
      </c>
      <c r="J22" s="9">
        <v>235738.67</v>
      </c>
      <c r="K22" s="9">
        <v>236658.09</v>
      </c>
      <c r="L22" s="9">
        <v>235945.26</v>
      </c>
      <c r="M22" s="9">
        <v>238652.59</v>
      </c>
      <c r="N22" s="9">
        <v>241338.09</v>
      </c>
      <c r="O22" s="9">
        <v>244119.83</v>
      </c>
      <c r="P22" s="9">
        <v>250503.71</v>
      </c>
      <c r="Q22" s="9">
        <v>252186.08</v>
      </c>
      <c r="R22" s="9">
        <v>255235.45</v>
      </c>
      <c r="S22" s="9">
        <v>258217.25</v>
      </c>
      <c r="T22" s="9">
        <v>261182.88</v>
      </c>
      <c r="U22" s="9">
        <v>269732.89</v>
      </c>
      <c r="V22" s="9">
        <v>274985.98</v>
      </c>
      <c r="W22" s="9">
        <v>279111.69</v>
      </c>
      <c r="X22" s="9">
        <v>283131.46000000002</v>
      </c>
      <c r="Y22" s="9">
        <v>287137.81</v>
      </c>
      <c r="Z22" s="9">
        <v>291737.81</v>
      </c>
      <c r="AA22" s="9">
        <v>291300.38</v>
      </c>
      <c r="AB22" s="9">
        <v>295496.63</v>
      </c>
      <c r="AC22" s="9">
        <v>299583.96999999997</v>
      </c>
      <c r="AD22" s="9">
        <v>303655.15000000002</v>
      </c>
      <c r="AE22" s="9">
        <v>309288.59000000003</v>
      </c>
    </row>
    <row r="23" spans="1:31" x14ac:dyDescent="0.25">
      <c r="A23" s="4" t="s">
        <v>728</v>
      </c>
      <c r="B23" s="9">
        <v>107923</v>
      </c>
      <c r="C23" s="9">
        <v>108069</v>
      </c>
      <c r="D23" s="9">
        <v>108467</v>
      </c>
      <c r="E23" s="9">
        <v>109467</v>
      </c>
      <c r="F23" s="9">
        <v>109467</v>
      </c>
      <c r="G23" s="9">
        <v>125972</v>
      </c>
      <c r="H23" s="9">
        <v>125497</v>
      </c>
      <c r="I23" s="9">
        <v>125354.72</v>
      </c>
      <c r="J23" s="9">
        <v>124953.21</v>
      </c>
      <c r="K23" s="9">
        <v>124498.16</v>
      </c>
      <c r="L23" s="9">
        <v>127187.82</v>
      </c>
      <c r="M23" s="9">
        <v>126912.38</v>
      </c>
      <c r="N23" s="9">
        <v>126973.46</v>
      </c>
      <c r="O23" s="9">
        <v>126798.17</v>
      </c>
      <c r="P23" s="9">
        <v>123740.31</v>
      </c>
      <c r="Q23" s="9">
        <v>124995.8</v>
      </c>
      <c r="R23" s="9">
        <v>124915.49</v>
      </c>
      <c r="S23" s="9">
        <v>124870.83</v>
      </c>
      <c r="T23" s="9">
        <v>124945.68</v>
      </c>
      <c r="U23" s="9">
        <v>120673.66</v>
      </c>
      <c r="V23" s="9">
        <v>117760.41</v>
      </c>
      <c r="W23" s="9">
        <v>116996.62</v>
      </c>
      <c r="X23" s="9">
        <v>116258.33</v>
      </c>
      <c r="Y23" s="9">
        <v>115632.04</v>
      </c>
      <c r="Z23" s="9">
        <v>115981.85</v>
      </c>
      <c r="AA23" s="9">
        <v>115653.75</v>
      </c>
      <c r="AB23" s="9">
        <v>114930.25</v>
      </c>
      <c r="AC23" s="9">
        <v>114231.88</v>
      </c>
      <c r="AD23" s="9">
        <v>113628.47</v>
      </c>
      <c r="AE23" s="9">
        <v>114448.48</v>
      </c>
    </row>
    <row r="24" spans="1:31" x14ac:dyDescent="0.25">
      <c r="A24" s="3" t="s">
        <v>727</v>
      </c>
      <c r="B24" s="9">
        <v>820</v>
      </c>
      <c r="C24" s="9">
        <v>807</v>
      </c>
      <c r="D24" s="9">
        <v>799</v>
      </c>
      <c r="E24" s="9">
        <v>785</v>
      </c>
      <c r="F24" s="9">
        <v>785</v>
      </c>
      <c r="G24" s="9">
        <v>730</v>
      </c>
      <c r="H24" s="9">
        <v>783</v>
      </c>
      <c r="I24" s="9">
        <v>779.67</v>
      </c>
      <c r="J24" s="9">
        <v>780.79</v>
      </c>
      <c r="K24" s="9">
        <v>781.05</v>
      </c>
      <c r="L24" s="9">
        <v>777.2</v>
      </c>
      <c r="M24" s="9">
        <v>781.59</v>
      </c>
      <c r="N24" s="9">
        <v>781.33</v>
      </c>
      <c r="O24" s="9">
        <v>781.79</v>
      </c>
      <c r="P24" s="9">
        <v>825.25</v>
      </c>
      <c r="Q24" s="9">
        <v>781.99</v>
      </c>
      <c r="R24" s="9">
        <v>789.85</v>
      </c>
      <c r="S24" s="9">
        <v>789.24</v>
      </c>
      <c r="T24" s="9">
        <v>790.05</v>
      </c>
      <c r="U24" s="9">
        <v>837.19</v>
      </c>
      <c r="V24" s="9">
        <v>793.25</v>
      </c>
      <c r="W24" s="9">
        <v>804.25</v>
      </c>
      <c r="X24" s="9">
        <v>802.75</v>
      </c>
      <c r="Y24" s="9">
        <v>803.5</v>
      </c>
      <c r="Z24" s="9">
        <v>851.81</v>
      </c>
      <c r="AA24" s="9">
        <v>800.4</v>
      </c>
      <c r="AB24" s="9">
        <v>809.2</v>
      </c>
      <c r="AC24" s="9">
        <v>808</v>
      </c>
      <c r="AD24" s="9">
        <v>808.6</v>
      </c>
      <c r="AE24" s="9">
        <v>852.1</v>
      </c>
    </row>
    <row r="25" spans="1:31" x14ac:dyDescent="0.25">
      <c r="A25" s="3" t="s">
        <v>726</v>
      </c>
      <c r="B25" s="9">
        <v>24175</v>
      </c>
      <c r="C25" s="9">
        <v>23949</v>
      </c>
      <c r="D25" s="9">
        <v>23760</v>
      </c>
      <c r="E25" s="9">
        <v>23498</v>
      </c>
      <c r="F25" s="9">
        <v>23498</v>
      </c>
      <c r="G25" s="9">
        <v>23401</v>
      </c>
      <c r="H25" s="9">
        <v>23158</v>
      </c>
      <c r="I25" s="9">
        <v>23133.01</v>
      </c>
      <c r="J25" s="9">
        <v>23226.83</v>
      </c>
      <c r="K25" s="9">
        <v>23302.38</v>
      </c>
      <c r="L25" s="9">
        <v>23104.87</v>
      </c>
      <c r="M25" s="9">
        <v>23104.42</v>
      </c>
      <c r="N25" s="9">
        <v>23148.93</v>
      </c>
      <c r="O25" s="9">
        <v>23257.27</v>
      </c>
      <c r="P25" s="9">
        <v>23405.19</v>
      </c>
      <c r="Q25" s="9">
        <v>23073.01</v>
      </c>
      <c r="R25" s="9">
        <v>23096.19</v>
      </c>
      <c r="S25" s="9">
        <v>23166.91</v>
      </c>
      <c r="T25" s="9">
        <v>23360.03</v>
      </c>
      <c r="U25" s="9">
        <v>23631.599999999999</v>
      </c>
      <c r="V25" s="9">
        <v>23158</v>
      </c>
      <c r="W25" s="9">
        <v>23158</v>
      </c>
      <c r="X25" s="9">
        <v>23158</v>
      </c>
      <c r="Y25" s="9">
        <v>23158</v>
      </c>
      <c r="Z25" s="9">
        <v>23741.33</v>
      </c>
      <c r="AA25" s="9">
        <v>23158</v>
      </c>
      <c r="AB25" s="9">
        <v>23158</v>
      </c>
      <c r="AC25" s="9">
        <v>23158</v>
      </c>
      <c r="AD25" s="9">
        <v>23158</v>
      </c>
      <c r="AE25" s="9">
        <v>23756.720000000001</v>
      </c>
    </row>
    <row r="26" spans="1:31" x14ac:dyDescent="0.25">
      <c r="A26" s="3" t="s">
        <v>725</v>
      </c>
      <c r="B26" s="9">
        <v>19678</v>
      </c>
      <c r="C26" s="9">
        <v>21318</v>
      </c>
      <c r="D26" s="9">
        <v>21012</v>
      </c>
      <c r="E26" s="9">
        <v>23248</v>
      </c>
      <c r="F26" s="9">
        <v>23248</v>
      </c>
      <c r="G26" s="9">
        <v>22547</v>
      </c>
      <c r="H26" s="9">
        <v>22037</v>
      </c>
      <c r="I26" s="9">
        <v>22402.22</v>
      </c>
      <c r="J26" s="9">
        <v>23555.11</v>
      </c>
      <c r="K26" s="9">
        <v>23594.14</v>
      </c>
      <c r="L26" s="9">
        <v>24556.73</v>
      </c>
      <c r="M26" s="9">
        <v>25387.62</v>
      </c>
      <c r="N26" s="9">
        <v>26098.37</v>
      </c>
      <c r="O26" s="9">
        <v>27073.47</v>
      </c>
      <c r="P26" s="9">
        <v>25825.21</v>
      </c>
      <c r="Q26" s="9">
        <v>21064.66</v>
      </c>
      <c r="R26" s="9">
        <v>21264.71</v>
      </c>
      <c r="S26" s="9">
        <v>21090.18</v>
      </c>
      <c r="T26" s="9">
        <v>21058.18</v>
      </c>
      <c r="U26" s="9">
        <v>21976.05</v>
      </c>
      <c r="V26" s="9">
        <v>19308.330000000002</v>
      </c>
      <c r="W26" s="9">
        <v>19067.669999999998</v>
      </c>
      <c r="X26" s="9">
        <v>18810.330000000002</v>
      </c>
      <c r="Y26" s="9">
        <v>18556.669999999998</v>
      </c>
      <c r="Z26" s="9">
        <v>21247.98</v>
      </c>
      <c r="AA26" s="9">
        <v>18160.22</v>
      </c>
      <c r="AB26" s="9">
        <v>17755.330000000002</v>
      </c>
      <c r="AC26" s="9">
        <v>17357.72</v>
      </c>
      <c r="AD26" s="9">
        <v>17022.91</v>
      </c>
      <c r="AE26" s="9">
        <v>20770.939999999999</v>
      </c>
    </row>
    <row r="27" spans="1:31" x14ac:dyDescent="0.25">
      <c r="A27" s="4" t="s">
        <v>724</v>
      </c>
      <c r="B27" s="9">
        <v>43853</v>
      </c>
      <c r="C27" s="9">
        <v>45267</v>
      </c>
      <c r="D27" s="9">
        <v>44772</v>
      </c>
      <c r="E27" s="9">
        <v>46746</v>
      </c>
      <c r="F27" s="9">
        <v>46746</v>
      </c>
      <c r="G27" s="9">
        <v>45948</v>
      </c>
      <c r="H27" s="9">
        <v>45195</v>
      </c>
      <c r="I27" s="9">
        <v>45597.43</v>
      </c>
      <c r="J27" s="9">
        <v>46642.98</v>
      </c>
      <c r="K27" s="9">
        <v>46728.63</v>
      </c>
      <c r="L27" s="9">
        <v>47269.47</v>
      </c>
      <c r="M27" s="9">
        <v>47910.67</v>
      </c>
      <c r="N27" s="9">
        <v>48601.29</v>
      </c>
      <c r="O27" s="9">
        <v>49830.44</v>
      </c>
      <c r="P27" s="9">
        <v>48400.85</v>
      </c>
      <c r="Q27" s="9">
        <v>44349.14</v>
      </c>
      <c r="R27" s="9">
        <v>44527.72</v>
      </c>
      <c r="S27" s="9">
        <v>44444.67</v>
      </c>
      <c r="T27" s="9">
        <v>44573.57</v>
      </c>
      <c r="U27" s="9">
        <v>45615.22</v>
      </c>
      <c r="V27" s="9">
        <v>43148.5</v>
      </c>
      <c r="W27" s="9">
        <v>42968</v>
      </c>
      <c r="X27" s="9">
        <v>42775</v>
      </c>
      <c r="Y27" s="9">
        <v>42584.75</v>
      </c>
      <c r="Z27" s="9">
        <v>45164.79</v>
      </c>
      <c r="AA27" s="9">
        <v>43341.82</v>
      </c>
      <c r="AB27" s="9">
        <v>42960.89</v>
      </c>
      <c r="AC27" s="9">
        <v>42610.44</v>
      </c>
      <c r="AD27" s="9">
        <v>43218.41</v>
      </c>
      <c r="AE27" s="9">
        <v>45224.82</v>
      </c>
    </row>
    <row r="28" spans="1:31" x14ac:dyDescent="0.25">
      <c r="A28" s="3" t="s">
        <v>723</v>
      </c>
      <c r="B28" s="9">
        <v>156726</v>
      </c>
      <c r="C28" s="9">
        <v>156820</v>
      </c>
      <c r="D28" s="9">
        <v>156926</v>
      </c>
      <c r="E28" s="9">
        <v>157039</v>
      </c>
      <c r="F28" s="9">
        <v>157039</v>
      </c>
      <c r="G28" s="9">
        <v>157082</v>
      </c>
      <c r="H28" s="9">
        <v>158159</v>
      </c>
      <c r="I28" s="9">
        <v>158471.91</v>
      </c>
      <c r="J28" s="9">
        <v>158493</v>
      </c>
      <c r="K28" s="9">
        <v>158635.17000000001</v>
      </c>
      <c r="L28" s="9">
        <v>158216</v>
      </c>
      <c r="M28" s="9">
        <v>158232.5</v>
      </c>
      <c r="N28" s="9">
        <v>161372.75</v>
      </c>
      <c r="O28" s="9">
        <v>161386.75</v>
      </c>
      <c r="P28" s="9">
        <v>161056.92000000001</v>
      </c>
      <c r="Q28" s="9">
        <v>163343.79999999999</v>
      </c>
      <c r="R28" s="9">
        <v>163363.79999999999</v>
      </c>
      <c r="S28" s="9">
        <v>166383.79999999999</v>
      </c>
      <c r="T28" s="9">
        <v>167023.79999999999</v>
      </c>
      <c r="U28" s="9">
        <v>165502.73000000001</v>
      </c>
      <c r="V28" s="9">
        <v>168990</v>
      </c>
      <c r="W28" s="9">
        <v>168990</v>
      </c>
      <c r="X28" s="9">
        <v>170240</v>
      </c>
      <c r="Y28" s="9">
        <v>170240</v>
      </c>
      <c r="Z28" s="9">
        <v>167413.53</v>
      </c>
      <c r="AA28" s="9">
        <v>168354.8</v>
      </c>
      <c r="AB28" s="9">
        <v>168389.94</v>
      </c>
      <c r="AC28" s="9">
        <v>168425.09</v>
      </c>
      <c r="AD28" s="9">
        <v>169500.23</v>
      </c>
      <c r="AE28" s="9">
        <v>168064.66</v>
      </c>
    </row>
    <row r="29" spans="1:31" x14ac:dyDescent="0.25">
      <c r="A29" s="3" t="s">
        <v>722</v>
      </c>
      <c r="B29" s="9">
        <v>22842</v>
      </c>
      <c r="C29" s="9">
        <v>22841</v>
      </c>
      <c r="D29" s="9">
        <v>22841</v>
      </c>
      <c r="E29" s="9">
        <v>22841</v>
      </c>
      <c r="F29" s="9">
        <v>22841</v>
      </c>
      <c r="G29" s="9">
        <v>30628</v>
      </c>
      <c r="H29" s="9">
        <v>30664</v>
      </c>
      <c r="I29" s="9">
        <v>30012.080000000002</v>
      </c>
      <c r="J29" s="9">
        <v>30012.080000000002</v>
      </c>
      <c r="K29" s="9">
        <v>30229.69</v>
      </c>
      <c r="L29" s="9">
        <v>30664</v>
      </c>
      <c r="M29" s="9">
        <v>30664</v>
      </c>
      <c r="N29" s="9">
        <v>30664</v>
      </c>
      <c r="O29" s="9">
        <v>30664</v>
      </c>
      <c r="P29" s="9">
        <v>30229.69</v>
      </c>
      <c r="Q29" s="9">
        <v>30664</v>
      </c>
      <c r="R29" s="9">
        <v>30664</v>
      </c>
      <c r="S29" s="9">
        <v>30664</v>
      </c>
      <c r="T29" s="9">
        <v>30664</v>
      </c>
      <c r="U29" s="9">
        <v>30193.5</v>
      </c>
      <c r="V29" s="9">
        <v>30664</v>
      </c>
      <c r="W29" s="9">
        <v>30664</v>
      </c>
      <c r="X29" s="9">
        <v>30664</v>
      </c>
      <c r="Y29" s="9">
        <v>30664</v>
      </c>
      <c r="Z29" s="9">
        <v>30150.73</v>
      </c>
      <c r="AA29" s="9">
        <v>30664</v>
      </c>
      <c r="AB29" s="9">
        <v>30664</v>
      </c>
      <c r="AC29" s="9">
        <v>30664</v>
      </c>
      <c r="AD29" s="9">
        <v>30664</v>
      </c>
      <c r="AE29" s="9">
        <v>30193.5</v>
      </c>
    </row>
    <row r="30" spans="1:31" x14ac:dyDescent="0.25">
      <c r="A30" s="3" t="s">
        <v>721</v>
      </c>
      <c r="B30" s="9">
        <v>10847</v>
      </c>
      <c r="C30" s="9">
        <v>10635</v>
      </c>
      <c r="D30" s="9">
        <v>10516</v>
      </c>
      <c r="E30" s="9">
        <v>10458</v>
      </c>
      <c r="F30" s="9">
        <v>10458</v>
      </c>
      <c r="G30" s="9">
        <v>12799</v>
      </c>
      <c r="H30" s="9">
        <v>12317</v>
      </c>
      <c r="I30" s="9">
        <v>11843.43</v>
      </c>
      <c r="J30" s="9">
        <v>11662.28</v>
      </c>
      <c r="K30" s="9">
        <v>11545.27</v>
      </c>
      <c r="L30" s="9">
        <v>12022.12</v>
      </c>
      <c r="M30" s="9">
        <v>11926.53</v>
      </c>
      <c r="N30" s="9">
        <v>11830.94</v>
      </c>
      <c r="O30" s="9">
        <v>11735.34</v>
      </c>
      <c r="P30" s="9">
        <v>10938.51</v>
      </c>
      <c r="Q30" s="9">
        <v>11250.45</v>
      </c>
      <c r="R30" s="9">
        <v>11107.5</v>
      </c>
      <c r="S30" s="9">
        <v>10964.55</v>
      </c>
      <c r="T30" s="9">
        <v>10821.6</v>
      </c>
      <c r="U30" s="9">
        <v>10247.81</v>
      </c>
      <c r="V30" s="9">
        <v>10290.379999999999</v>
      </c>
      <c r="W30" s="9">
        <v>10124.19</v>
      </c>
      <c r="X30" s="9">
        <v>9958</v>
      </c>
      <c r="Y30" s="9">
        <v>9791.81</v>
      </c>
      <c r="Z30" s="9">
        <v>9501.27</v>
      </c>
      <c r="AA30" s="9">
        <v>10028.4</v>
      </c>
      <c r="AB30" s="9">
        <v>9907.9</v>
      </c>
      <c r="AC30" s="9">
        <v>9787.4</v>
      </c>
      <c r="AD30" s="9">
        <v>9666.9</v>
      </c>
      <c r="AE30" s="9">
        <v>9260.26</v>
      </c>
    </row>
    <row r="31" spans="1:31" x14ac:dyDescent="0.25">
      <c r="A31" s="4" t="s">
        <v>720</v>
      </c>
      <c r="B31" s="9">
        <v>190415</v>
      </c>
      <c r="C31" s="9">
        <v>190296</v>
      </c>
      <c r="D31" s="9">
        <v>190283</v>
      </c>
      <c r="E31" s="9">
        <v>190338</v>
      </c>
      <c r="F31" s="9">
        <v>190338</v>
      </c>
      <c r="G31" s="9">
        <v>200509</v>
      </c>
      <c r="H31" s="9">
        <v>201140</v>
      </c>
      <c r="I31" s="9">
        <v>202248.41</v>
      </c>
      <c r="J31" s="9">
        <v>202138.2</v>
      </c>
      <c r="K31" s="9">
        <v>202221.05</v>
      </c>
      <c r="L31" s="9">
        <v>200928.56</v>
      </c>
      <c r="M31" s="9">
        <v>200858.25</v>
      </c>
      <c r="N31" s="9">
        <v>203564.61</v>
      </c>
      <c r="O31" s="9">
        <v>203492.08</v>
      </c>
      <c r="P31" s="9">
        <v>204481.66</v>
      </c>
      <c r="Q31" s="9">
        <v>205258.25</v>
      </c>
      <c r="R31" s="9">
        <v>205135.3</v>
      </c>
      <c r="S31" s="9">
        <v>208012.35</v>
      </c>
      <c r="T31" s="9">
        <v>208509.4</v>
      </c>
      <c r="U31" s="9">
        <v>208496.18</v>
      </c>
      <c r="V31" s="9">
        <v>209944.38</v>
      </c>
      <c r="W31" s="9">
        <v>209778.19</v>
      </c>
      <c r="X31" s="9">
        <v>210862</v>
      </c>
      <c r="Y31" s="9">
        <v>210695.81</v>
      </c>
      <c r="Z31" s="9">
        <v>209885.83</v>
      </c>
      <c r="AA31" s="9">
        <v>209047.2</v>
      </c>
      <c r="AB31" s="9">
        <v>208961.84</v>
      </c>
      <c r="AC31" s="9">
        <v>208876.49</v>
      </c>
      <c r="AD31" s="9">
        <v>209831.13</v>
      </c>
      <c r="AE31" s="9">
        <v>210189.39</v>
      </c>
    </row>
    <row r="32" spans="1:31" x14ac:dyDescent="0.25">
      <c r="A32" s="4" t="s">
        <v>719</v>
      </c>
      <c r="B32" s="9">
        <v>234268</v>
      </c>
      <c r="C32" s="9">
        <v>235563</v>
      </c>
      <c r="D32" s="9">
        <v>235055</v>
      </c>
      <c r="E32" s="9">
        <v>237084</v>
      </c>
      <c r="F32" s="9">
        <v>237084</v>
      </c>
      <c r="G32" s="9">
        <v>246457</v>
      </c>
      <c r="H32" s="9">
        <v>246335</v>
      </c>
      <c r="I32" s="9">
        <v>247761.67</v>
      </c>
      <c r="J32" s="9">
        <v>248682.73</v>
      </c>
      <c r="K32" s="9">
        <v>248852.28</v>
      </c>
      <c r="L32" s="9">
        <v>248011.72</v>
      </c>
      <c r="M32" s="9">
        <v>248525.53</v>
      </c>
      <c r="N32" s="9">
        <v>251582.81</v>
      </c>
      <c r="O32" s="9">
        <v>252623.77</v>
      </c>
      <c r="P32" s="9">
        <v>252632.13</v>
      </c>
      <c r="Q32" s="9">
        <v>249061.99</v>
      </c>
      <c r="R32" s="9">
        <v>249108.35</v>
      </c>
      <c r="S32" s="9">
        <v>251436.69</v>
      </c>
      <c r="T32" s="9">
        <v>251958.31</v>
      </c>
      <c r="U32" s="9">
        <v>253530.31</v>
      </c>
      <c r="V32" s="9">
        <v>253092.88</v>
      </c>
      <c r="W32" s="9">
        <v>252746.19</v>
      </c>
      <c r="X32" s="9">
        <v>253637</v>
      </c>
      <c r="Y32" s="9">
        <v>253280.56</v>
      </c>
      <c r="Z32" s="9">
        <v>255072.24</v>
      </c>
      <c r="AA32" s="9">
        <v>252389.02</v>
      </c>
      <c r="AB32" s="9">
        <v>251922.73</v>
      </c>
      <c r="AC32" s="9">
        <v>251486.92</v>
      </c>
      <c r="AD32" s="9">
        <v>253049.54</v>
      </c>
      <c r="AE32" s="9">
        <v>255498.69</v>
      </c>
    </row>
    <row r="33" spans="1:31" x14ac:dyDescent="0.25">
      <c r="A33" s="4" t="s">
        <v>718</v>
      </c>
      <c r="B33" s="9">
        <v>343011</v>
      </c>
      <c r="C33" s="9">
        <v>344439</v>
      </c>
      <c r="D33" s="9">
        <v>344321</v>
      </c>
      <c r="E33" s="9">
        <v>347336</v>
      </c>
      <c r="F33" s="9">
        <v>347336</v>
      </c>
      <c r="G33" s="9">
        <v>373159</v>
      </c>
      <c r="H33" s="9">
        <v>372615</v>
      </c>
      <c r="I33" s="9">
        <v>373930.87</v>
      </c>
      <c r="J33" s="9">
        <v>374465.31</v>
      </c>
      <c r="K33" s="9">
        <v>374146.51</v>
      </c>
      <c r="L33" s="9">
        <v>375976.74</v>
      </c>
      <c r="M33" s="9">
        <v>376219.5</v>
      </c>
      <c r="N33" s="9">
        <v>379337.6</v>
      </c>
      <c r="O33" s="9">
        <v>380203.73</v>
      </c>
      <c r="P33" s="9">
        <v>377298.83</v>
      </c>
      <c r="Q33" s="9">
        <v>374839.78</v>
      </c>
      <c r="R33" s="9">
        <v>374813.69</v>
      </c>
      <c r="S33" s="9">
        <v>377096.75</v>
      </c>
      <c r="T33" s="9">
        <v>377694.04</v>
      </c>
      <c r="U33" s="9">
        <v>375082.49</v>
      </c>
      <c r="V33" s="9">
        <v>371646.54</v>
      </c>
      <c r="W33" s="9">
        <v>370547.06</v>
      </c>
      <c r="X33" s="9">
        <v>370698.08</v>
      </c>
      <c r="Y33" s="9">
        <v>369716.11</v>
      </c>
      <c r="Z33" s="9">
        <v>371724.22</v>
      </c>
      <c r="AA33" s="9">
        <v>368843.17</v>
      </c>
      <c r="AB33" s="9">
        <v>367662.18</v>
      </c>
      <c r="AC33" s="9">
        <v>366526.8</v>
      </c>
      <c r="AD33" s="9">
        <v>367486.62</v>
      </c>
      <c r="AE33" s="9">
        <v>370563.67</v>
      </c>
    </row>
    <row r="34" spans="1:31" x14ac:dyDescent="0.25">
      <c r="A34" s="4" t="s">
        <v>717</v>
      </c>
      <c r="B34" s="9">
        <v>380364</v>
      </c>
      <c r="C34" s="9">
        <v>383285</v>
      </c>
      <c r="D34" s="9">
        <v>388331</v>
      </c>
      <c r="E34" s="9">
        <v>404258</v>
      </c>
      <c r="F34" s="9">
        <v>404258</v>
      </c>
      <c r="G34" s="9">
        <v>417882</v>
      </c>
      <c r="H34" s="9">
        <v>410186</v>
      </c>
      <c r="I34" s="9">
        <v>414495.65</v>
      </c>
      <c r="J34" s="9">
        <v>417817.03</v>
      </c>
      <c r="K34" s="9">
        <v>417687.61</v>
      </c>
      <c r="L34" s="9">
        <v>417044.69</v>
      </c>
      <c r="M34" s="9">
        <v>416555.04</v>
      </c>
      <c r="N34" s="9">
        <v>420279.59</v>
      </c>
      <c r="O34" s="9">
        <v>423515.96</v>
      </c>
      <c r="P34" s="9">
        <v>421788.84</v>
      </c>
      <c r="Q34" s="9">
        <v>415805.56</v>
      </c>
      <c r="R34" s="9">
        <v>415783.27</v>
      </c>
      <c r="S34" s="9">
        <v>417791.75</v>
      </c>
      <c r="T34" s="9">
        <v>419495.85</v>
      </c>
      <c r="U34" s="9">
        <v>422906.5</v>
      </c>
      <c r="V34" s="9">
        <v>412754.6</v>
      </c>
      <c r="W34" s="9">
        <v>411440.84</v>
      </c>
      <c r="X34" s="9">
        <v>413636.06</v>
      </c>
      <c r="Y34" s="9">
        <v>413672.19</v>
      </c>
      <c r="Z34" s="9">
        <v>426037.79</v>
      </c>
      <c r="AA34" s="9">
        <v>411638</v>
      </c>
      <c r="AB34" s="9">
        <v>410512.47</v>
      </c>
      <c r="AC34" s="9">
        <v>411320.12</v>
      </c>
      <c r="AD34" s="9">
        <v>413698.54</v>
      </c>
      <c r="AE34" s="9">
        <v>428920.85</v>
      </c>
    </row>
    <row r="35" spans="1:31" x14ac:dyDescent="0.25">
      <c r="A35" s="3" t="s">
        <v>716</v>
      </c>
      <c r="B35" s="9">
        <v>4686</v>
      </c>
      <c r="C35" s="9">
        <v>4731</v>
      </c>
      <c r="D35" s="9">
        <v>4501</v>
      </c>
      <c r="E35" s="9">
        <v>4542</v>
      </c>
      <c r="F35" s="9">
        <v>4542</v>
      </c>
      <c r="G35" s="9">
        <v>4720</v>
      </c>
      <c r="H35" s="9">
        <v>4835</v>
      </c>
      <c r="I35" s="9">
        <v>4804.13</v>
      </c>
      <c r="J35" s="9">
        <v>4777.01</v>
      </c>
      <c r="K35" s="9">
        <v>4753.51</v>
      </c>
      <c r="L35" s="9">
        <v>4774.46</v>
      </c>
      <c r="M35" s="9">
        <v>4750.38</v>
      </c>
      <c r="N35" s="9">
        <v>4764.21</v>
      </c>
      <c r="O35" s="9">
        <v>4768.1099999999997</v>
      </c>
      <c r="P35" s="9">
        <v>4758.88</v>
      </c>
      <c r="Q35" s="9">
        <v>4740.8999999999996</v>
      </c>
      <c r="R35" s="9">
        <v>4695.25</v>
      </c>
      <c r="S35" s="9">
        <v>4721.45</v>
      </c>
      <c r="T35" s="9">
        <v>4732.93</v>
      </c>
      <c r="U35" s="9">
        <v>4757.08</v>
      </c>
      <c r="V35" s="9">
        <v>4772.8100000000004</v>
      </c>
      <c r="W35" s="9">
        <v>4701.1000000000004</v>
      </c>
      <c r="X35" s="9">
        <v>4732.29</v>
      </c>
      <c r="Y35" s="9">
        <v>4745.75</v>
      </c>
      <c r="Z35" s="9">
        <v>4764.8999999999996</v>
      </c>
      <c r="AA35" s="9">
        <v>4787.51</v>
      </c>
      <c r="AB35" s="9">
        <v>4711.5600000000004</v>
      </c>
      <c r="AC35" s="9">
        <v>4743.66</v>
      </c>
      <c r="AD35" s="9">
        <v>4758.88</v>
      </c>
      <c r="AE35" s="9">
        <v>4769.83</v>
      </c>
    </row>
    <row r="36" spans="1:31" x14ac:dyDescent="0.25">
      <c r="A36" s="3" t="s">
        <v>715</v>
      </c>
      <c r="B36" s="9">
        <v>22629</v>
      </c>
      <c r="C36" s="9">
        <v>22067</v>
      </c>
      <c r="D36" s="9">
        <v>20146</v>
      </c>
      <c r="E36" s="9">
        <v>18618</v>
      </c>
      <c r="F36" s="9">
        <v>18618</v>
      </c>
      <c r="G36" s="9">
        <v>28229</v>
      </c>
      <c r="H36" s="9">
        <v>21783</v>
      </c>
      <c r="I36" s="9">
        <v>21409.71</v>
      </c>
      <c r="J36" s="9">
        <v>21383.95</v>
      </c>
      <c r="K36" s="9">
        <v>21199.55</v>
      </c>
      <c r="L36" s="9">
        <v>21660.560000000001</v>
      </c>
      <c r="M36" s="9">
        <v>21736.7</v>
      </c>
      <c r="N36" s="9">
        <v>21736.7</v>
      </c>
      <c r="O36" s="9">
        <v>21787.81</v>
      </c>
      <c r="P36" s="9">
        <v>21221.22</v>
      </c>
      <c r="Q36" s="9">
        <v>21562.6</v>
      </c>
      <c r="R36" s="9">
        <v>21699.66</v>
      </c>
      <c r="S36" s="9">
        <v>21699.66</v>
      </c>
      <c r="T36" s="9">
        <v>21791.66</v>
      </c>
      <c r="U36" s="9">
        <v>21123.95</v>
      </c>
      <c r="V36" s="9">
        <v>21507.5</v>
      </c>
      <c r="W36" s="9">
        <v>21678.83</v>
      </c>
      <c r="X36" s="9">
        <v>21678.83</v>
      </c>
      <c r="Y36" s="9">
        <v>21793.83</v>
      </c>
      <c r="Z36" s="9">
        <v>21471.03</v>
      </c>
      <c r="AA36" s="9">
        <v>19422.2</v>
      </c>
      <c r="AB36" s="9">
        <v>19559.259999999998</v>
      </c>
      <c r="AC36" s="9">
        <v>19559.259999999998</v>
      </c>
      <c r="AD36" s="9">
        <v>19651.259999999998</v>
      </c>
      <c r="AE36" s="9">
        <v>20338.87</v>
      </c>
    </row>
    <row r="37" spans="1:31" x14ac:dyDescent="0.25">
      <c r="A37" s="3" t="s">
        <v>714</v>
      </c>
      <c r="B37" s="9">
        <v>19413</v>
      </c>
      <c r="C37" s="9">
        <v>19880</v>
      </c>
      <c r="D37" s="9">
        <v>20700</v>
      </c>
      <c r="E37" s="9">
        <v>24981</v>
      </c>
      <c r="F37" s="9">
        <v>24981</v>
      </c>
      <c r="G37" s="9">
        <v>21932</v>
      </c>
      <c r="H37" s="9">
        <v>20422</v>
      </c>
      <c r="I37" s="9">
        <v>20676.689999999999</v>
      </c>
      <c r="J37" s="9">
        <v>22724.6</v>
      </c>
      <c r="K37" s="9">
        <v>22845.68</v>
      </c>
      <c r="L37" s="9">
        <v>20816.77</v>
      </c>
      <c r="M37" s="9">
        <v>19771.939999999999</v>
      </c>
      <c r="N37" s="9">
        <v>20246.560000000001</v>
      </c>
      <c r="O37" s="9">
        <v>22438.21</v>
      </c>
      <c r="P37" s="9">
        <v>22208.53</v>
      </c>
      <c r="Q37" s="9">
        <v>20751.27</v>
      </c>
      <c r="R37" s="9">
        <v>19739.189999999999</v>
      </c>
      <c r="S37" s="9">
        <v>19877.57</v>
      </c>
      <c r="T37" s="9">
        <v>22197.39</v>
      </c>
      <c r="U37" s="9">
        <v>21601.02</v>
      </c>
      <c r="V37" s="9">
        <v>19663.84</v>
      </c>
      <c r="W37" s="9">
        <v>18394.3</v>
      </c>
      <c r="X37" s="9">
        <v>18560.71</v>
      </c>
      <c r="Y37" s="9">
        <v>20899.189999999999</v>
      </c>
      <c r="Z37" s="9">
        <v>20956.02</v>
      </c>
      <c r="AA37" s="9">
        <v>19500.63</v>
      </c>
      <c r="AB37" s="9">
        <v>18278.509999999998</v>
      </c>
      <c r="AC37" s="9">
        <v>18421.330000000002</v>
      </c>
      <c r="AD37" s="9">
        <v>20918.509999999998</v>
      </c>
      <c r="AE37" s="9">
        <v>20833.48</v>
      </c>
    </row>
    <row r="38" spans="1:31" x14ac:dyDescent="0.25">
      <c r="A38" s="3" t="s">
        <v>713</v>
      </c>
      <c r="B38" s="9">
        <v>14338</v>
      </c>
      <c r="C38" s="9">
        <v>14274</v>
      </c>
      <c r="D38" s="9">
        <v>14216</v>
      </c>
      <c r="E38" s="9">
        <v>14229</v>
      </c>
      <c r="F38" s="9">
        <v>14229</v>
      </c>
      <c r="G38" s="9">
        <v>14999</v>
      </c>
      <c r="H38" s="9">
        <v>15171</v>
      </c>
      <c r="I38" s="9">
        <v>15750.16</v>
      </c>
      <c r="J38" s="9">
        <v>15753.34</v>
      </c>
      <c r="K38" s="9">
        <v>15487.57</v>
      </c>
      <c r="L38" s="9">
        <v>15636.1</v>
      </c>
      <c r="M38" s="9">
        <v>15507.22</v>
      </c>
      <c r="N38" s="9">
        <v>15474.66</v>
      </c>
      <c r="O38" s="9">
        <v>15325.51</v>
      </c>
      <c r="P38" s="9">
        <v>14834.39</v>
      </c>
      <c r="Q38" s="9">
        <v>15188.85</v>
      </c>
      <c r="R38" s="9">
        <v>14995.12</v>
      </c>
      <c r="S38" s="9">
        <v>14910.39</v>
      </c>
      <c r="T38" s="9">
        <v>14645.54</v>
      </c>
      <c r="U38" s="9">
        <v>14300.82</v>
      </c>
      <c r="V38" s="9">
        <v>14050.17</v>
      </c>
      <c r="W38" s="9">
        <v>13778.71</v>
      </c>
      <c r="X38" s="9">
        <v>13653.52</v>
      </c>
      <c r="Y38" s="9">
        <v>13309.34</v>
      </c>
      <c r="Z38" s="9">
        <v>13620.9</v>
      </c>
      <c r="AA38" s="9">
        <v>13018.26</v>
      </c>
      <c r="AB38" s="9">
        <v>12730.36</v>
      </c>
      <c r="AC38" s="9">
        <v>12599.99</v>
      </c>
      <c r="AD38" s="9">
        <v>12248.34</v>
      </c>
      <c r="AE38" s="9">
        <v>13059.34</v>
      </c>
    </row>
    <row r="39" spans="1:31" x14ac:dyDescent="0.25">
      <c r="A39" s="4" t="s">
        <v>712</v>
      </c>
      <c r="B39" s="9">
        <v>61066</v>
      </c>
      <c r="C39" s="9">
        <v>60952</v>
      </c>
      <c r="D39" s="9">
        <v>59563</v>
      </c>
      <c r="E39" s="9">
        <v>62370</v>
      </c>
      <c r="F39" s="9">
        <v>62370</v>
      </c>
      <c r="G39" s="9">
        <v>69880</v>
      </c>
      <c r="H39" s="9">
        <v>62211</v>
      </c>
      <c r="I39" s="9">
        <v>62372.74</v>
      </c>
      <c r="J39" s="9">
        <v>64317.94</v>
      </c>
      <c r="K39" s="9">
        <v>64065.45</v>
      </c>
      <c r="L39" s="9">
        <v>62199.97</v>
      </c>
      <c r="M39" s="9">
        <v>61091.4</v>
      </c>
      <c r="N39" s="9">
        <v>61628.06</v>
      </c>
      <c r="O39" s="9">
        <v>63704.85</v>
      </c>
      <c r="P39" s="9">
        <v>62801.39</v>
      </c>
      <c r="Q39" s="9">
        <v>60781.8</v>
      </c>
      <c r="R39" s="9">
        <v>59695.87</v>
      </c>
      <c r="S39" s="9">
        <v>59934.48</v>
      </c>
      <c r="T39" s="9">
        <v>61679.17</v>
      </c>
      <c r="U39" s="9">
        <v>61230.85</v>
      </c>
      <c r="V39" s="9">
        <v>58801.120000000003</v>
      </c>
      <c r="W39" s="9">
        <v>57377.66</v>
      </c>
      <c r="X39" s="9">
        <v>57442.27</v>
      </c>
      <c r="Y39" s="9">
        <v>59561.66</v>
      </c>
      <c r="Z39" s="9">
        <v>60773.35</v>
      </c>
      <c r="AA39" s="9">
        <v>56144.85</v>
      </c>
      <c r="AB39" s="9">
        <v>54716.63</v>
      </c>
      <c r="AC39" s="9">
        <v>54726.15</v>
      </c>
      <c r="AD39" s="9">
        <v>57308.09</v>
      </c>
      <c r="AE39" s="9">
        <v>59152.160000000003</v>
      </c>
    </row>
    <row r="40" spans="1:31" x14ac:dyDescent="0.25">
      <c r="A40" s="3" t="s">
        <v>711</v>
      </c>
      <c r="B40" s="9">
        <v>19379</v>
      </c>
      <c r="C40" s="9">
        <v>19164</v>
      </c>
      <c r="D40" s="9">
        <v>19176</v>
      </c>
      <c r="E40" s="9">
        <v>18951</v>
      </c>
      <c r="F40" s="9">
        <v>18951</v>
      </c>
      <c r="G40" s="9">
        <v>18692</v>
      </c>
      <c r="H40" s="9">
        <v>18392</v>
      </c>
      <c r="I40" s="9">
        <v>18544.98</v>
      </c>
      <c r="J40" s="9">
        <v>18545.28</v>
      </c>
      <c r="K40" s="9">
        <v>18634.22</v>
      </c>
      <c r="L40" s="9">
        <v>18426.900000000001</v>
      </c>
      <c r="M40" s="9">
        <v>18426.55</v>
      </c>
      <c r="N40" s="9">
        <v>18437.5</v>
      </c>
      <c r="O40" s="9">
        <v>18442.810000000001</v>
      </c>
      <c r="P40" s="9">
        <v>18935.240000000002</v>
      </c>
      <c r="Q40" s="9">
        <v>18059.060000000001</v>
      </c>
      <c r="R40" s="9">
        <v>18076.38</v>
      </c>
      <c r="S40" s="9">
        <v>18089.12</v>
      </c>
      <c r="T40" s="9">
        <v>18099.29</v>
      </c>
      <c r="U40" s="9">
        <v>19065.91</v>
      </c>
      <c r="V40" s="9">
        <v>18392</v>
      </c>
      <c r="W40" s="9">
        <v>18392</v>
      </c>
      <c r="X40" s="9">
        <v>18392</v>
      </c>
      <c r="Y40" s="9">
        <v>18392</v>
      </c>
      <c r="Z40" s="9">
        <v>19553.490000000002</v>
      </c>
      <c r="AA40" s="9">
        <v>18392</v>
      </c>
      <c r="AB40" s="9">
        <v>18392</v>
      </c>
      <c r="AC40" s="9">
        <v>18392</v>
      </c>
      <c r="AD40" s="9">
        <v>18392</v>
      </c>
      <c r="AE40" s="9">
        <v>19675.11</v>
      </c>
    </row>
    <row r="41" spans="1:31" x14ac:dyDescent="0.25">
      <c r="A41" s="3" t="s">
        <v>710</v>
      </c>
      <c r="B41" s="9">
        <v>121020</v>
      </c>
      <c r="C41" s="9">
        <v>123929</v>
      </c>
      <c r="D41" s="9">
        <v>126629</v>
      </c>
      <c r="E41" s="9">
        <v>139532</v>
      </c>
      <c r="F41" s="9">
        <v>139532</v>
      </c>
      <c r="G41" s="9">
        <v>144231</v>
      </c>
      <c r="H41" s="9">
        <v>143448</v>
      </c>
      <c r="I41" s="9">
        <v>143148.29999999999</v>
      </c>
      <c r="J41" s="9">
        <v>142281.29999999999</v>
      </c>
      <c r="K41" s="9">
        <v>142667.03</v>
      </c>
      <c r="L41" s="9">
        <v>141583.39000000001</v>
      </c>
      <c r="M41" s="9">
        <v>140376.29</v>
      </c>
      <c r="N41" s="9">
        <v>141312.15</v>
      </c>
      <c r="O41" s="9">
        <v>140841.17000000001</v>
      </c>
      <c r="P41" s="9">
        <v>141277.13</v>
      </c>
      <c r="Q41" s="9">
        <v>141539.95000000001</v>
      </c>
      <c r="R41" s="9">
        <v>141875.44</v>
      </c>
      <c r="S41" s="9">
        <v>143153.85</v>
      </c>
      <c r="T41" s="9">
        <v>143219</v>
      </c>
      <c r="U41" s="9">
        <v>143317.43</v>
      </c>
      <c r="V41" s="9">
        <v>145925.16</v>
      </c>
      <c r="W41" s="9">
        <v>146282.34</v>
      </c>
      <c r="X41" s="9">
        <v>147906.34</v>
      </c>
      <c r="Y41" s="9">
        <v>146939.09</v>
      </c>
      <c r="Z41" s="9">
        <v>143890.14000000001</v>
      </c>
      <c r="AA41" s="9">
        <v>147449.04</v>
      </c>
      <c r="AB41" s="9">
        <v>147898.18</v>
      </c>
      <c r="AC41" s="9">
        <v>148261.88</v>
      </c>
      <c r="AD41" s="9">
        <v>148244.28</v>
      </c>
      <c r="AE41" s="9">
        <v>144318.42000000001</v>
      </c>
    </row>
    <row r="42" spans="1:31" x14ac:dyDescent="0.25">
      <c r="A42" s="3" t="s">
        <v>709</v>
      </c>
      <c r="B42" s="9">
        <v>11793</v>
      </c>
      <c r="C42" s="9">
        <v>11170</v>
      </c>
      <c r="D42" s="9">
        <v>11072</v>
      </c>
      <c r="E42" s="9">
        <v>11099</v>
      </c>
      <c r="F42" s="9">
        <v>11099</v>
      </c>
      <c r="G42" s="9">
        <v>12023</v>
      </c>
      <c r="H42" s="9">
        <v>11758</v>
      </c>
      <c r="I42" s="9">
        <v>11663.61</v>
      </c>
      <c r="J42" s="9">
        <v>11579.89</v>
      </c>
      <c r="K42" s="9">
        <v>11547.84</v>
      </c>
      <c r="L42" s="9">
        <v>11530.63</v>
      </c>
      <c r="M42" s="9">
        <v>11488.89</v>
      </c>
      <c r="N42" s="9">
        <v>11443.15</v>
      </c>
      <c r="O42" s="9">
        <v>11359.35</v>
      </c>
      <c r="P42" s="9">
        <v>11228.6</v>
      </c>
      <c r="Q42" s="9">
        <v>10929.56</v>
      </c>
      <c r="R42" s="9">
        <v>10870.89</v>
      </c>
      <c r="S42" s="9">
        <v>10786.57</v>
      </c>
      <c r="T42" s="9">
        <v>10641.39</v>
      </c>
      <c r="U42" s="9">
        <v>10677.68</v>
      </c>
      <c r="V42" s="9">
        <v>9891.4500000000007</v>
      </c>
      <c r="W42" s="9">
        <v>9720.2000000000007</v>
      </c>
      <c r="X42" s="9">
        <v>12949.67</v>
      </c>
      <c r="Y42" s="9">
        <v>13041.33</v>
      </c>
      <c r="Z42" s="9">
        <v>11174.55</v>
      </c>
      <c r="AA42" s="9">
        <v>13387.67</v>
      </c>
      <c r="AB42" s="9">
        <v>13502.55</v>
      </c>
      <c r="AC42" s="9">
        <v>13617.43</v>
      </c>
      <c r="AD42" s="9">
        <v>13732.31</v>
      </c>
      <c r="AE42" s="9">
        <v>11382.79</v>
      </c>
    </row>
    <row r="43" spans="1:31" x14ac:dyDescent="0.25">
      <c r="A43" s="3" t="s">
        <v>708</v>
      </c>
      <c r="B43" s="9">
        <v>46643</v>
      </c>
      <c r="C43" s="9">
        <v>46568</v>
      </c>
      <c r="D43" s="9">
        <v>48226</v>
      </c>
      <c r="E43" s="9">
        <v>48717</v>
      </c>
      <c r="F43" s="9">
        <v>48717</v>
      </c>
      <c r="G43" s="9">
        <v>49312</v>
      </c>
      <c r="H43" s="9">
        <v>50234</v>
      </c>
      <c r="I43" s="9">
        <v>50739.29</v>
      </c>
      <c r="J43" s="9">
        <v>50957.96</v>
      </c>
      <c r="K43" s="9">
        <v>50860.69</v>
      </c>
      <c r="L43" s="9">
        <v>51057.72</v>
      </c>
      <c r="M43" s="9">
        <v>51338.94</v>
      </c>
      <c r="N43" s="9">
        <v>51641.69</v>
      </c>
      <c r="O43" s="9">
        <v>51930.52</v>
      </c>
      <c r="P43" s="9">
        <v>51985.279999999999</v>
      </c>
      <c r="Q43" s="9">
        <v>52518.16</v>
      </c>
      <c r="R43" s="9">
        <v>52913.26</v>
      </c>
      <c r="S43" s="9">
        <v>53286.79</v>
      </c>
      <c r="T43" s="9">
        <v>53655.53</v>
      </c>
      <c r="U43" s="9">
        <v>53050.02</v>
      </c>
      <c r="V43" s="9">
        <v>56710.85</v>
      </c>
      <c r="W43" s="9">
        <v>57255.94</v>
      </c>
      <c r="X43" s="9">
        <v>57780.72</v>
      </c>
      <c r="Y43" s="9">
        <v>58305.89</v>
      </c>
      <c r="Z43" s="9">
        <v>54734.63</v>
      </c>
      <c r="AA43" s="9">
        <v>58122.3</v>
      </c>
      <c r="AB43" s="9">
        <v>58369.760000000002</v>
      </c>
      <c r="AC43" s="9">
        <v>58627.63</v>
      </c>
      <c r="AD43" s="9">
        <v>58888.68</v>
      </c>
      <c r="AE43" s="9">
        <v>55459.99</v>
      </c>
    </row>
    <row r="44" spans="1:31" x14ac:dyDescent="0.25">
      <c r="A44" s="3" t="s">
        <v>707</v>
      </c>
      <c r="B44" s="9">
        <v>18426</v>
      </c>
      <c r="C44" s="9">
        <v>17141</v>
      </c>
      <c r="D44" s="9">
        <v>17320</v>
      </c>
      <c r="E44" s="9">
        <v>17848</v>
      </c>
      <c r="F44" s="9">
        <v>17848</v>
      </c>
      <c r="G44" s="9">
        <v>19122</v>
      </c>
      <c r="H44" s="9">
        <v>18947</v>
      </c>
      <c r="I44" s="9">
        <v>18808.669999999998</v>
      </c>
      <c r="J44" s="9">
        <v>18781.759999999998</v>
      </c>
      <c r="K44" s="9">
        <v>18665.04</v>
      </c>
      <c r="L44" s="9">
        <v>18903.88</v>
      </c>
      <c r="M44" s="9">
        <v>18611.47</v>
      </c>
      <c r="N44" s="9">
        <v>18614.53</v>
      </c>
      <c r="O44" s="9">
        <v>18641.77</v>
      </c>
      <c r="P44" s="9">
        <v>18580.7</v>
      </c>
      <c r="Q44" s="9">
        <v>18628.919999999998</v>
      </c>
      <c r="R44" s="9">
        <v>18064.84</v>
      </c>
      <c r="S44" s="9">
        <v>18063.45</v>
      </c>
      <c r="T44" s="9">
        <v>18121.080000000002</v>
      </c>
      <c r="U44" s="9">
        <v>18436.03</v>
      </c>
      <c r="V44" s="9">
        <v>17997</v>
      </c>
      <c r="W44" s="9">
        <v>17897</v>
      </c>
      <c r="X44" s="9">
        <v>17797</v>
      </c>
      <c r="Y44" s="9">
        <v>17647</v>
      </c>
      <c r="Z44" s="9">
        <v>18330.5</v>
      </c>
      <c r="AA44" s="9">
        <v>17647</v>
      </c>
      <c r="AB44" s="9">
        <v>17547</v>
      </c>
      <c r="AC44" s="9">
        <v>17447</v>
      </c>
      <c r="AD44" s="9">
        <v>17297</v>
      </c>
      <c r="AE44" s="9">
        <v>18213.830000000002</v>
      </c>
    </row>
    <row r="45" spans="1:31" x14ac:dyDescent="0.25">
      <c r="A45" s="4" t="s">
        <v>706</v>
      </c>
      <c r="B45" s="9">
        <v>217261</v>
      </c>
      <c r="C45" s="9">
        <v>217972</v>
      </c>
      <c r="D45" s="9">
        <v>222423</v>
      </c>
      <c r="E45" s="9">
        <v>236147</v>
      </c>
      <c r="F45" s="9">
        <v>236147</v>
      </c>
      <c r="G45" s="9">
        <v>243380</v>
      </c>
      <c r="H45" s="9">
        <v>242779</v>
      </c>
      <c r="I45" s="9">
        <v>242122.71</v>
      </c>
      <c r="J45" s="9">
        <v>241277.4</v>
      </c>
      <c r="K45" s="9">
        <v>241624.89</v>
      </c>
      <c r="L45" s="9">
        <v>241606.1</v>
      </c>
      <c r="M45" s="9">
        <v>240483.07</v>
      </c>
      <c r="N45" s="9">
        <v>241725.86</v>
      </c>
      <c r="O45" s="9">
        <v>241517.33</v>
      </c>
      <c r="P45" s="9">
        <v>240992.64000000001</v>
      </c>
      <c r="Q45" s="9">
        <v>242243.77</v>
      </c>
      <c r="R45" s="9">
        <v>242659.38</v>
      </c>
      <c r="S45" s="9">
        <v>244299.49</v>
      </c>
      <c r="T45" s="9">
        <v>244681.88</v>
      </c>
      <c r="U45" s="9">
        <v>243514.62</v>
      </c>
      <c r="V45" s="9">
        <v>248847.25</v>
      </c>
      <c r="W45" s="9">
        <v>249491.99</v>
      </c>
      <c r="X45" s="9">
        <v>251388.33</v>
      </c>
      <c r="Y45" s="9">
        <v>250666.71</v>
      </c>
      <c r="Z45" s="9">
        <v>245060.38</v>
      </c>
      <c r="AA45" s="9">
        <v>252575.66</v>
      </c>
      <c r="AB45" s="9">
        <v>253047.06</v>
      </c>
      <c r="AC45" s="9">
        <v>253462.93</v>
      </c>
      <c r="AD45" s="9">
        <v>254254.33</v>
      </c>
      <c r="AE45" s="9">
        <v>246750.19</v>
      </c>
    </row>
    <row r="46" spans="1:31" x14ac:dyDescent="0.25">
      <c r="A46" s="4" t="s">
        <v>705</v>
      </c>
      <c r="B46" s="9">
        <v>278327</v>
      </c>
      <c r="C46" s="9">
        <v>278924</v>
      </c>
      <c r="D46" s="9">
        <v>281986</v>
      </c>
      <c r="E46" s="9">
        <v>298517</v>
      </c>
      <c r="F46" s="9">
        <v>298517</v>
      </c>
      <c r="G46" s="9">
        <v>313260</v>
      </c>
      <c r="H46" s="9">
        <v>304990</v>
      </c>
      <c r="I46" s="9">
        <v>305332.62</v>
      </c>
      <c r="J46" s="9">
        <v>306561.21999999997</v>
      </c>
      <c r="K46" s="9">
        <v>306567.8</v>
      </c>
      <c r="L46" s="9">
        <v>304212.03000000003</v>
      </c>
      <c r="M46" s="9">
        <v>302272.48</v>
      </c>
      <c r="N46" s="9">
        <v>303334.01</v>
      </c>
      <c r="O46" s="9">
        <v>305540.44</v>
      </c>
      <c r="P46" s="9">
        <v>305183.5</v>
      </c>
      <c r="Q46" s="9">
        <v>303548.06</v>
      </c>
      <c r="R46" s="9">
        <v>302843.15000000002</v>
      </c>
      <c r="S46" s="9">
        <v>304172.46000000002</v>
      </c>
      <c r="T46" s="9">
        <v>306849.90999999997</v>
      </c>
      <c r="U46" s="9">
        <v>306428.2</v>
      </c>
      <c r="V46" s="9">
        <v>307648.36</v>
      </c>
      <c r="W46" s="9">
        <v>306869.65000000002</v>
      </c>
      <c r="X46" s="9">
        <v>308830.59999999998</v>
      </c>
      <c r="Y46" s="9">
        <v>310228.37</v>
      </c>
      <c r="Z46" s="9">
        <v>307049.67</v>
      </c>
      <c r="AA46" s="9">
        <v>308720.51</v>
      </c>
      <c r="AB46" s="9">
        <v>307763.69</v>
      </c>
      <c r="AC46" s="9">
        <v>308189.08</v>
      </c>
      <c r="AD46" s="9">
        <v>311562.42</v>
      </c>
      <c r="AE46" s="9">
        <v>307046.90000000002</v>
      </c>
    </row>
    <row r="47" spans="1:31" x14ac:dyDescent="0.25">
      <c r="A47" s="3" t="s">
        <v>704</v>
      </c>
      <c r="B47" s="9">
        <v>429</v>
      </c>
      <c r="C47" s="9">
        <v>429</v>
      </c>
      <c r="D47" s="9">
        <v>429</v>
      </c>
      <c r="E47" s="9">
        <v>429</v>
      </c>
      <c r="F47" s="9">
        <v>429</v>
      </c>
      <c r="G47" s="9">
        <v>429</v>
      </c>
      <c r="H47" s="9">
        <v>429</v>
      </c>
      <c r="I47" s="9">
        <v>429</v>
      </c>
      <c r="J47" s="9">
        <v>429</v>
      </c>
      <c r="K47" s="9">
        <v>429</v>
      </c>
      <c r="L47" s="9">
        <v>429</v>
      </c>
      <c r="M47" s="9">
        <v>429</v>
      </c>
      <c r="N47" s="9">
        <v>429</v>
      </c>
      <c r="O47" s="9">
        <v>429</v>
      </c>
      <c r="P47" s="9">
        <v>429</v>
      </c>
      <c r="Q47" s="9">
        <v>429</v>
      </c>
      <c r="R47" s="9">
        <v>429</v>
      </c>
      <c r="S47" s="9">
        <v>429</v>
      </c>
      <c r="T47" s="9">
        <v>429</v>
      </c>
      <c r="U47" s="9">
        <v>429</v>
      </c>
      <c r="V47" s="9">
        <v>429</v>
      </c>
      <c r="W47" s="9">
        <v>429</v>
      </c>
      <c r="X47" s="9">
        <v>429</v>
      </c>
      <c r="Y47" s="9">
        <v>429</v>
      </c>
      <c r="Z47" s="9">
        <v>429</v>
      </c>
      <c r="AA47" s="9">
        <v>429</v>
      </c>
      <c r="AB47" s="9">
        <v>429</v>
      </c>
      <c r="AC47" s="9">
        <v>429</v>
      </c>
      <c r="AD47" s="9">
        <v>429</v>
      </c>
      <c r="AE47" s="9">
        <v>429</v>
      </c>
    </row>
    <row r="48" spans="1:31" x14ac:dyDescent="0.25">
      <c r="A48" s="3" t="s">
        <v>703</v>
      </c>
      <c r="B48" s="9">
        <v>13415</v>
      </c>
      <c r="C48" s="9">
        <v>13412</v>
      </c>
      <c r="D48" s="9">
        <v>13408</v>
      </c>
      <c r="E48" s="9">
        <v>13372</v>
      </c>
      <c r="F48" s="9">
        <v>13372</v>
      </c>
      <c r="G48" s="9">
        <v>13263</v>
      </c>
      <c r="H48" s="9">
        <v>13258</v>
      </c>
      <c r="I48" s="9">
        <v>13492.38</v>
      </c>
      <c r="J48" s="9">
        <v>13492.38</v>
      </c>
      <c r="K48" s="9">
        <v>13479</v>
      </c>
      <c r="L48" s="9">
        <v>13570.5</v>
      </c>
      <c r="M48" s="9">
        <v>13570.5</v>
      </c>
      <c r="N48" s="9">
        <v>13570.5</v>
      </c>
      <c r="O48" s="9">
        <v>13570.5</v>
      </c>
      <c r="P48" s="9">
        <v>13479</v>
      </c>
      <c r="Q48" s="9">
        <v>13633</v>
      </c>
      <c r="R48" s="9">
        <v>13633</v>
      </c>
      <c r="S48" s="9">
        <v>13633</v>
      </c>
      <c r="T48" s="9">
        <v>13633</v>
      </c>
      <c r="U48" s="9">
        <v>13506.62</v>
      </c>
      <c r="V48" s="9">
        <v>13883</v>
      </c>
      <c r="W48" s="9">
        <v>13883</v>
      </c>
      <c r="X48" s="9">
        <v>13883</v>
      </c>
      <c r="Y48" s="9">
        <v>13883</v>
      </c>
      <c r="Z48" s="9">
        <v>13589.5</v>
      </c>
      <c r="AA48" s="9">
        <v>13883</v>
      </c>
      <c r="AB48" s="9">
        <v>13883</v>
      </c>
      <c r="AC48" s="9">
        <v>13883</v>
      </c>
      <c r="AD48" s="9">
        <v>13883</v>
      </c>
      <c r="AE48" s="9">
        <v>13589.5</v>
      </c>
    </row>
    <row r="49" spans="1:31" x14ac:dyDescent="0.25">
      <c r="A49" s="4" t="s">
        <v>702</v>
      </c>
      <c r="B49" s="9">
        <v>13844</v>
      </c>
      <c r="C49" s="9">
        <v>13841</v>
      </c>
      <c r="D49" s="9">
        <v>13837</v>
      </c>
      <c r="E49" s="9">
        <v>13801</v>
      </c>
      <c r="F49" s="9">
        <v>13801</v>
      </c>
      <c r="G49" s="9">
        <v>13692</v>
      </c>
      <c r="H49" s="9">
        <v>13687</v>
      </c>
      <c r="I49" s="9">
        <v>13955.57</v>
      </c>
      <c r="J49" s="9">
        <v>13955.57</v>
      </c>
      <c r="K49" s="9">
        <v>13936.25</v>
      </c>
      <c r="L49" s="9">
        <v>14000.33</v>
      </c>
      <c r="M49" s="9">
        <v>14000.33</v>
      </c>
      <c r="N49" s="9">
        <v>14000.33</v>
      </c>
      <c r="O49" s="9">
        <v>14000.33</v>
      </c>
      <c r="P49" s="9">
        <v>13936.25</v>
      </c>
      <c r="Q49" s="9">
        <v>14062</v>
      </c>
      <c r="R49" s="9">
        <v>14062</v>
      </c>
      <c r="S49" s="9">
        <v>14062</v>
      </c>
      <c r="T49" s="9">
        <v>14062</v>
      </c>
      <c r="U49" s="9">
        <v>13971.14</v>
      </c>
      <c r="V49" s="9">
        <v>14312</v>
      </c>
      <c r="W49" s="9">
        <v>14312</v>
      </c>
      <c r="X49" s="9">
        <v>14312</v>
      </c>
      <c r="Y49" s="9">
        <v>14312</v>
      </c>
      <c r="Z49" s="9">
        <v>14084.8</v>
      </c>
      <c r="AA49" s="9">
        <v>14312</v>
      </c>
      <c r="AB49" s="9">
        <v>14312</v>
      </c>
      <c r="AC49" s="9">
        <v>14312</v>
      </c>
      <c r="AD49" s="9">
        <v>14312</v>
      </c>
      <c r="AE49" s="9">
        <v>14084.8</v>
      </c>
    </row>
    <row r="50" spans="1:31" x14ac:dyDescent="0.25">
      <c r="A50" s="3" t="s">
        <v>701</v>
      </c>
      <c r="B50" s="9">
        <v>91128</v>
      </c>
      <c r="C50" s="9">
        <v>93275</v>
      </c>
      <c r="D50" s="9">
        <v>95316</v>
      </c>
      <c r="E50" s="9">
        <v>94744</v>
      </c>
      <c r="F50" s="9">
        <v>94744</v>
      </c>
      <c r="G50" s="9">
        <v>96824</v>
      </c>
      <c r="H50" s="9">
        <v>97728</v>
      </c>
      <c r="I50" s="9">
        <v>100975.36</v>
      </c>
      <c r="J50" s="9">
        <v>103377.98</v>
      </c>
      <c r="K50" s="9">
        <v>103251.75</v>
      </c>
      <c r="L50" s="9">
        <v>106657.48</v>
      </c>
      <c r="M50" s="9">
        <v>108959.27</v>
      </c>
      <c r="N50" s="9">
        <v>111981.95</v>
      </c>
      <c r="O50" s="9">
        <v>114581.32</v>
      </c>
      <c r="P50" s="9">
        <v>113603.01</v>
      </c>
      <c r="Q50" s="9">
        <v>110524.86</v>
      </c>
      <c r="R50" s="9">
        <v>111750.43</v>
      </c>
      <c r="S50" s="9">
        <v>113564.24</v>
      </c>
      <c r="T50" s="9">
        <v>114062.33</v>
      </c>
      <c r="U50" s="9">
        <v>117411.95</v>
      </c>
      <c r="V50" s="9">
        <v>100108.65</v>
      </c>
      <c r="W50" s="9">
        <v>99670.23</v>
      </c>
      <c r="X50" s="9">
        <v>100445.92</v>
      </c>
      <c r="Y50" s="9">
        <v>99316.19</v>
      </c>
      <c r="Z50" s="9">
        <v>117771.55</v>
      </c>
      <c r="AA50" s="9">
        <v>99528.92</v>
      </c>
      <c r="AB50" s="9">
        <v>99279.92</v>
      </c>
      <c r="AC50" s="9">
        <v>100295.5</v>
      </c>
      <c r="AD50" s="9">
        <v>99435.47</v>
      </c>
      <c r="AE50" s="9">
        <v>124915.27</v>
      </c>
    </row>
    <row r="51" spans="1:31" x14ac:dyDescent="0.25">
      <c r="A51" s="3" t="s">
        <v>700</v>
      </c>
      <c r="B51" s="10">
        <v>-1489</v>
      </c>
      <c r="C51" s="10">
        <v>-1475</v>
      </c>
      <c r="D51" s="10">
        <v>-1651</v>
      </c>
      <c r="E51" s="10">
        <v>-1727</v>
      </c>
      <c r="F51" s="10">
        <v>-1727</v>
      </c>
      <c r="G51" s="10">
        <v>-2372</v>
      </c>
      <c r="H51" s="10">
        <v>-1784</v>
      </c>
      <c r="I51" s="10">
        <v>-1484.97</v>
      </c>
      <c r="J51" s="10">
        <v>-1222.83</v>
      </c>
      <c r="K51" s="10">
        <v>-1278.8499999999999</v>
      </c>
      <c r="L51" s="10">
        <v>-576.91</v>
      </c>
      <c r="M51" s="10">
        <v>-56.22</v>
      </c>
      <c r="N51" s="9">
        <v>363.95</v>
      </c>
      <c r="O51" s="9">
        <v>733.23</v>
      </c>
      <c r="P51" s="10">
        <v>-99.51</v>
      </c>
      <c r="Q51" s="9">
        <v>1834.08</v>
      </c>
      <c r="R51" s="9">
        <v>2509.2600000000002</v>
      </c>
      <c r="S51" s="9">
        <v>3057.83</v>
      </c>
      <c r="T51" s="9">
        <v>3546.19</v>
      </c>
      <c r="U51" s="9">
        <v>1554.49</v>
      </c>
      <c r="V51" s="9">
        <v>8149.25</v>
      </c>
      <c r="W51" s="9">
        <v>9355.2199999999993</v>
      </c>
      <c r="X51" s="9">
        <v>10325.780000000001</v>
      </c>
      <c r="Y51" s="9">
        <v>11176.77</v>
      </c>
      <c r="Z51" s="9">
        <v>4705.8900000000003</v>
      </c>
      <c r="AA51" s="9">
        <v>12222.24</v>
      </c>
      <c r="AB51" s="9">
        <v>13435.13</v>
      </c>
      <c r="AC51" s="9">
        <v>14394.01</v>
      </c>
      <c r="AD51" s="9">
        <v>15226.35</v>
      </c>
      <c r="AE51" s="9">
        <v>6730.67</v>
      </c>
    </row>
    <row r="52" spans="1:31" x14ac:dyDescent="0.25">
      <c r="A52" s="3" t="s">
        <v>699</v>
      </c>
      <c r="B52" s="10">
        <v>-3295</v>
      </c>
      <c r="C52" s="10">
        <v>-3292</v>
      </c>
      <c r="D52" s="10">
        <v>-3287</v>
      </c>
      <c r="E52" s="10">
        <v>-3255</v>
      </c>
      <c r="F52" s="10">
        <v>-3255</v>
      </c>
      <c r="G52" s="10">
        <v>-5335</v>
      </c>
      <c r="H52" s="10">
        <v>-6312</v>
      </c>
      <c r="I52" s="10">
        <v>-6705.75</v>
      </c>
      <c r="J52" s="10">
        <v>-6974.5</v>
      </c>
      <c r="K52" s="10">
        <v>-7038.44</v>
      </c>
      <c r="L52" s="10">
        <v>-7816.17</v>
      </c>
      <c r="M52" s="10">
        <v>-8670.33</v>
      </c>
      <c r="N52" s="10">
        <v>-9524.5</v>
      </c>
      <c r="O52" s="10">
        <v>-10378.67</v>
      </c>
      <c r="P52" s="10">
        <v>-11760.67</v>
      </c>
      <c r="Q52" s="10">
        <v>-11112</v>
      </c>
      <c r="R52" s="10">
        <v>-12112</v>
      </c>
      <c r="S52" s="10">
        <v>-13112</v>
      </c>
      <c r="T52" s="10">
        <v>-14112</v>
      </c>
      <c r="U52" s="10">
        <v>-17016.75</v>
      </c>
      <c r="V52" s="10">
        <v>-20978.67</v>
      </c>
      <c r="W52" s="10">
        <v>-22645.33</v>
      </c>
      <c r="X52" s="10">
        <v>-24312</v>
      </c>
      <c r="Y52" s="10">
        <v>-25978.67</v>
      </c>
      <c r="Z52" s="10">
        <v>-29418.33</v>
      </c>
      <c r="AA52" s="10">
        <v>-27645.33</v>
      </c>
      <c r="AB52" s="10">
        <v>-29312</v>
      </c>
      <c r="AC52" s="10">
        <v>-30978.67</v>
      </c>
      <c r="AD52" s="10">
        <v>-32645.33</v>
      </c>
      <c r="AE52" s="10">
        <v>-38585</v>
      </c>
    </row>
    <row r="53" spans="1:31" x14ac:dyDescent="0.25">
      <c r="A53" s="3" t="s">
        <v>698</v>
      </c>
      <c r="B53" s="9">
        <v>534</v>
      </c>
      <c r="C53" s="9">
        <v>714</v>
      </c>
      <c r="D53" s="9">
        <v>827</v>
      </c>
      <c r="E53" s="9">
        <v>897</v>
      </c>
      <c r="F53" s="9">
        <v>897</v>
      </c>
      <c r="G53" s="9">
        <v>500</v>
      </c>
      <c r="H53" s="9">
        <v>601</v>
      </c>
      <c r="I53" s="9">
        <v>601</v>
      </c>
      <c r="J53" s="9">
        <v>601</v>
      </c>
      <c r="K53" s="9">
        <v>633.89</v>
      </c>
      <c r="L53" s="9">
        <v>601</v>
      </c>
      <c r="M53" s="9">
        <v>601</v>
      </c>
      <c r="N53" s="9">
        <v>601</v>
      </c>
      <c r="O53" s="9">
        <v>601</v>
      </c>
      <c r="P53" s="9">
        <v>633.89</v>
      </c>
      <c r="Q53" s="9">
        <v>601</v>
      </c>
      <c r="R53" s="9">
        <v>601</v>
      </c>
      <c r="S53" s="9">
        <v>601</v>
      </c>
      <c r="T53" s="9">
        <v>601</v>
      </c>
      <c r="U53" s="9">
        <v>638</v>
      </c>
      <c r="V53" s="9">
        <v>601</v>
      </c>
      <c r="W53" s="9">
        <v>601</v>
      </c>
      <c r="X53" s="9">
        <v>601</v>
      </c>
      <c r="Y53" s="9">
        <v>601</v>
      </c>
      <c r="Z53" s="9">
        <v>650.33000000000004</v>
      </c>
      <c r="AA53" s="9">
        <v>601</v>
      </c>
      <c r="AB53" s="9">
        <v>601</v>
      </c>
      <c r="AC53" s="9">
        <v>601</v>
      </c>
      <c r="AD53" s="9">
        <v>601</v>
      </c>
      <c r="AE53" s="9">
        <v>650.33000000000004</v>
      </c>
    </row>
    <row r="54" spans="1:31" x14ac:dyDescent="0.25">
      <c r="A54" s="4" t="s">
        <v>697</v>
      </c>
      <c r="B54" s="9">
        <v>100722</v>
      </c>
      <c r="C54" s="9">
        <v>103063</v>
      </c>
      <c r="D54" s="9">
        <v>105042</v>
      </c>
      <c r="E54" s="9">
        <v>104460</v>
      </c>
      <c r="F54" s="9">
        <v>104460</v>
      </c>
      <c r="G54" s="9">
        <v>103309</v>
      </c>
      <c r="H54" s="9">
        <v>103920</v>
      </c>
      <c r="I54" s="9">
        <v>109119.93</v>
      </c>
      <c r="J54" s="9">
        <v>111534.18</v>
      </c>
      <c r="K54" s="9">
        <v>111236.39</v>
      </c>
      <c r="L54" s="9">
        <v>113534.24</v>
      </c>
      <c r="M54" s="9">
        <v>115180.25</v>
      </c>
      <c r="N54" s="9">
        <v>117475.39</v>
      </c>
      <c r="O54" s="9">
        <v>118884.69</v>
      </c>
      <c r="P54" s="9">
        <v>117857.93</v>
      </c>
      <c r="Q54" s="9">
        <v>111094.83</v>
      </c>
      <c r="R54" s="9">
        <v>111746.92</v>
      </c>
      <c r="S54" s="9">
        <v>112395.24</v>
      </c>
      <c r="T54" s="9">
        <v>111392.51</v>
      </c>
      <c r="U54" s="9">
        <v>115995.34</v>
      </c>
      <c r="V54" s="9">
        <v>103818.46</v>
      </c>
      <c r="W54" s="9">
        <v>103236.58</v>
      </c>
      <c r="X54" s="9">
        <v>103423.48</v>
      </c>
      <c r="Y54" s="9">
        <v>102016.65</v>
      </c>
      <c r="Z54" s="9">
        <v>116972.85</v>
      </c>
      <c r="AA54" s="9">
        <v>101483.32</v>
      </c>
      <c r="AB54" s="9">
        <v>101276.34</v>
      </c>
      <c r="AC54" s="9">
        <v>101619.89</v>
      </c>
      <c r="AD54" s="9">
        <v>100588.17</v>
      </c>
      <c r="AE54" s="9">
        <v>118879.74</v>
      </c>
    </row>
    <row r="55" spans="1:31" x14ac:dyDescent="0.25">
      <c r="A55" s="3" t="s">
        <v>696</v>
      </c>
      <c r="B55" s="9">
        <v>1315</v>
      </c>
      <c r="C55" s="9">
        <v>1298</v>
      </c>
      <c r="D55" s="9">
        <v>1303</v>
      </c>
      <c r="E55" s="9">
        <v>1281</v>
      </c>
      <c r="F55" s="9">
        <v>1281</v>
      </c>
      <c r="G55" s="9">
        <v>1313</v>
      </c>
      <c r="H55" s="9">
        <v>1276</v>
      </c>
      <c r="I55" s="9">
        <v>1338.46</v>
      </c>
      <c r="J55" s="9">
        <v>1382.93</v>
      </c>
      <c r="K55" s="9">
        <v>1375.65</v>
      </c>
      <c r="L55" s="9">
        <v>1364.55</v>
      </c>
      <c r="M55" s="9">
        <v>1395.19</v>
      </c>
      <c r="N55" s="9">
        <v>1425.93</v>
      </c>
      <c r="O55" s="9">
        <v>1455.63</v>
      </c>
      <c r="P55" s="9">
        <v>1545.09</v>
      </c>
      <c r="Q55" s="9">
        <v>1475.17</v>
      </c>
      <c r="R55" s="9">
        <v>1505.7</v>
      </c>
      <c r="S55" s="9">
        <v>1536.55</v>
      </c>
      <c r="T55" s="9">
        <v>1565.93</v>
      </c>
      <c r="U55" s="9">
        <v>1706.28</v>
      </c>
      <c r="V55" s="9">
        <v>1756.52</v>
      </c>
      <c r="W55" s="9">
        <v>1803.35</v>
      </c>
      <c r="X55" s="9">
        <v>1850.72</v>
      </c>
      <c r="Y55" s="9">
        <v>1895.93</v>
      </c>
      <c r="Z55" s="9">
        <v>1992.92</v>
      </c>
      <c r="AA55" s="9">
        <v>1809.17</v>
      </c>
      <c r="AB55" s="9">
        <v>1847.44</v>
      </c>
      <c r="AC55" s="9">
        <v>1886.15</v>
      </c>
      <c r="AD55" s="9">
        <v>1922.96</v>
      </c>
      <c r="AE55" s="9">
        <v>2110.81</v>
      </c>
    </row>
    <row r="56" spans="1:31" x14ac:dyDescent="0.25">
      <c r="A56" s="4" t="s">
        <v>695</v>
      </c>
      <c r="B56" s="9">
        <v>102037</v>
      </c>
      <c r="C56" s="9">
        <v>104361</v>
      </c>
      <c r="D56" s="9">
        <v>106345</v>
      </c>
      <c r="E56" s="9">
        <v>105741</v>
      </c>
      <c r="F56" s="9">
        <v>105741</v>
      </c>
      <c r="G56" s="9">
        <v>104622</v>
      </c>
      <c r="H56" s="9">
        <v>105196</v>
      </c>
      <c r="I56" s="9">
        <v>109523.24</v>
      </c>
      <c r="J56" s="9">
        <v>111622.99</v>
      </c>
      <c r="K56" s="9">
        <v>111465.4</v>
      </c>
      <c r="L56" s="9">
        <v>113423.57</v>
      </c>
      <c r="M56" s="9">
        <v>114873.47</v>
      </c>
      <c r="N56" s="9">
        <v>117595.58</v>
      </c>
      <c r="O56" s="9">
        <v>118625.52</v>
      </c>
      <c r="P56" s="9">
        <v>116987.7</v>
      </c>
      <c r="Q56" s="9">
        <v>112570</v>
      </c>
      <c r="R56" s="9">
        <v>113252.62</v>
      </c>
      <c r="S56" s="9">
        <v>113931.79</v>
      </c>
      <c r="T56" s="9">
        <v>112958.44</v>
      </c>
      <c r="U56" s="9">
        <v>114999.73</v>
      </c>
      <c r="V56" s="9">
        <v>105574.98</v>
      </c>
      <c r="W56" s="9">
        <v>105039.93</v>
      </c>
      <c r="X56" s="9">
        <v>105274.2</v>
      </c>
      <c r="Y56" s="9">
        <v>103912.58</v>
      </c>
      <c r="Z56" s="9">
        <v>117903.67999999999</v>
      </c>
      <c r="AA56" s="9">
        <v>103292.48</v>
      </c>
      <c r="AB56" s="9">
        <v>103123.78</v>
      </c>
      <c r="AC56" s="9">
        <v>103506.04</v>
      </c>
      <c r="AD56" s="9">
        <v>102511.12</v>
      </c>
      <c r="AE56" s="9">
        <v>121709.59</v>
      </c>
    </row>
    <row r="57" spans="1:31" x14ac:dyDescent="0.25">
      <c r="A57" s="4" t="s">
        <v>694</v>
      </c>
      <c r="B57" s="9">
        <v>380364</v>
      </c>
      <c r="C57" s="9">
        <v>383285</v>
      </c>
      <c r="D57" s="9">
        <v>388331</v>
      </c>
      <c r="E57" s="9">
        <v>404258</v>
      </c>
      <c r="F57" s="9">
        <v>404258</v>
      </c>
      <c r="G57" s="9">
        <v>417882</v>
      </c>
      <c r="H57" s="9">
        <v>410186</v>
      </c>
      <c r="I57" s="9">
        <v>414605.86</v>
      </c>
      <c r="J57" s="9">
        <v>417934.21</v>
      </c>
      <c r="K57" s="9">
        <v>417797.9</v>
      </c>
      <c r="L57" s="9">
        <v>417215.14</v>
      </c>
      <c r="M57" s="9">
        <v>416725.5</v>
      </c>
      <c r="N57" s="9">
        <v>420467.09</v>
      </c>
      <c r="O57" s="9">
        <v>423703.46</v>
      </c>
      <c r="P57" s="9">
        <v>421899.14</v>
      </c>
      <c r="Q57" s="9">
        <v>416118.06</v>
      </c>
      <c r="R57" s="9">
        <v>416095.77</v>
      </c>
      <c r="S57" s="9">
        <v>418104.25</v>
      </c>
      <c r="T57" s="9">
        <v>419808.35</v>
      </c>
      <c r="U57" s="9">
        <v>423040.43</v>
      </c>
      <c r="V57" s="9">
        <v>413223.35</v>
      </c>
      <c r="W57" s="9">
        <v>411909.59</v>
      </c>
      <c r="X57" s="9">
        <v>414104.81</v>
      </c>
      <c r="Y57" s="9">
        <v>414140.94</v>
      </c>
      <c r="Z57" s="9">
        <v>426208.25</v>
      </c>
      <c r="AA57" s="9">
        <v>412013</v>
      </c>
      <c r="AB57" s="9">
        <v>410887.47</v>
      </c>
      <c r="AC57" s="9">
        <v>411695.12</v>
      </c>
      <c r="AD57" s="9">
        <v>414073.54</v>
      </c>
      <c r="AE57" s="9">
        <v>429077.1</v>
      </c>
    </row>
    <row r="58" spans="1:31" x14ac:dyDescent="0.25">
      <c r="A58" s="4" t="s">
        <v>76</v>
      </c>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spans="1:31" x14ac:dyDescent="0.25">
      <c r="A59" s="4" t="s">
        <v>693</v>
      </c>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row>
    <row r="60" spans="1:31" x14ac:dyDescent="0.25">
      <c r="A60" s="3" t="s">
        <v>692</v>
      </c>
      <c r="B60" s="9">
        <v>143649</v>
      </c>
      <c r="C60" s="9">
        <v>145996</v>
      </c>
      <c r="D60" s="9">
        <v>146775</v>
      </c>
      <c r="E60" s="9">
        <v>158150</v>
      </c>
      <c r="F60" s="9">
        <v>158150</v>
      </c>
      <c r="G60" s="9">
        <v>172460</v>
      </c>
      <c r="H60" s="9">
        <v>165231</v>
      </c>
      <c r="I60" s="9">
        <v>164750.26</v>
      </c>
      <c r="J60" s="9">
        <v>163782.45000000001</v>
      </c>
      <c r="K60" s="9">
        <v>163177.75</v>
      </c>
      <c r="L60" s="9">
        <v>163217.51</v>
      </c>
      <c r="M60" s="9">
        <v>162244.63</v>
      </c>
      <c r="N60" s="9">
        <v>162533.51</v>
      </c>
      <c r="O60" s="9">
        <v>162101.68</v>
      </c>
      <c r="P60" s="9">
        <v>161831.54</v>
      </c>
      <c r="Q60" s="9">
        <v>162273.96</v>
      </c>
      <c r="R60" s="9">
        <v>162542</v>
      </c>
      <c r="S60" s="9">
        <v>163434.4</v>
      </c>
      <c r="T60" s="9">
        <v>163369.22</v>
      </c>
      <c r="U60" s="9">
        <v>163045.41</v>
      </c>
      <c r="V60" s="9">
        <v>165683.01999999999</v>
      </c>
      <c r="W60" s="9">
        <v>166045.41</v>
      </c>
      <c r="X60" s="9">
        <v>167153.84</v>
      </c>
      <c r="Y60" s="9">
        <v>166472.04</v>
      </c>
      <c r="Z60" s="9">
        <v>162928.97</v>
      </c>
      <c r="AA60" s="9">
        <v>166871.24</v>
      </c>
      <c r="AB60" s="9">
        <v>167457.44</v>
      </c>
      <c r="AC60" s="9">
        <v>167821.14</v>
      </c>
      <c r="AD60" s="9">
        <v>167895.54</v>
      </c>
      <c r="AE60" s="9">
        <v>161675.70000000001</v>
      </c>
    </row>
    <row r="61" spans="1:31" x14ac:dyDescent="0.25">
      <c r="A61" s="3" t="s">
        <v>691</v>
      </c>
      <c r="B61" s="9">
        <v>2257</v>
      </c>
      <c r="C61" s="9">
        <v>3435</v>
      </c>
      <c r="D61" s="9">
        <v>7706</v>
      </c>
      <c r="E61" s="9">
        <v>19048</v>
      </c>
      <c r="F61" s="9">
        <v>19048</v>
      </c>
      <c r="G61" s="9">
        <v>8366</v>
      </c>
      <c r="H61" s="9">
        <v>1752</v>
      </c>
      <c r="I61" s="9">
        <v>3509.75</v>
      </c>
      <c r="J61" s="9">
        <v>4829.82</v>
      </c>
      <c r="K61" s="9">
        <v>5010.6499999999996</v>
      </c>
      <c r="L61" s="9">
        <v>4019.84</v>
      </c>
      <c r="M61" s="9">
        <v>4027.01</v>
      </c>
      <c r="N61" s="9">
        <v>3382.77</v>
      </c>
      <c r="O61" s="9">
        <v>4141.25</v>
      </c>
      <c r="P61" s="9">
        <v>5279.76</v>
      </c>
      <c r="Q61" s="9">
        <v>2564.6799999999998</v>
      </c>
      <c r="R61" s="9">
        <v>2861.5</v>
      </c>
      <c r="S61" s="9">
        <v>2466.91</v>
      </c>
      <c r="T61" s="9">
        <v>2293.35</v>
      </c>
      <c r="U61" s="9">
        <v>6842.32</v>
      </c>
      <c r="V61" s="9">
        <v>2605.0500000000002</v>
      </c>
      <c r="W61" s="9">
        <v>2944.21</v>
      </c>
      <c r="X61" s="9">
        <v>5147.2700000000004</v>
      </c>
      <c r="Y61" s="9">
        <v>5075.03</v>
      </c>
      <c r="Z61" s="9">
        <v>12574.3</v>
      </c>
      <c r="AA61" s="9">
        <v>4439.21</v>
      </c>
      <c r="AB61" s="9">
        <v>5089.1099999999997</v>
      </c>
      <c r="AC61" s="9">
        <v>7434.46</v>
      </c>
      <c r="AD61" s="9">
        <v>7375.6</v>
      </c>
      <c r="AE61" s="9">
        <v>17359.43</v>
      </c>
    </row>
    <row r="62" spans="1:31" x14ac:dyDescent="0.25">
      <c r="A62" s="4" t="s">
        <v>690</v>
      </c>
      <c r="B62" s="9">
        <v>141392</v>
      </c>
      <c r="C62" s="9">
        <v>142561</v>
      </c>
      <c r="D62" s="9">
        <v>139069</v>
      </c>
      <c r="E62" s="9">
        <v>139102</v>
      </c>
      <c r="F62" s="9">
        <v>139102</v>
      </c>
      <c r="G62" s="9">
        <v>164094</v>
      </c>
      <c r="H62" s="9">
        <v>163479</v>
      </c>
      <c r="I62" s="9">
        <v>160826.46</v>
      </c>
      <c r="J62" s="9">
        <v>158683.04</v>
      </c>
      <c r="K62" s="9">
        <v>157729.35999999999</v>
      </c>
      <c r="L62" s="9">
        <v>159439.78</v>
      </c>
      <c r="M62" s="9">
        <v>159138.49</v>
      </c>
      <c r="N62" s="9">
        <v>160171.95000000001</v>
      </c>
      <c r="O62" s="9">
        <v>159218.84</v>
      </c>
      <c r="P62" s="9">
        <v>156658.72</v>
      </c>
      <c r="Q62" s="9">
        <v>161219.84</v>
      </c>
      <c r="R62" s="9">
        <v>161906.06</v>
      </c>
      <c r="S62" s="9">
        <v>163036.9</v>
      </c>
      <c r="T62" s="9">
        <v>163740.84</v>
      </c>
      <c r="U62" s="9">
        <v>157222.01</v>
      </c>
      <c r="V62" s="9">
        <v>167716.75</v>
      </c>
      <c r="W62" s="9">
        <v>168650.19</v>
      </c>
      <c r="X62" s="9">
        <v>168078.66</v>
      </c>
      <c r="Y62" s="9">
        <v>168236.93</v>
      </c>
      <c r="Z62" s="9">
        <v>153278.47</v>
      </c>
      <c r="AA62" s="9">
        <v>166175.54</v>
      </c>
      <c r="AB62" s="9">
        <v>166739.95000000001</v>
      </c>
      <c r="AC62" s="9">
        <v>164927.78</v>
      </c>
      <c r="AD62" s="9">
        <v>165924.89000000001</v>
      </c>
      <c r="AE62" s="9">
        <v>148622.60999999999</v>
      </c>
    </row>
    <row r="63" spans="1:31" x14ac:dyDescent="0.25">
      <c r="A63" s="3" t="s">
        <v>689</v>
      </c>
      <c r="B63" s="9">
        <v>26336</v>
      </c>
      <c r="C63" s="9">
        <v>26600</v>
      </c>
      <c r="D63" s="9">
        <v>27061</v>
      </c>
      <c r="E63" s="9">
        <v>27067</v>
      </c>
      <c r="F63" s="9">
        <v>27067</v>
      </c>
      <c r="G63" s="9">
        <v>29962</v>
      </c>
      <c r="H63" s="9">
        <v>28760</v>
      </c>
      <c r="I63" s="9">
        <v>28950.25</v>
      </c>
      <c r="J63" s="9">
        <v>28950.25</v>
      </c>
      <c r="K63" s="9">
        <v>28627.73</v>
      </c>
      <c r="L63" s="9">
        <v>30932</v>
      </c>
      <c r="M63" s="9">
        <v>30932</v>
      </c>
      <c r="N63" s="9">
        <v>30932</v>
      </c>
      <c r="O63" s="9">
        <v>30932</v>
      </c>
      <c r="P63" s="9">
        <v>28682.41</v>
      </c>
      <c r="Q63" s="9">
        <v>34797</v>
      </c>
      <c r="R63" s="9">
        <v>34797</v>
      </c>
      <c r="S63" s="9">
        <v>34797</v>
      </c>
      <c r="T63" s="9">
        <v>34797</v>
      </c>
      <c r="U63" s="9">
        <v>29155.29</v>
      </c>
      <c r="V63" s="9">
        <v>34797</v>
      </c>
      <c r="W63" s="9">
        <v>34797</v>
      </c>
      <c r="X63" s="9">
        <v>34797</v>
      </c>
      <c r="Y63" s="9">
        <v>34797</v>
      </c>
      <c r="Z63" s="9">
        <v>29225.01</v>
      </c>
      <c r="AA63" s="9">
        <v>34797</v>
      </c>
      <c r="AB63" s="9">
        <v>34797</v>
      </c>
      <c r="AC63" s="9">
        <v>34797</v>
      </c>
      <c r="AD63" s="9">
        <v>34797</v>
      </c>
      <c r="AE63" s="9">
        <v>29295.42</v>
      </c>
    </row>
    <row r="64" spans="1:31" x14ac:dyDescent="0.25">
      <c r="A64" s="4" t="s">
        <v>688</v>
      </c>
      <c r="B64" s="9">
        <v>115056</v>
      </c>
      <c r="C64" s="9">
        <v>115961</v>
      </c>
      <c r="D64" s="9">
        <v>112008</v>
      </c>
      <c r="E64" s="9">
        <v>110053</v>
      </c>
      <c r="F64" s="9">
        <v>110053</v>
      </c>
      <c r="G64" s="9">
        <v>130053</v>
      </c>
      <c r="H64" s="9">
        <v>128682</v>
      </c>
      <c r="I64" s="9">
        <v>133760.41</v>
      </c>
      <c r="J64" s="9">
        <v>131681.54999999999</v>
      </c>
      <c r="K64" s="9">
        <v>129082.37</v>
      </c>
      <c r="L64" s="9">
        <v>129995.91</v>
      </c>
      <c r="M64" s="9">
        <v>131436.48000000001</v>
      </c>
      <c r="N64" s="9">
        <v>129333.31</v>
      </c>
      <c r="O64" s="9">
        <v>128451.61</v>
      </c>
      <c r="P64" s="9">
        <v>128754.19</v>
      </c>
      <c r="Q64" s="9">
        <v>127057.54</v>
      </c>
      <c r="R64" s="9">
        <v>129572.88</v>
      </c>
      <c r="S64" s="9">
        <v>127806.04</v>
      </c>
      <c r="T64" s="9">
        <v>129523.17</v>
      </c>
      <c r="U64" s="9">
        <v>129754.71</v>
      </c>
      <c r="V64" s="9">
        <v>133312.47</v>
      </c>
      <c r="W64" s="9">
        <v>136716.76</v>
      </c>
      <c r="X64" s="9">
        <v>134543.82</v>
      </c>
      <c r="Y64" s="9">
        <v>138369.14000000001</v>
      </c>
      <c r="Z64" s="9">
        <v>128751.22</v>
      </c>
      <c r="AA64" s="9">
        <v>139406.35</v>
      </c>
      <c r="AB64" s="9">
        <v>143710.01</v>
      </c>
      <c r="AC64" s="9">
        <v>142212.04999999999</v>
      </c>
      <c r="AD64" s="9">
        <v>146590.16</v>
      </c>
      <c r="AE64" s="9">
        <v>127232.17</v>
      </c>
    </row>
  </sheetData>
  <mergeCells count="1">
    <mergeCell ref="A1:D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3CFD-07FE-4CD8-9E0E-A88DCCDCAAD5}">
  <dimension ref="A1:AE55"/>
  <sheetViews>
    <sheetView workbookViewId="0">
      <selection activeCell="I17" sqref="I17"/>
    </sheetView>
  </sheetViews>
  <sheetFormatPr defaultRowHeight="15" x14ac:dyDescent="0.25"/>
  <cols>
    <col min="1" max="1" width="48.5703125" customWidth="1"/>
    <col min="2" max="5" width="18.42578125" customWidth="1"/>
    <col min="6" max="6" width="20.5703125" customWidth="1"/>
    <col min="7" max="8" width="18.42578125" customWidth="1"/>
    <col min="9" max="10" width="18" customWidth="1"/>
    <col min="11" max="11" width="17.5703125" customWidth="1"/>
    <col min="12" max="15" width="18" customWidth="1"/>
    <col min="16" max="16" width="17.5703125" customWidth="1"/>
    <col min="17" max="20" width="18" customWidth="1"/>
    <col min="21" max="21" width="17.5703125" customWidth="1"/>
    <col min="22" max="25" width="18" customWidth="1"/>
    <col min="26" max="26" width="17.5703125" customWidth="1"/>
    <col min="27" max="30" width="18" customWidth="1"/>
    <col min="31" max="31" width="17.5703125" customWidth="1"/>
  </cols>
  <sheetData>
    <row r="1" spans="1:31" ht="39.950000000000003" customHeight="1" x14ac:dyDescent="0.25">
      <c r="A1" s="40"/>
      <c r="B1" s="40"/>
      <c r="C1" s="40"/>
      <c r="D1" s="40"/>
    </row>
    <row r="2" spans="1:31" ht="30" customHeight="1" x14ac:dyDescent="0.3">
      <c r="A2" s="1" t="s">
        <v>687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19</v>
      </c>
      <c r="C15" s="7">
        <v>19</v>
      </c>
      <c r="D15" s="7">
        <v>19</v>
      </c>
      <c r="E15" s="7">
        <v>19</v>
      </c>
      <c r="F15" s="7">
        <v>20</v>
      </c>
      <c r="G15" s="7">
        <v>20</v>
      </c>
      <c r="H15" s="7">
        <v>20</v>
      </c>
      <c r="I15" s="8" t="s">
        <v>40</v>
      </c>
      <c r="J15" s="8" t="s">
        <v>40</v>
      </c>
      <c r="K15" s="8" t="s">
        <v>40</v>
      </c>
      <c r="L15" s="8" t="s">
        <v>41</v>
      </c>
      <c r="M15" s="8" t="s">
        <v>41</v>
      </c>
      <c r="N15" s="8" t="s">
        <v>42</v>
      </c>
      <c r="O15" s="8" t="s">
        <v>42</v>
      </c>
      <c r="P15" s="8" t="s">
        <v>40</v>
      </c>
      <c r="Q15" s="8" t="s">
        <v>43</v>
      </c>
      <c r="R15" s="8" t="s">
        <v>43</v>
      </c>
      <c r="S15" s="8" t="s">
        <v>43</v>
      </c>
      <c r="T15" s="8" t="s">
        <v>43</v>
      </c>
      <c r="U15" s="8" t="s">
        <v>44</v>
      </c>
      <c r="V15" s="8" t="s">
        <v>45</v>
      </c>
      <c r="W15" s="8" t="s">
        <v>45</v>
      </c>
      <c r="X15" s="8" t="s">
        <v>45</v>
      </c>
      <c r="Y15" s="8" t="s">
        <v>45</v>
      </c>
      <c r="Z15" s="8" t="s">
        <v>46</v>
      </c>
      <c r="AA15" s="8" t="s">
        <v>45</v>
      </c>
      <c r="AB15" s="8" t="s">
        <v>45</v>
      </c>
      <c r="AC15" s="8" t="s">
        <v>45</v>
      </c>
      <c r="AD15" s="8" t="s">
        <v>45</v>
      </c>
      <c r="AE15" s="8" t="s">
        <v>46</v>
      </c>
    </row>
    <row r="16" spans="1:31" x14ac:dyDescent="0.25">
      <c r="A16" s="3" t="s">
        <v>686</v>
      </c>
      <c r="B16" s="9">
        <v>28087</v>
      </c>
      <c r="C16" s="9">
        <v>28249</v>
      </c>
      <c r="D16" s="9">
        <v>28202</v>
      </c>
      <c r="E16" s="9">
        <v>28183</v>
      </c>
      <c r="F16" s="9">
        <v>112721</v>
      </c>
      <c r="G16" s="9">
        <v>28759</v>
      </c>
      <c r="H16" s="9">
        <v>29229</v>
      </c>
      <c r="I16" s="9">
        <v>29275.35</v>
      </c>
      <c r="J16" s="9">
        <v>29485.759999999998</v>
      </c>
      <c r="K16" s="9">
        <v>116755.23</v>
      </c>
      <c r="L16" s="9">
        <v>29425.41</v>
      </c>
      <c r="M16" s="9">
        <v>29620.34</v>
      </c>
      <c r="N16" s="9">
        <v>29606.36</v>
      </c>
      <c r="O16" s="9">
        <v>29869.15</v>
      </c>
      <c r="P16" s="9">
        <v>118456.24</v>
      </c>
      <c r="Q16" s="9">
        <v>29655.14</v>
      </c>
      <c r="R16" s="9">
        <v>29850.03</v>
      </c>
      <c r="S16" s="9">
        <v>29784</v>
      </c>
      <c r="T16" s="9">
        <v>30023.759999999998</v>
      </c>
      <c r="U16" s="9">
        <v>119410.82</v>
      </c>
      <c r="V16" s="9">
        <v>29901.34</v>
      </c>
      <c r="W16" s="9">
        <v>30092.34</v>
      </c>
      <c r="X16" s="9">
        <v>29917.360000000001</v>
      </c>
      <c r="Y16" s="9">
        <v>30158.97</v>
      </c>
      <c r="Z16" s="9">
        <v>120899.01</v>
      </c>
      <c r="AA16" s="9">
        <v>30090.400000000001</v>
      </c>
      <c r="AB16" s="9">
        <v>30284.400000000001</v>
      </c>
      <c r="AC16" s="9">
        <v>30083.58</v>
      </c>
      <c r="AD16" s="9">
        <v>30318.98</v>
      </c>
      <c r="AE16" s="9">
        <v>121698.25</v>
      </c>
    </row>
    <row r="17" spans="1:31" x14ac:dyDescent="0.25">
      <c r="A17" s="3" t="s">
        <v>393</v>
      </c>
      <c r="B17" s="9">
        <v>5398</v>
      </c>
      <c r="C17" s="9">
        <v>6255</v>
      </c>
      <c r="D17" s="9">
        <v>5619</v>
      </c>
      <c r="E17" s="9">
        <v>8198</v>
      </c>
      <c r="F17" s="9">
        <v>25470</v>
      </c>
      <c r="G17" s="9">
        <v>5681</v>
      </c>
      <c r="H17" s="9">
        <v>5024</v>
      </c>
      <c r="I17" s="9">
        <v>5444.78</v>
      </c>
      <c r="J17" s="9">
        <v>7798.8</v>
      </c>
      <c r="K17" s="9">
        <v>23942.47</v>
      </c>
      <c r="L17" s="9">
        <v>5909.46</v>
      </c>
      <c r="M17" s="9">
        <v>5441.35</v>
      </c>
      <c r="N17" s="9">
        <v>5551.61</v>
      </c>
      <c r="O17" s="9">
        <v>7926.31</v>
      </c>
      <c r="P17" s="9">
        <v>24821.18</v>
      </c>
      <c r="Q17" s="9">
        <v>6063.63</v>
      </c>
      <c r="R17" s="9">
        <v>5735.04</v>
      </c>
      <c r="S17" s="9">
        <v>5643.93</v>
      </c>
      <c r="T17" s="9">
        <v>8158.98</v>
      </c>
      <c r="U17" s="9">
        <v>25342.68</v>
      </c>
      <c r="V17" s="9">
        <v>6123.01</v>
      </c>
      <c r="W17" s="9">
        <v>5460.13</v>
      </c>
      <c r="X17" s="9">
        <v>5526.68</v>
      </c>
      <c r="Y17" s="9">
        <v>7893.21</v>
      </c>
      <c r="Z17" s="9">
        <v>25100.87</v>
      </c>
      <c r="AA17" s="9">
        <v>6212.16</v>
      </c>
      <c r="AB17" s="9">
        <v>5537.56</v>
      </c>
      <c r="AC17" s="9">
        <v>5603.24</v>
      </c>
      <c r="AD17" s="9">
        <v>8006.64</v>
      </c>
      <c r="AE17" s="9">
        <v>25426.3</v>
      </c>
    </row>
    <row r="18" spans="1:31" x14ac:dyDescent="0.25">
      <c r="A18" s="4" t="s">
        <v>639</v>
      </c>
      <c r="B18" s="9">
        <v>33485</v>
      </c>
      <c r="C18" s="9">
        <v>34504</v>
      </c>
      <c r="D18" s="9">
        <v>33821</v>
      </c>
      <c r="E18" s="9">
        <v>36381</v>
      </c>
      <c r="F18" s="9">
        <v>138191</v>
      </c>
      <c r="G18" s="9">
        <v>34440</v>
      </c>
      <c r="H18" s="9">
        <v>34253</v>
      </c>
      <c r="I18" s="9">
        <v>34767.99</v>
      </c>
      <c r="J18" s="9">
        <v>37338.71</v>
      </c>
      <c r="K18" s="9">
        <v>140869.69</v>
      </c>
      <c r="L18" s="9">
        <v>35282.92</v>
      </c>
      <c r="M18" s="9">
        <v>35119.78</v>
      </c>
      <c r="N18" s="9">
        <v>35157.97</v>
      </c>
      <c r="O18" s="9">
        <v>37795.46</v>
      </c>
      <c r="P18" s="9">
        <v>143512.71</v>
      </c>
      <c r="Q18" s="9">
        <v>35718.769999999997</v>
      </c>
      <c r="R18" s="9">
        <v>35585.08</v>
      </c>
      <c r="S18" s="9">
        <v>35427.93</v>
      </c>
      <c r="T18" s="9">
        <v>38182.74</v>
      </c>
      <c r="U18" s="9">
        <v>145247.85</v>
      </c>
      <c r="V18" s="9">
        <v>36024.35</v>
      </c>
      <c r="W18" s="9">
        <v>35552.480000000003</v>
      </c>
      <c r="X18" s="9">
        <v>35444.04</v>
      </c>
      <c r="Y18" s="9">
        <v>38052.19</v>
      </c>
      <c r="Z18" s="9">
        <v>146846.84</v>
      </c>
      <c r="AA18" s="9">
        <v>36302.559999999998</v>
      </c>
      <c r="AB18" s="9">
        <v>35821.97</v>
      </c>
      <c r="AC18" s="9">
        <v>35686.82</v>
      </c>
      <c r="AD18" s="9">
        <v>38325.61</v>
      </c>
      <c r="AE18" s="9">
        <v>148307.92000000001</v>
      </c>
    </row>
    <row r="19" spans="1:31" x14ac:dyDescent="0.25">
      <c r="A19" s="3" t="s">
        <v>685</v>
      </c>
      <c r="B19" s="9">
        <v>6950</v>
      </c>
      <c r="C19" s="9">
        <v>6878</v>
      </c>
      <c r="D19" s="9">
        <v>6863</v>
      </c>
      <c r="E19" s="9">
        <v>7098</v>
      </c>
      <c r="F19" s="9">
        <v>27789</v>
      </c>
      <c r="G19" s="9">
        <v>7167</v>
      </c>
      <c r="H19" s="9">
        <v>7225</v>
      </c>
      <c r="I19" s="9">
        <v>7159.92</v>
      </c>
      <c r="J19" s="9">
        <v>7235.2</v>
      </c>
      <c r="K19" s="9">
        <v>28770.42</v>
      </c>
      <c r="L19" s="9">
        <v>7272.3</v>
      </c>
      <c r="M19" s="9">
        <v>7222.54</v>
      </c>
      <c r="N19" s="9">
        <v>7148.92</v>
      </c>
      <c r="O19" s="9">
        <v>7273.7</v>
      </c>
      <c r="P19" s="9">
        <v>28909</v>
      </c>
      <c r="Q19" s="9">
        <v>7282.86</v>
      </c>
      <c r="R19" s="9">
        <v>7231.33</v>
      </c>
      <c r="S19" s="9">
        <v>7114.56</v>
      </c>
      <c r="T19" s="9">
        <v>7247.3</v>
      </c>
      <c r="U19" s="9">
        <v>29032.54</v>
      </c>
      <c r="V19" s="9">
        <v>7350.49</v>
      </c>
      <c r="W19" s="9">
        <v>7303.06</v>
      </c>
      <c r="X19" s="9">
        <v>7124.68</v>
      </c>
      <c r="Y19" s="9">
        <v>7258.22</v>
      </c>
      <c r="Z19" s="9">
        <v>29295.24</v>
      </c>
      <c r="AA19" s="9">
        <v>7369.69</v>
      </c>
      <c r="AB19" s="9">
        <v>7326.85</v>
      </c>
      <c r="AC19" s="9">
        <v>7136.53</v>
      </c>
      <c r="AD19" s="9">
        <v>7268.69</v>
      </c>
      <c r="AE19" s="9">
        <v>29400.68</v>
      </c>
    </row>
    <row r="20" spans="1:31" x14ac:dyDescent="0.25">
      <c r="A20" s="3" t="s">
        <v>684</v>
      </c>
      <c r="B20" s="9">
        <v>6106</v>
      </c>
      <c r="C20" s="9">
        <v>7007</v>
      </c>
      <c r="D20" s="9">
        <v>6483</v>
      </c>
      <c r="E20" s="9">
        <v>9380</v>
      </c>
      <c r="F20" s="9">
        <v>28976</v>
      </c>
      <c r="G20" s="9">
        <v>6506</v>
      </c>
      <c r="H20" s="9">
        <v>5859</v>
      </c>
      <c r="I20" s="9">
        <v>6300.47</v>
      </c>
      <c r="J20" s="9">
        <v>8928.7900000000009</v>
      </c>
      <c r="K20" s="9">
        <v>27592.79</v>
      </c>
      <c r="L20" s="9">
        <v>6758.1</v>
      </c>
      <c r="M20" s="9">
        <v>6263.52</v>
      </c>
      <c r="N20" s="9">
        <v>6438.11</v>
      </c>
      <c r="O20" s="9">
        <v>9168.8799999999992</v>
      </c>
      <c r="P20" s="9">
        <v>28649.58</v>
      </c>
      <c r="Q20" s="9">
        <v>6920.3</v>
      </c>
      <c r="R20" s="9">
        <v>6568.38</v>
      </c>
      <c r="S20" s="9">
        <v>6443.63</v>
      </c>
      <c r="T20" s="9">
        <v>9295.9599999999991</v>
      </c>
      <c r="U20" s="9">
        <v>29028.6</v>
      </c>
      <c r="V20" s="9">
        <v>6961.02</v>
      </c>
      <c r="W20" s="9">
        <v>6266.3</v>
      </c>
      <c r="X20" s="9">
        <v>6298.82</v>
      </c>
      <c r="Y20" s="9">
        <v>8927.48</v>
      </c>
      <c r="Z20" s="9">
        <v>28912.26</v>
      </c>
      <c r="AA20" s="9">
        <v>7051.53</v>
      </c>
      <c r="AB20" s="9">
        <v>6345.12</v>
      </c>
      <c r="AC20" s="9">
        <v>6376.91</v>
      </c>
      <c r="AD20" s="9">
        <v>9044.9699999999993</v>
      </c>
      <c r="AE20" s="9">
        <v>29319.41</v>
      </c>
    </row>
    <row r="21" spans="1:31" x14ac:dyDescent="0.25">
      <c r="A21" s="4" t="s">
        <v>683</v>
      </c>
      <c r="B21" s="9">
        <v>13056</v>
      </c>
      <c r="C21" s="9">
        <v>13885</v>
      </c>
      <c r="D21" s="9">
        <v>13346</v>
      </c>
      <c r="E21" s="9">
        <v>16478</v>
      </c>
      <c r="F21" s="9">
        <v>56765</v>
      </c>
      <c r="G21" s="9">
        <v>13673</v>
      </c>
      <c r="H21" s="9">
        <v>13084</v>
      </c>
      <c r="I21" s="9">
        <v>13451.92</v>
      </c>
      <c r="J21" s="9">
        <v>16149.04</v>
      </c>
      <c r="K21" s="9">
        <v>56340.79</v>
      </c>
      <c r="L21" s="9">
        <v>14030.4</v>
      </c>
      <c r="M21" s="9">
        <v>13486.06</v>
      </c>
      <c r="N21" s="9">
        <v>13587.03</v>
      </c>
      <c r="O21" s="9">
        <v>16442.580000000002</v>
      </c>
      <c r="P21" s="9">
        <v>57482.57</v>
      </c>
      <c r="Q21" s="9">
        <v>14203.15</v>
      </c>
      <c r="R21" s="9">
        <v>13799.71</v>
      </c>
      <c r="S21" s="9">
        <v>13558.19</v>
      </c>
      <c r="T21" s="9">
        <v>16543.259999999998</v>
      </c>
      <c r="U21" s="9">
        <v>57977.78</v>
      </c>
      <c r="V21" s="9">
        <v>14311.51</v>
      </c>
      <c r="W21" s="9">
        <v>13569.37</v>
      </c>
      <c r="X21" s="9">
        <v>13423.5</v>
      </c>
      <c r="Y21" s="9">
        <v>16185.7</v>
      </c>
      <c r="Z21" s="9">
        <v>58145.06</v>
      </c>
      <c r="AA21" s="9">
        <v>14421.22</v>
      </c>
      <c r="AB21" s="9">
        <v>13671.97</v>
      </c>
      <c r="AC21" s="9">
        <v>13513.44</v>
      </c>
      <c r="AD21" s="9">
        <v>16313.66</v>
      </c>
      <c r="AE21" s="9">
        <v>58663.3</v>
      </c>
    </row>
    <row r="22" spans="1:31" x14ac:dyDescent="0.25">
      <c r="A22" s="3" t="s">
        <v>682</v>
      </c>
      <c r="B22" s="9">
        <v>7874</v>
      </c>
      <c r="C22" s="9">
        <v>7812</v>
      </c>
      <c r="D22" s="9">
        <v>7700</v>
      </c>
      <c r="E22" s="9">
        <v>8043</v>
      </c>
      <c r="F22" s="9">
        <v>31429</v>
      </c>
      <c r="G22" s="9">
        <v>7372</v>
      </c>
      <c r="H22" s="9">
        <v>7446</v>
      </c>
      <c r="I22" s="9">
        <v>7586.89</v>
      </c>
      <c r="J22" s="9">
        <v>8042.84</v>
      </c>
      <c r="K22" s="9">
        <v>31112.36</v>
      </c>
      <c r="L22" s="9">
        <v>7429.02</v>
      </c>
      <c r="M22" s="9">
        <v>7745.23</v>
      </c>
      <c r="N22" s="9">
        <v>7467.75</v>
      </c>
      <c r="O22" s="9">
        <v>8422.5300000000007</v>
      </c>
      <c r="P22" s="9">
        <v>30851.31</v>
      </c>
      <c r="Q22" s="9">
        <v>7377.62</v>
      </c>
      <c r="R22" s="9">
        <v>7529.5</v>
      </c>
      <c r="S22" s="9">
        <v>7404.82</v>
      </c>
      <c r="T22" s="9">
        <v>7822.66</v>
      </c>
      <c r="U22" s="9">
        <v>30071.08</v>
      </c>
      <c r="V22" s="9">
        <v>7204.9</v>
      </c>
      <c r="W22" s="9">
        <v>7400.9</v>
      </c>
      <c r="X22" s="9">
        <v>7236.81</v>
      </c>
      <c r="Y22" s="9">
        <v>7720.71</v>
      </c>
      <c r="Z22" s="9">
        <v>29963.66</v>
      </c>
      <c r="AA22" s="9">
        <v>7169.04</v>
      </c>
      <c r="AB22" s="9">
        <v>7364.24</v>
      </c>
      <c r="AC22" s="9">
        <v>7190.75</v>
      </c>
      <c r="AD22" s="9">
        <v>7676.01</v>
      </c>
      <c r="AE22" s="9">
        <v>29947.07</v>
      </c>
    </row>
    <row r="23" spans="1:31" x14ac:dyDescent="0.25">
      <c r="A23" s="3" t="s">
        <v>681</v>
      </c>
      <c r="B23" s="9">
        <v>352.54</v>
      </c>
      <c r="C23" s="9">
        <v>326.52999999999997</v>
      </c>
      <c r="D23" s="9">
        <v>52</v>
      </c>
      <c r="E23" s="9">
        <v>2337</v>
      </c>
      <c r="F23" s="9">
        <v>2389</v>
      </c>
      <c r="G23" s="9">
        <v>261</v>
      </c>
      <c r="H23" s="9">
        <v>1536</v>
      </c>
      <c r="I23" s="9">
        <v>261</v>
      </c>
      <c r="J23" s="9">
        <v>261</v>
      </c>
      <c r="K23" s="9">
        <v>1579.38</v>
      </c>
      <c r="L23" s="9">
        <v>261</v>
      </c>
      <c r="M23" s="9">
        <v>261</v>
      </c>
      <c r="N23" s="9">
        <v>130.5</v>
      </c>
      <c r="O23" s="10">
        <v>-2969.33</v>
      </c>
      <c r="P23" s="10">
        <v>-2577.83</v>
      </c>
      <c r="Q23" s="8" t="s">
        <v>66</v>
      </c>
      <c r="R23" s="8" t="s">
        <v>66</v>
      </c>
      <c r="S23" s="8" t="s">
        <v>66</v>
      </c>
      <c r="T23" s="8" t="s">
        <v>66</v>
      </c>
      <c r="U23" s="8" t="s">
        <v>66</v>
      </c>
      <c r="V23" s="8" t="s">
        <v>66</v>
      </c>
      <c r="W23" s="8" t="s">
        <v>66</v>
      </c>
      <c r="X23" s="8" t="s">
        <v>66</v>
      </c>
      <c r="Y23" s="8" t="s">
        <v>66</v>
      </c>
      <c r="Z23" s="8" t="s">
        <v>66</v>
      </c>
      <c r="AA23" s="8" t="s">
        <v>66</v>
      </c>
      <c r="AB23" s="8" t="s">
        <v>66</v>
      </c>
      <c r="AC23" s="8" t="s">
        <v>66</v>
      </c>
      <c r="AD23" s="8" t="s">
        <v>66</v>
      </c>
      <c r="AE23" s="8" t="s">
        <v>66</v>
      </c>
    </row>
    <row r="24" spans="1:31" x14ac:dyDescent="0.25">
      <c r="A24" s="4" t="s">
        <v>680</v>
      </c>
      <c r="B24" s="9">
        <v>7874</v>
      </c>
      <c r="C24" s="9">
        <v>7812</v>
      </c>
      <c r="D24" s="9">
        <v>7752</v>
      </c>
      <c r="E24" s="9">
        <v>10380</v>
      </c>
      <c r="F24" s="9">
        <v>33818</v>
      </c>
      <c r="G24" s="9">
        <v>7633</v>
      </c>
      <c r="H24" s="9">
        <v>8982</v>
      </c>
      <c r="I24" s="9">
        <v>7611.47</v>
      </c>
      <c r="J24" s="9">
        <v>8110.16</v>
      </c>
      <c r="K24" s="9">
        <v>32464.99</v>
      </c>
      <c r="L24" s="9">
        <v>7433.15</v>
      </c>
      <c r="M24" s="9">
        <v>7748.86</v>
      </c>
      <c r="N24" s="9">
        <v>7468.65</v>
      </c>
      <c r="O24" s="9">
        <v>7911.33</v>
      </c>
      <c r="P24" s="9">
        <v>30648.2</v>
      </c>
      <c r="Q24" s="9">
        <v>7386.98</v>
      </c>
      <c r="R24" s="9">
        <v>7536.38</v>
      </c>
      <c r="S24" s="9">
        <v>7400.6</v>
      </c>
      <c r="T24" s="9">
        <v>7839.14</v>
      </c>
      <c r="U24" s="9">
        <v>30034.78</v>
      </c>
      <c r="V24" s="9">
        <v>7204.9</v>
      </c>
      <c r="W24" s="9">
        <v>7400.9</v>
      </c>
      <c r="X24" s="9">
        <v>7236.81</v>
      </c>
      <c r="Y24" s="9">
        <v>7720.71</v>
      </c>
      <c r="Z24" s="9">
        <v>29892.15</v>
      </c>
      <c r="AA24" s="9">
        <v>7169.04</v>
      </c>
      <c r="AB24" s="9">
        <v>7364.24</v>
      </c>
      <c r="AC24" s="9">
        <v>7190.75</v>
      </c>
      <c r="AD24" s="9">
        <v>7676.01</v>
      </c>
      <c r="AE24" s="9">
        <v>29888.16</v>
      </c>
    </row>
    <row r="25" spans="1:31" x14ac:dyDescent="0.25">
      <c r="A25" s="4" t="s">
        <v>679</v>
      </c>
      <c r="B25" s="9">
        <v>20930</v>
      </c>
      <c r="C25" s="9">
        <v>21697</v>
      </c>
      <c r="D25" s="9">
        <v>21046</v>
      </c>
      <c r="E25" s="9">
        <v>24521</v>
      </c>
      <c r="F25" s="9">
        <v>88194</v>
      </c>
      <c r="G25" s="9">
        <v>21045</v>
      </c>
      <c r="H25" s="9">
        <v>20530</v>
      </c>
      <c r="I25" s="9">
        <v>21064.639999999999</v>
      </c>
      <c r="J25" s="9">
        <v>24270.53</v>
      </c>
      <c r="K25" s="9">
        <v>87629.440000000002</v>
      </c>
      <c r="L25" s="9">
        <v>21459.42</v>
      </c>
      <c r="M25" s="9">
        <v>21231.29</v>
      </c>
      <c r="N25" s="9">
        <v>21054.78</v>
      </c>
      <c r="O25" s="9">
        <v>24865.11</v>
      </c>
      <c r="P25" s="9">
        <v>88538.84</v>
      </c>
      <c r="Q25" s="9">
        <v>21580.78</v>
      </c>
      <c r="R25" s="9">
        <v>21329.21</v>
      </c>
      <c r="S25" s="9">
        <v>20963.009999999998</v>
      </c>
      <c r="T25" s="9">
        <v>24365.919999999998</v>
      </c>
      <c r="U25" s="9">
        <v>88392.43</v>
      </c>
      <c r="V25" s="9">
        <v>21516.41</v>
      </c>
      <c r="W25" s="9">
        <v>20970.259999999998</v>
      </c>
      <c r="X25" s="9">
        <v>20660.3</v>
      </c>
      <c r="Y25" s="9">
        <v>23906.41</v>
      </c>
      <c r="Z25" s="9">
        <v>88614.61</v>
      </c>
      <c r="AA25" s="9">
        <v>21590.26</v>
      </c>
      <c r="AB25" s="9">
        <v>21036.21</v>
      </c>
      <c r="AC25" s="9">
        <v>20704.18</v>
      </c>
      <c r="AD25" s="9">
        <v>23989.66</v>
      </c>
      <c r="AE25" s="9">
        <v>89176.95</v>
      </c>
    </row>
    <row r="26" spans="1:31" x14ac:dyDescent="0.25">
      <c r="A26" s="3" t="s">
        <v>678</v>
      </c>
      <c r="B26" s="9">
        <v>4577</v>
      </c>
      <c r="C26" s="9">
        <v>4635</v>
      </c>
      <c r="D26" s="9">
        <v>4618</v>
      </c>
      <c r="E26" s="9">
        <v>4519</v>
      </c>
      <c r="F26" s="9">
        <v>18349</v>
      </c>
      <c r="G26" s="9">
        <v>4892</v>
      </c>
      <c r="H26" s="9">
        <v>5008</v>
      </c>
      <c r="I26" s="9">
        <v>4975.75</v>
      </c>
      <c r="J26" s="9">
        <v>5015.47</v>
      </c>
      <c r="K26" s="9">
        <v>19886.060000000001</v>
      </c>
      <c r="L26" s="9">
        <v>5020.0600000000004</v>
      </c>
      <c r="M26" s="9">
        <v>5049.13</v>
      </c>
      <c r="N26" s="9">
        <v>5064.5600000000004</v>
      </c>
      <c r="O26" s="9">
        <v>5070.6899999999996</v>
      </c>
      <c r="P26" s="9">
        <v>19972.73</v>
      </c>
      <c r="Q26" s="9">
        <v>5075.42</v>
      </c>
      <c r="R26" s="9">
        <v>5123.95</v>
      </c>
      <c r="S26" s="9">
        <v>5128.67</v>
      </c>
      <c r="T26" s="9">
        <v>5079.46</v>
      </c>
      <c r="U26" s="9">
        <v>20017.810000000001</v>
      </c>
      <c r="V26" s="9">
        <v>5132.8100000000004</v>
      </c>
      <c r="W26" s="9">
        <v>5167.99</v>
      </c>
      <c r="X26" s="9">
        <v>5173.01</v>
      </c>
      <c r="Y26" s="9">
        <v>5139.1899999999996</v>
      </c>
      <c r="Z26" s="9">
        <v>20229.77</v>
      </c>
      <c r="AA26" s="9">
        <v>5200.6499999999996</v>
      </c>
      <c r="AB26" s="9">
        <v>5235.13</v>
      </c>
      <c r="AC26" s="9">
        <v>5239.79</v>
      </c>
      <c r="AD26" s="9">
        <v>5203.8900000000003</v>
      </c>
      <c r="AE26" s="9">
        <v>20394.95</v>
      </c>
    </row>
    <row r="27" spans="1:31" x14ac:dyDescent="0.25">
      <c r="A27" s="3" t="s">
        <v>677</v>
      </c>
      <c r="B27" s="9">
        <v>25507</v>
      </c>
      <c r="C27" s="9">
        <v>26332</v>
      </c>
      <c r="D27" s="9">
        <v>25716</v>
      </c>
      <c r="E27" s="9">
        <v>31377</v>
      </c>
      <c r="F27" s="9">
        <v>108932</v>
      </c>
      <c r="G27" s="9">
        <v>26198</v>
      </c>
      <c r="H27" s="9">
        <v>27074</v>
      </c>
      <c r="I27" s="9">
        <v>25977.67</v>
      </c>
      <c r="J27" s="9">
        <v>29232.07</v>
      </c>
      <c r="K27" s="9">
        <v>108555.39</v>
      </c>
      <c r="L27" s="9">
        <v>26417.49</v>
      </c>
      <c r="M27" s="9">
        <v>26087.11</v>
      </c>
      <c r="N27" s="9">
        <v>26047.53</v>
      </c>
      <c r="O27" s="9">
        <v>29197.18</v>
      </c>
      <c r="P27" s="9">
        <v>108002.97</v>
      </c>
      <c r="Q27" s="9">
        <v>26417.22</v>
      </c>
      <c r="R27" s="9">
        <v>25936.01</v>
      </c>
      <c r="S27" s="9">
        <v>25841.31</v>
      </c>
      <c r="T27" s="9">
        <v>28809.23</v>
      </c>
      <c r="U27" s="9">
        <v>107896.57</v>
      </c>
      <c r="V27" s="9">
        <v>26565.26</v>
      </c>
      <c r="W27" s="9">
        <v>26045.69</v>
      </c>
      <c r="X27" s="9">
        <v>25738.31</v>
      </c>
      <c r="Y27" s="9">
        <v>28956.07</v>
      </c>
      <c r="Z27" s="9">
        <v>108065.24</v>
      </c>
      <c r="AA27" s="9">
        <v>26669.4</v>
      </c>
      <c r="AB27" s="9">
        <v>26141.07</v>
      </c>
      <c r="AC27" s="9">
        <v>25811.02</v>
      </c>
      <c r="AD27" s="9">
        <v>29066.05</v>
      </c>
      <c r="AE27" s="9">
        <v>108679.72</v>
      </c>
    </row>
    <row r="28" spans="1:31" x14ac:dyDescent="0.25">
      <c r="A28" s="4" t="s">
        <v>607</v>
      </c>
      <c r="B28" s="9">
        <v>25507</v>
      </c>
      <c r="C28" s="9">
        <v>26332</v>
      </c>
      <c r="D28" s="9">
        <v>25664</v>
      </c>
      <c r="E28" s="9">
        <v>29040</v>
      </c>
      <c r="F28" s="9">
        <v>106543</v>
      </c>
      <c r="G28" s="9">
        <v>25937</v>
      </c>
      <c r="H28" s="9">
        <v>25538</v>
      </c>
      <c r="I28" s="9">
        <v>26004.84</v>
      </c>
      <c r="J28" s="9">
        <v>29265.43</v>
      </c>
      <c r="K28" s="9">
        <v>107527.58</v>
      </c>
      <c r="L28" s="9">
        <v>26393.759999999998</v>
      </c>
      <c r="M28" s="9">
        <v>26063.38</v>
      </c>
      <c r="N28" s="9">
        <v>26023.81</v>
      </c>
      <c r="O28" s="9">
        <v>29737.06</v>
      </c>
      <c r="P28" s="9">
        <v>108464.66</v>
      </c>
      <c r="Q28" s="9">
        <v>26417.22</v>
      </c>
      <c r="R28" s="9">
        <v>25936.01</v>
      </c>
      <c r="S28" s="9">
        <v>25841.31</v>
      </c>
      <c r="T28" s="9">
        <v>28809.23</v>
      </c>
      <c r="U28" s="9">
        <v>108149.87</v>
      </c>
      <c r="V28" s="9">
        <v>26565.26</v>
      </c>
      <c r="W28" s="9">
        <v>26045.69</v>
      </c>
      <c r="X28" s="9">
        <v>25738.31</v>
      </c>
      <c r="Y28" s="9">
        <v>28956.07</v>
      </c>
      <c r="Z28" s="9">
        <v>108454.61</v>
      </c>
      <c r="AA28" s="9">
        <v>26669.4</v>
      </c>
      <c r="AB28" s="9">
        <v>26141.07</v>
      </c>
      <c r="AC28" s="9">
        <v>25811.02</v>
      </c>
      <c r="AD28" s="9">
        <v>29066.05</v>
      </c>
      <c r="AE28" s="9">
        <v>109101.17</v>
      </c>
    </row>
    <row r="29" spans="1:31" x14ac:dyDescent="0.25">
      <c r="A29" s="4" t="s">
        <v>597</v>
      </c>
      <c r="B29" s="9">
        <v>12555</v>
      </c>
      <c r="C29" s="9">
        <v>12807</v>
      </c>
      <c r="D29" s="9">
        <v>12775</v>
      </c>
      <c r="E29" s="9">
        <v>11860</v>
      </c>
      <c r="F29" s="9">
        <v>49997</v>
      </c>
      <c r="G29" s="9">
        <v>13395</v>
      </c>
      <c r="H29" s="9">
        <v>13723</v>
      </c>
      <c r="I29" s="9">
        <v>13691.51</v>
      </c>
      <c r="J29" s="9">
        <v>13088.18</v>
      </c>
      <c r="K29" s="9">
        <v>53752.39</v>
      </c>
      <c r="L29" s="9">
        <v>13911.4</v>
      </c>
      <c r="M29" s="9">
        <v>13958.05</v>
      </c>
      <c r="N29" s="9">
        <v>14127.43</v>
      </c>
      <c r="O29" s="9">
        <v>13449.57</v>
      </c>
      <c r="P29" s="9">
        <v>55419.85</v>
      </c>
      <c r="Q29" s="9">
        <v>14128.63</v>
      </c>
      <c r="R29" s="9">
        <v>14248.99</v>
      </c>
      <c r="S29" s="9">
        <v>14469.15</v>
      </c>
      <c r="T29" s="9">
        <v>13800.33</v>
      </c>
      <c r="U29" s="9">
        <v>56817.42</v>
      </c>
      <c r="V29" s="9">
        <v>14507.94</v>
      </c>
      <c r="W29" s="9">
        <v>14582.21</v>
      </c>
      <c r="X29" s="9">
        <v>14783.74</v>
      </c>
      <c r="Y29" s="9">
        <v>14145.78</v>
      </c>
      <c r="Z29" s="9">
        <v>58232.23</v>
      </c>
      <c r="AA29" s="9">
        <v>14712.29</v>
      </c>
      <c r="AB29" s="9">
        <v>14785.76</v>
      </c>
      <c r="AC29" s="9">
        <v>14982.64</v>
      </c>
      <c r="AD29" s="9">
        <v>14335.95</v>
      </c>
      <c r="AE29" s="9">
        <v>59130.97</v>
      </c>
    </row>
    <row r="30" spans="1:31" x14ac:dyDescent="0.25">
      <c r="A30" s="4" t="s">
        <v>602</v>
      </c>
      <c r="B30" s="9">
        <v>7978</v>
      </c>
      <c r="C30" s="9">
        <v>8172</v>
      </c>
      <c r="D30" s="9">
        <v>8157</v>
      </c>
      <c r="E30" s="9">
        <v>7341</v>
      </c>
      <c r="F30" s="9">
        <v>31648</v>
      </c>
      <c r="G30" s="9">
        <v>8503</v>
      </c>
      <c r="H30" s="9">
        <v>8715</v>
      </c>
      <c r="I30" s="9">
        <v>8728.7199999999993</v>
      </c>
      <c r="J30" s="9">
        <v>8080.7</v>
      </c>
      <c r="K30" s="9">
        <v>34040.449999999997</v>
      </c>
      <c r="L30" s="9">
        <v>8930.57</v>
      </c>
      <c r="M30" s="9">
        <v>8931.91</v>
      </c>
      <c r="N30" s="9">
        <v>9087.2900000000009</v>
      </c>
      <c r="O30" s="9">
        <v>8454.1299999999992</v>
      </c>
      <c r="P30" s="9">
        <v>35508.19</v>
      </c>
      <c r="Q30" s="9">
        <v>9169.92</v>
      </c>
      <c r="R30" s="9">
        <v>9219.83</v>
      </c>
      <c r="S30" s="9">
        <v>9412.6</v>
      </c>
      <c r="T30" s="9">
        <v>8938.4</v>
      </c>
      <c r="U30" s="9">
        <v>36934.379999999997</v>
      </c>
      <c r="V30" s="9">
        <v>9459.09</v>
      </c>
      <c r="W30" s="9">
        <v>9506.7900000000009</v>
      </c>
      <c r="X30" s="9">
        <v>9705.73</v>
      </c>
      <c r="Y30" s="9">
        <v>9096.1200000000008</v>
      </c>
      <c r="Z30" s="9">
        <v>38154.03</v>
      </c>
      <c r="AA30" s="9">
        <v>9633.16</v>
      </c>
      <c r="AB30" s="9">
        <v>9680.9</v>
      </c>
      <c r="AC30" s="9">
        <v>9875.7999999999993</v>
      </c>
      <c r="AD30" s="9">
        <v>9259.56</v>
      </c>
      <c r="AE30" s="9">
        <v>38934.35</v>
      </c>
    </row>
    <row r="31" spans="1:31" x14ac:dyDescent="0.25">
      <c r="A31" s="3" t="s">
        <v>676</v>
      </c>
      <c r="B31" s="9">
        <v>63</v>
      </c>
      <c r="C31" s="9">
        <v>116</v>
      </c>
      <c r="D31" s="9">
        <v>52</v>
      </c>
      <c r="E31" s="9">
        <v>2337</v>
      </c>
      <c r="F31" s="9">
        <v>2389</v>
      </c>
      <c r="G31" s="9">
        <v>261</v>
      </c>
      <c r="H31" s="9">
        <v>1536</v>
      </c>
      <c r="I31" s="9">
        <v>109.86</v>
      </c>
      <c r="J31" s="9">
        <v>1092.4100000000001</v>
      </c>
      <c r="K31" s="9">
        <v>1808.91</v>
      </c>
      <c r="L31" s="9">
        <v>39.15</v>
      </c>
      <c r="M31" s="9">
        <v>768</v>
      </c>
      <c r="N31" s="9">
        <v>17.89</v>
      </c>
      <c r="O31" s="9">
        <v>602.95000000000005</v>
      </c>
      <c r="P31" s="9">
        <v>340.92</v>
      </c>
      <c r="Q31" s="8" t="s">
        <v>66</v>
      </c>
      <c r="R31" s="8" t="s">
        <v>66</v>
      </c>
      <c r="S31" s="8" t="s">
        <v>66</v>
      </c>
      <c r="T31" s="8" t="s">
        <v>66</v>
      </c>
      <c r="U31" s="10">
        <v>-208.78</v>
      </c>
      <c r="V31" s="8" t="s">
        <v>66</v>
      </c>
      <c r="W31" s="8" t="s">
        <v>66</v>
      </c>
      <c r="X31" s="8" t="s">
        <v>66</v>
      </c>
      <c r="Y31" s="8" t="s">
        <v>66</v>
      </c>
      <c r="Z31" s="9">
        <v>700</v>
      </c>
      <c r="AA31" s="8" t="s">
        <v>66</v>
      </c>
      <c r="AB31" s="8" t="s">
        <v>66</v>
      </c>
      <c r="AC31" s="8" t="s">
        <v>66</v>
      </c>
      <c r="AD31" s="8" t="s">
        <v>66</v>
      </c>
      <c r="AE31" s="9">
        <v>700</v>
      </c>
    </row>
    <row r="32" spans="1:31" x14ac:dyDescent="0.25">
      <c r="A32" s="4" t="s">
        <v>675</v>
      </c>
      <c r="B32" s="9">
        <v>7978</v>
      </c>
      <c r="C32" s="9">
        <v>8172</v>
      </c>
      <c r="D32" s="9">
        <v>8105</v>
      </c>
      <c r="E32" s="9">
        <v>5004</v>
      </c>
      <c r="F32" s="9">
        <v>29259</v>
      </c>
      <c r="G32" s="9">
        <v>8242</v>
      </c>
      <c r="H32" s="9">
        <v>7179</v>
      </c>
      <c r="I32" s="9">
        <v>8742.86</v>
      </c>
      <c r="J32" s="9">
        <v>7984.1</v>
      </c>
      <c r="K32" s="9">
        <v>32281.17</v>
      </c>
      <c r="L32" s="9">
        <v>8953.39</v>
      </c>
      <c r="M32" s="9">
        <v>8843.9699999999993</v>
      </c>
      <c r="N32" s="9">
        <v>9085.66</v>
      </c>
      <c r="O32" s="9">
        <v>8399.32</v>
      </c>
      <c r="P32" s="9">
        <v>35454.589999999997</v>
      </c>
      <c r="Q32" s="9">
        <v>9169.92</v>
      </c>
      <c r="R32" s="9">
        <v>9219.83</v>
      </c>
      <c r="S32" s="9">
        <v>9412.6</v>
      </c>
      <c r="T32" s="9">
        <v>8938.4</v>
      </c>
      <c r="U32" s="9">
        <v>36860.720000000001</v>
      </c>
      <c r="V32" s="9">
        <v>9459.09</v>
      </c>
      <c r="W32" s="9">
        <v>9506.7900000000009</v>
      </c>
      <c r="X32" s="9">
        <v>9705.73</v>
      </c>
      <c r="Y32" s="9">
        <v>9096.1200000000008</v>
      </c>
      <c r="Z32" s="9">
        <v>37940.080000000002</v>
      </c>
      <c r="AA32" s="9">
        <v>9633.16</v>
      </c>
      <c r="AB32" s="9">
        <v>9680.9</v>
      </c>
      <c r="AC32" s="9">
        <v>9875.7999999999993</v>
      </c>
      <c r="AD32" s="9">
        <v>9259.56</v>
      </c>
      <c r="AE32" s="9">
        <v>38590.129999999997</v>
      </c>
    </row>
    <row r="33" spans="1:31" x14ac:dyDescent="0.25">
      <c r="A33" s="3" t="s">
        <v>674</v>
      </c>
      <c r="B33" s="9">
        <v>6</v>
      </c>
      <c r="C33" s="10">
        <v>-3</v>
      </c>
      <c r="D33" s="10">
        <v>-6</v>
      </c>
      <c r="E33" s="9">
        <v>3</v>
      </c>
      <c r="F33" s="8" t="s">
        <v>66</v>
      </c>
      <c r="G33" s="9">
        <v>5</v>
      </c>
      <c r="H33" s="9">
        <v>44</v>
      </c>
      <c r="I33" s="9">
        <v>11.9</v>
      </c>
      <c r="J33" s="9">
        <v>14.4</v>
      </c>
      <c r="K33" s="9">
        <v>60.21</v>
      </c>
      <c r="L33" s="9">
        <v>3.93</v>
      </c>
      <c r="M33" s="9">
        <v>18.62</v>
      </c>
      <c r="N33" s="9">
        <v>1.93</v>
      </c>
      <c r="O33" s="9">
        <v>3.32</v>
      </c>
      <c r="P33" s="9">
        <v>47.41</v>
      </c>
      <c r="Q33" s="9">
        <v>9.66</v>
      </c>
      <c r="R33" s="9">
        <v>29.2</v>
      </c>
      <c r="S33" s="9">
        <v>4.16</v>
      </c>
      <c r="T33" s="9">
        <v>8.77</v>
      </c>
      <c r="U33" s="9">
        <v>43.63</v>
      </c>
      <c r="V33" s="9">
        <v>5</v>
      </c>
      <c r="W33" s="9">
        <v>44</v>
      </c>
      <c r="X33" s="10">
        <v>-6</v>
      </c>
      <c r="Y33" s="9">
        <v>3</v>
      </c>
      <c r="Z33" s="9">
        <v>37.880000000000003</v>
      </c>
      <c r="AA33" s="9">
        <v>5</v>
      </c>
      <c r="AB33" s="9">
        <v>44</v>
      </c>
      <c r="AC33" s="10">
        <v>-6</v>
      </c>
      <c r="AD33" s="9">
        <v>3</v>
      </c>
      <c r="AE33" s="9">
        <v>37.71</v>
      </c>
    </row>
    <row r="34" spans="1:31" x14ac:dyDescent="0.25">
      <c r="A34" s="3" t="s">
        <v>673</v>
      </c>
      <c r="B34" s="9">
        <v>121</v>
      </c>
      <c r="C34" s="9">
        <v>79</v>
      </c>
      <c r="D34" s="9">
        <v>92</v>
      </c>
      <c r="E34" s="10">
        <v>-185</v>
      </c>
      <c r="F34" s="9">
        <v>107</v>
      </c>
      <c r="G34" s="9">
        <v>477</v>
      </c>
      <c r="H34" s="9">
        <v>36</v>
      </c>
      <c r="I34" s="9">
        <v>87.55</v>
      </c>
      <c r="J34" s="9">
        <v>76.83</v>
      </c>
      <c r="K34" s="9">
        <v>636.77</v>
      </c>
      <c r="L34" s="9">
        <v>118.1</v>
      </c>
      <c r="M34" s="9">
        <v>115.14</v>
      </c>
      <c r="N34" s="9">
        <v>113.48</v>
      </c>
      <c r="O34" s="9">
        <v>117.73</v>
      </c>
      <c r="P34" s="9">
        <v>396</v>
      </c>
      <c r="Q34" s="9">
        <v>55.88</v>
      </c>
      <c r="R34" s="9">
        <v>53.72</v>
      </c>
      <c r="S34" s="9">
        <v>53.05</v>
      </c>
      <c r="T34" s="9">
        <v>55.98</v>
      </c>
      <c r="U34" s="9">
        <v>230.81</v>
      </c>
      <c r="V34" s="9">
        <v>27.87</v>
      </c>
      <c r="W34" s="9">
        <v>27.93</v>
      </c>
      <c r="X34" s="9">
        <v>29.61</v>
      </c>
      <c r="Y34" s="9">
        <v>28.98</v>
      </c>
      <c r="Z34" s="9">
        <v>221.71</v>
      </c>
      <c r="AA34" s="9">
        <v>31.29</v>
      </c>
      <c r="AB34" s="9">
        <v>34.409999999999997</v>
      </c>
      <c r="AC34" s="9">
        <v>36.979999999999997</v>
      </c>
      <c r="AD34" s="9">
        <v>41.45</v>
      </c>
      <c r="AE34" s="9">
        <v>242.19</v>
      </c>
    </row>
    <row r="35" spans="1:31" x14ac:dyDescent="0.25">
      <c r="A35" s="3" t="s">
        <v>672</v>
      </c>
      <c r="B35" s="10">
        <v>-5.45</v>
      </c>
      <c r="C35" s="10">
        <v>-12.34</v>
      </c>
      <c r="D35" s="10">
        <v>-25.51</v>
      </c>
      <c r="E35" s="9">
        <v>224.64</v>
      </c>
      <c r="F35" s="9">
        <v>81.77</v>
      </c>
      <c r="G35" s="9">
        <v>185</v>
      </c>
      <c r="H35" s="10">
        <v>-92.05</v>
      </c>
      <c r="I35" s="9">
        <v>45.92</v>
      </c>
      <c r="J35" s="9">
        <v>117.78</v>
      </c>
      <c r="K35" s="9">
        <v>210.18</v>
      </c>
      <c r="L35" s="9">
        <v>26.89</v>
      </c>
      <c r="M35" s="9">
        <v>3.45</v>
      </c>
      <c r="N35" s="9">
        <v>3.45</v>
      </c>
      <c r="O35" s="10">
        <v>-71.55</v>
      </c>
      <c r="P35" s="10">
        <v>-37.75</v>
      </c>
      <c r="Q35" s="10">
        <v>-81.53</v>
      </c>
      <c r="R35" s="10">
        <v>-95.59</v>
      </c>
      <c r="S35" s="10">
        <v>-95.59</v>
      </c>
      <c r="T35" s="10">
        <v>-95.59</v>
      </c>
      <c r="U35" s="10">
        <v>-368.3</v>
      </c>
      <c r="V35" s="10">
        <v>-106.29</v>
      </c>
      <c r="W35" s="10">
        <v>-101.6</v>
      </c>
      <c r="X35" s="10">
        <v>-101.6</v>
      </c>
      <c r="Y35" s="10">
        <v>-101.6</v>
      </c>
      <c r="Z35" s="10">
        <v>-411.08</v>
      </c>
      <c r="AA35" s="10">
        <v>-107.57</v>
      </c>
      <c r="AB35" s="10">
        <v>-108.44</v>
      </c>
      <c r="AC35" s="10">
        <v>-99.16</v>
      </c>
      <c r="AD35" s="10">
        <v>-77.37</v>
      </c>
      <c r="AE35" s="10">
        <v>-392.55</v>
      </c>
    </row>
    <row r="36" spans="1:31" x14ac:dyDescent="0.25">
      <c r="A36" s="3" t="s">
        <v>671</v>
      </c>
      <c r="B36" s="9">
        <v>1632</v>
      </c>
      <c r="C36" s="9">
        <v>1639</v>
      </c>
      <c r="D36" s="9">
        <v>1664</v>
      </c>
      <c r="E36" s="9">
        <v>1759</v>
      </c>
      <c r="F36" s="9">
        <v>6694</v>
      </c>
      <c r="G36" s="9">
        <v>1940</v>
      </c>
      <c r="H36" s="9">
        <v>1985</v>
      </c>
      <c r="I36" s="9">
        <v>1939.74</v>
      </c>
      <c r="J36" s="9">
        <v>1922.08</v>
      </c>
      <c r="K36" s="9">
        <v>7781.91</v>
      </c>
      <c r="L36" s="9">
        <v>1940.05</v>
      </c>
      <c r="M36" s="9">
        <v>1932.61</v>
      </c>
      <c r="N36" s="9">
        <v>1927.83</v>
      </c>
      <c r="O36" s="9">
        <v>1941.54</v>
      </c>
      <c r="P36" s="9">
        <v>7712.69</v>
      </c>
      <c r="Q36" s="9">
        <v>1949.8</v>
      </c>
      <c r="R36" s="9">
        <v>1943.92</v>
      </c>
      <c r="S36" s="9">
        <v>1940.34</v>
      </c>
      <c r="T36" s="9">
        <v>1952.01</v>
      </c>
      <c r="U36" s="9">
        <v>7771.81</v>
      </c>
      <c r="V36" s="9">
        <v>1964.68</v>
      </c>
      <c r="W36" s="9">
        <v>1953.01</v>
      </c>
      <c r="X36" s="9">
        <v>1955.46</v>
      </c>
      <c r="Y36" s="9">
        <v>1952.81</v>
      </c>
      <c r="Z36" s="9">
        <v>7776.55</v>
      </c>
      <c r="AA36" s="9">
        <v>1945.7</v>
      </c>
      <c r="AB36" s="9">
        <v>1938.62</v>
      </c>
      <c r="AC36" s="9">
        <v>1941.06</v>
      </c>
      <c r="AD36" s="9">
        <v>1929.86</v>
      </c>
      <c r="AE36" s="9">
        <v>7722.77</v>
      </c>
    </row>
    <row r="37" spans="1:31" x14ac:dyDescent="0.25">
      <c r="A37" s="4" t="s">
        <v>670</v>
      </c>
      <c r="B37" s="10">
        <v>-1505</v>
      </c>
      <c r="C37" s="10">
        <v>-1563</v>
      </c>
      <c r="D37" s="10">
        <v>-1578</v>
      </c>
      <c r="E37" s="10">
        <v>-1941</v>
      </c>
      <c r="F37" s="10">
        <v>-6587</v>
      </c>
      <c r="G37" s="10">
        <v>-1458</v>
      </c>
      <c r="H37" s="10">
        <v>-1905</v>
      </c>
      <c r="I37" s="10">
        <v>-1852.27</v>
      </c>
      <c r="J37" s="10">
        <v>-1840.68</v>
      </c>
      <c r="K37" s="10">
        <v>-7090.35</v>
      </c>
      <c r="L37" s="10">
        <v>-1846.85</v>
      </c>
      <c r="M37" s="10">
        <v>-1834.82</v>
      </c>
      <c r="N37" s="10">
        <v>-1840.64</v>
      </c>
      <c r="O37" s="10">
        <v>-1851.27</v>
      </c>
      <c r="P37" s="10">
        <v>-7348.7</v>
      </c>
      <c r="Q37" s="10">
        <v>-1922.5</v>
      </c>
      <c r="R37" s="10">
        <v>-1904.68</v>
      </c>
      <c r="S37" s="10">
        <v>-1918.32</v>
      </c>
      <c r="T37" s="10">
        <v>-1927.23</v>
      </c>
      <c r="U37" s="10">
        <v>-7593.91</v>
      </c>
      <c r="V37" s="10">
        <v>-1940.39</v>
      </c>
      <c r="W37" s="10">
        <v>-1913.07</v>
      </c>
      <c r="X37" s="10">
        <v>-1934.17</v>
      </c>
      <c r="Y37" s="10">
        <v>-1928.42</v>
      </c>
      <c r="Z37" s="10">
        <v>-7611.42</v>
      </c>
      <c r="AA37" s="10">
        <v>-1918.67</v>
      </c>
      <c r="AB37" s="10">
        <v>-1893.49</v>
      </c>
      <c r="AC37" s="10">
        <v>-1913.88</v>
      </c>
      <c r="AD37" s="10">
        <v>-1895.5</v>
      </c>
      <c r="AE37" s="10">
        <v>-7588.07</v>
      </c>
    </row>
    <row r="38" spans="1:31" x14ac:dyDescent="0.25">
      <c r="A38" s="4" t="s">
        <v>669</v>
      </c>
      <c r="B38" s="9">
        <v>6473</v>
      </c>
      <c r="C38" s="9">
        <v>6609</v>
      </c>
      <c r="D38" s="9">
        <v>6527</v>
      </c>
      <c r="E38" s="9">
        <v>3063</v>
      </c>
      <c r="F38" s="9">
        <v>22672</v>
      </c>
      <c r="G38" s="9">
        <v>6784</v>
      </c>
      <c r="H38" s="9">
        <v>5274</v>
      </c>
      <c r="I38" s="9">
        <v>6891.42</v>
      </c>
      <c r="J38" s="9">
        <v>6192.62</v>
      </c>
      <c r="K38" s="9">
        <v>25208.79</v>
      </c>
      <c r="L38" s="9">
        <v>7088.49</v>
      </c>
      <c r="M38" s="9">
        <v>7065.11</v>
      </c>
      <c r="N38" s="9">
        <v>7283.13</v>
      </c>
      <c r="O38" s="9">
        <v>6543.72</v>
      </c>
      <c r="P38" s="9">
        <v>28049.19</v>
      </c>
      <c r="Q38" s="9">
        <v>7273.58</v>
      </c>
      <c r="R38" s="9">
        <v>7378.07</v>
      </c>
      <c r="S38" s="9">
        <v>7586.95</v>
      </c>
      <c r="T38" s="9">
        <v>6949.44</v>
      </c>
      <c r="U38" s="9">
        <v>29332.41</v>
      </c>
      <c r="V38" s="9">
        <v>7518.7</v>
      </c>
      <c r="W38" s="9">
        <v>7593.72</v>
      </c>
      <c r="X38" s="9">
        <v>7771.56</v>
      </c>
      <c r="Y38" s="9">
        <v>7167.7</v>
      </c>
      <c r="Z38" s="9">
        <v>30374.39</v>
      </c>
      <c r="AA38" s="9">
        <v>7714.49</v>
      </c>
      <c r="AB38" s="9">
        <v>7787.41</v>
      </c>
      <c r="AC38" s="9">
        <v>7961.93</v>
      </c>
      <c r="AD38" s="9">
        <v>7364.07</v>
      </c>
      <c r="AE38" s="9">
        <v>31046.61</v>
      </c>
    </row>
    <row r="39" spans="1:31" x14ac:dyDescent="0.25">
      <c r="A39" s="4" t="s">
        <v>668</v>
      </c>
      <c r="B39" s="9">
        <v>6576.02</v>
      </c>
      <c r="C39" s="9">
        <v>6731.06</v>
      </c>
      <c r="D39" s="9">
        <v>6692.5</v>
      </c>
      <c r="E39" s="9">
        <v>6287.33</v>
      </c>
      <c r="F39" s="9">
        <v>26286.91</v>
      </c>
      <c r="G39" s="9">
        <v>6933.25</v>
      </c>
      <c r="H39" s="9">
        <v>6995.99</v>
      </c>
      <c r="I39" s="9">
        <v>7020.2</v>
      </c>
      <c r="J39" s="9">
        <v>6335.93</v>
      </c>
      <c r="K39" s="9">
        <v>27138.05</v>
      </c>
      <c r="L39" s="9">
        <v>6969.84</v>
      </c>
      <c r="M39" s="9">
        <v>7761.35</v>
      </c>
      <c r="N39" s="9">
        <v>7230.87</v>
      </c>
      <c r="O39" s="9">
        <v>6471.9</v>
      </c>
      <c r="P39" s="9">
        <v>28569.61</v>
      </c>
      <c r="Q39" s="9">
        <v>7242.58</v>
      </c>
      <c r="R39" s="9">
        <v>8056.67</v>
      </c>
      <c r="S39" s="9">
        <v>7524.89</v>
      </c>
      <c r="T39" s="9">
        <v>6832.27</v>
      </c>
      <c r="U39" s="9">
        <v>30402.47</v>
      </c>
      <c r="V39" s="9">
        <v>7371.47</v>
      </c>
      <c r="W39" s="9">
        <v>8232.61</v>
      </c>
      <c r="X39" s="9">
        <v>7693.23</v>
      </c>
      <c r="Y39" s="9">
        <v>6974.57</v>
      </c>
      <c r="Z39" s="9">
        <v>31913.75</v>
      </c>
      <c r="AA39" s="9">
        <v>7674.21</v>
      </c>
      <c r="AB39" s="9">
        <v>8526.5400000000009</v>
      </c>
      <c r="AC39" s="9">
        <v>8001.25</v>
      </c>
      <c r="AD39" s="9">
        <v>7296.82</v>
      </c>
      <c r="AE39" s="9">
        <v>33519.269999999997</v>
      </c>
    </row>
    <row r="40" spans="1:31" x14ac:dyDescent="0.25">
      <c r="A40" s="4" t="s">
        <v>667</v>
      </c>
      <c r="B40" s="9">
        <v>1490</v>
      </c>
      <c r="C40" s="9">
        <v>1488</v>
      </c>
      <c r="D40" s="9">
        <v>1471</v>
      </c>
      <c r="E40" s="9">
        <v>615</v>
      </c>
      <c r="F40" s="9">
        <v>5064</v>
      </c>
      <c r="G40" s="9">
        <v>1638</v>
      </c>
      <c r="H40" s="9">
        <v>1325</v>
      </c>
      <c r="I40" s="9">
        <v>1567.3</v>
      </c>
      <c r="J40" s="9">
        <v>1396.84</v>
      </c>
      <c r="K40" s="9">
        <v>5934.82</v>
      </c>
      <c r="L40" s="9">
        <v>1645.65</v>
      </c>
      <c r="M40" s="9">
        <v>1638.91</v>
      </c>
      <c r="N40" s="9">
        <v>1694.22</v>
      </c>
      <c r="O40" s="9">
        <v>1522.3</v>
      </c>
      <c r="P40" s="9">
        <v>6445.71</v>
      </c>
      <c r="Q40" s="9">
        <v>1687.58</v>
      </c>
      <c r="R40" s="9">
        <v>1714.69</v>
      </c>
      <c r="S40" s="9">
        <v>1760.08</v>
      </c>
      <c r="T40" s="9">
        <v>1609.84</v>
      </c>
      <c r="U40" s="9">
        <v>6694.68</v>
      </c>
      <c r="V40" s="9">
        <v>1710.55</v>
      </c>
      <c r="W40" s="9">
        <v>1730.88</v>
      </c>
      <c r="X40" s="9">
        <v>1766.22</v>
      </c>
      <c r="Y40" s="9">
        <v>1628.51</v>
      </c>
      <c r="Z40" s="9">
        <v>6863.26</v>
      </c>
      <c r="AA40" s="9">
        <v>1755.1</v>
      </c>
      <c r="AB40" s="9">
        <v>1774.94</v>
      </c>
      <c r="AC40" s="9">
        <v>1809.45</v>
      </c>
      <c r="AD40" s="9">
        <v>1673.04</v>
      </c>
      <c r="AE40" s="9">
        <v>7020.9</v>
      </c>
    </row>
    <row r="41" spans="1:31" x14ac:dyDescent="0.25">
      <c r="A41" s="4" t="s">
        <v>666</v>
      </c>
      <c r="B41" s="9">
        <v>1448.61</v>
      </c>
      <c r="C41" s="9">
        <v>1543.06</v>
      </c>
      <c r="D41" s="9">
        <v>1457.88</v>
      </c>
      <c r="E41" s="9">
        <v>1230.44</v>
      </c>
      <c r="F41" s="9">
        <v>5679.98</v>
      </c>
      <c r="G41" s="9">
        <v>1470.35</v>
      </c>
      <c r="H41" s="9">
        <v>1486.34</v>
      </c>
      <c r="I41" s="9">
        <v>1607.58</v>
      </c>
      <c r="J41" s="9">
        <v>1416.18</v>
      </c>
      <c r="K41" s="9">
        <v>5927.68</v>
      </c>
      <c r="L41" s="9">
        <v>1646.06</v>
      </c>
      <c r="M41" s="9">
        <v>1833.45</v>
      </c>
      <c r="N41" s="9">
        <v>1707.7</v>
      </c>
      <c r="O41" s="9">
        <v>1527.24</v>
      </c>
      <c r="P41" s="9">
        <v>6597.26</v>
      </c>
      <c r="Q41" s="9">
        <v>1710.31</v>
      </c>
      <c r="R41" s="9">
        <v>1903.17</v>
      </c>
      <c r="S41" s="9">
        <v>1777.01</v>
      </c>
      <c r="T41" s="9">
        <v>1612.54</v>
      </c>
      <c r="U41" s="9">
        <v>6993.92</v>
      </c>
      <c r="V41" s="9">
        <v>1740.02</v>
      </c>
      <c r="W41" s="9">
        <v>1944.02</v>
      </c>
      <c r="X41" s="9">
        <v>1816.2</v>
      </c>
      <c r="Y41" s="9">
        <v>1645.56</v>
      </c>
      <c r="Z41" s="9">
        <v>7367.59</v>
      </c>
      <c r="AA41" s="9">
        <v>1811.56</v>
      </c>
      <c r="AB41" s="9">
        <v>2013.41</v>
      </c>
      <c r="AC41" s="9">
        <v>1888.89</v>
      </c>
      <c r="AD41" s="9">
        <v>1721.59</v>
      </c>
      <c r="AE41" s="9">
        <v>7774.35</v>
      </c>
    </row>
    <row r="42" spans="1:31" x14ac:dyDescent="0.25">
      <c r="A42" s="4" t="s">
        <v>663</v>
      </c>
      <c r="B42" s="9">
        <v>4879</v>
      </c>
      <c r="C42" s="9">
        <v>5003</v>
      </c>
      <c r="D42" s="9">
        <v>4950</v>
      </c>
      <c r="E42" s="9">
        <v>2342</v>
      </c>
      <c r="F42" s="9">
        <v>17174</v>
      </c>
      <c r="G42" s="9">
        <v>5045</v>
      </c>
      <c r="H42" s="9">
        <v>3835</v>
      </c>
      <c r="I42" s="9">
        <v>5186.6400000000003</v>
      </c>
      <c r="J42" s="9">
        <v>4664.2700000000004</v>
      </c>
      <c r="K42" s="9">
        <v>18784.990000000002</v>
      </c>
      <c r="L42" s="9">
        <v>5334.85</v>
      </c>
      <c r="M42" s="9">
        <v>5311.09</v>
      </c>
      <c r="N42" s="9">
        <v>5477.76</v>
      </c>
      <c r="O42" s="9">
        <v>4912.63</v>
      </c>
      <c r="P42" s="9">
        <v>21182.71</v>
      </c>
      <c r="Q42" s="9">
        <v>5474.03</v>
      </c>
      <c r="R42" s="9">
        <v>5544.51</v>
      </c>
      <c r="S42" s="9">
        <v>5712.66</v>
      </c>
      <c r="T42" s="9">
        <v>5228.03</v>
      </c>
      <c r="U42" s="9">
        <v>22262.93</v>
      </c>
      <c r="V42" s="9">
        <v>5690.55</v>
      </c>
      <c r="W42" s="9">
        <v>5738.16</v>
      </c>
      <c r="X42" s="9">
        <v>5885.52</v>
      </c>
      <c r="Y42" s="9">
        <v>5424.31</v>
      </c>
      <c r="Z42" s="9">
        <v>23235.55</v>
      </c>
      <c r="AA42" s="9">
        <v>5840.05</v>
      </c>
      <c r="AB42" s="9">
        <v>5885.81</v>
      </c>
      <c r="AC42" s="9">
        <v>6030.83</v>
      </c>
      <c r="AD42" s="9">
        <v>5574.49</v>
      </c>
      <c r="AE42" s="9">
        <v>23891.15</v>
      </c>
    </row>
    <row r="43" spans="1:31" x14ac:dyDescent="0.25">
      <c r="A43" s="4" t="s">
        <v>665</v>
      </c>
      <c r="B43" s="9">
        <v>142</v>
      </c>
      <c r="C43" s="9">
        <v>143</v>
      </c>
      <c r="D43" s="9">
        <v>193</v>
      </c>
      <c r="E43" s="9">
        <v>2262</v>
      </c>
      <c r="F43" s="9">
        <v>2740</v>
      </c>
      <c r="G43" s="9">
        <v>331</v>
      </c>
      <c r="H43" s="9">
        <v>1591</v>
      </c>
      <c r="I43" s="9">
        <v>181.14</v>
      </c>
      <c r="J43" s="9">
        <v>315.45</v>
      </c>
      <c r="K43" s="9">
        <v>2139.8200000000002</v>
      </c>
      <c r="L43" s="9">
        <v>121.48</v>
      </c>
      <c r="M43" s="9">
        <v>228.58</v>
      </c>
      <c r="N43" s="9">
        <v>113.09</v>
      </c>
      <c r="O43" s="9">
        <v>187.32</v>
      </c>
      <c r="P43" s="9">
        <v>483.75</v>
      </c>
      <c r="Q43" s="9">
        <v>123.31</v>
      </c>
      <c r="R43" s="9">
        <v>133.43</v>
      </c>
      <c r="S43" s="9">
        <v>114.37</v>
      </c>
      <c r="T43" s="9">
        <v>108.02</v>
      </c>
      <c r="U43" s="9">
        <v>372.73</v>
      </c>
      <c r="V43" s="9">
        <v>126.73</v>
      </c>
      <c r="W43" s="9">
        <v>135.52000000000001</v>
      </c>
      <c r="X43" s="9">
        <v>118.87</v>
      </c>
      <c r="Y43" s="9">
        <v>115.35</v>
      </c>
      <c r="Z43" s="9">
        <v>384.52</v>
      </c>
      <c r="AA43" s="9">
        <v>119.24</v>
      </c>
      <c r="AB43" s="9">
        <v>128.81</v>
      </c>
      <c r="AC43" s="9">
        <v>110.6</v>
      </c>
      <c r="AD43" s="9">
        <v>110.42</v>
      </c>
      <c r="AE43" s="9">
        <v>353.74</v>
      </c>
    </row>
    <row r="44" spans="1:31" x14ac:dyDescent="0.25">
      <c r="A44" s="4" t="s">
        <v>664</v>
      </c>
      <c r="B44" s="9">
        <v>5021</v>
      </c>
      <c r="C44" s="9">
        <v>5146</v>
      </c>
      <c r="D44" s="9">
        <v>5143</v>
      </c>
      <c r="E44" s="9">
        <v>4604</v>
      </c>
      <c r="F44" s="9">
        <v>19914</v>
      </c>
      <c r="G44" s="9">
        <v>5376</v>
      </c>
      <c r="H44" s="9">
        <v>5426</v>
      </c>
      <c r="I44" s="9">
        <v>5316.48</v>
      </c>
      <c r="J44" s="9">
        <v>4851.76</v>
      </c>
      <c r="K44" s="9">
        <v>20971.14</v>
      </c>
      <c r="L44" s="9">
        <v>5414.05</v>
      </c>
      <c r="M44" s="9">
        <v>5452.76</v>
      </c>
      <c r="N44" s="9">
        <v>5552.06</v>
      </c>
      <c r="O44" s="9">
        <v>5030.2299999999996</v>
      </c>
      <c r="P44" s="9">
        <v>21553.11</v>
      </c>
      <c r="Q44" s="9">
        <v>5544.5</v>
      </c>
      <c r="R44" s="9">
        <v>5620.75</v>
      </c>
      <c r="S44" s="9">
        <v>5778.02</v>
      </c>
      <c r="T44" s="9">
        <v>5289.75</v>
      </c>
      <c r="U44" s="9">
        <v>22521.06</v>
      </c>
      <c r="V44" s="9">
        <v>5791.93</v>
      </c>
      <c r="W44" s="9">
        <v>5846.58</v>
      </c>
      <c r="X44" s="9">
        <v>5980.61</v>
      </c>
      <c r="Y44" s="9">
        <v>5516.59</v>
      </c>
      <c r="Z44" s="9">
        <v>23562.73</v>
      </c>
      <c r="AA44" s="9">
        <v>5935.44</v>
      </c>
      <c r="AB44" s="9">
        <v>5988.86</v>
      </c>
      <c r="AC44" s="9">
        <v>6119.31</v>
      </c>
      <c r="AD44" s="9">
        <v>5662.83</v>
      </c>
      <c r="AE44" s="9">
        <v>24193.279999999999</v>
      </c>
    </row>
    <row r="45" spans="1:31" x14ac:dyDescent="0.25">
      <c r="A45" s="4" t="s">
        <v>76</v>
      </c>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spans="1:31" x14ac:dyDescent="0.25">
      <c r="A46" s="4" t="s">
        <v>663</v>
      </c>
      <c r="B46" s="9">
        <v>4879</v>
      </c>
      <c r="C46" s="9">
        <v>5003</v>
      </c>
      <c r="D46" s="9">
        <v>4950</v>
      </c>
      <c r="E46" s="9">
        <v>2342</v>
      </c>
      <c r="F46" s="9">
        <v>17174</v>
      </c>
      <c r="G46" s="9">
        <v>5045</v>
      </c>
      <c r="H46" s="9">
        <v>3835</v>
      </c>
      <c r="I46" s="9">
        <v>5186.6400000000003</v>
      </c>
      <c r="J46" s="9">
        <v>4664.2700000000004</v>
      </c>
      <c r="K46" s="9">
        <v>18784.990000000002</v>
      </c>
      <c r="L46" s="9">
        <v>5334.85</v>
      </c>
      <c r="M46" s="9">
        <v>5311.09</v>
      </c>
      <c r="N46" s="9">
        <v>5477.76</v>
      </c>
      <c r="O46" s="9">
        <v>4912.63</v>
      </c>
      <c r="P46" s="9">
        <v>21182.71</v>
      </c>
      <c r="Q46" s="9">
        <v>5474.03</v>
      </c>
      <c r="R46" s="9">
        <v>5544.51</v>
      </c>
      <c r="S46" s="9">
        <v>5712.66</v>
      </c>
      <c r="T46" s="9">
        <v>5228.03</v>
      </c>
      <c r="U46" s="9">
        <v>22262.93</v>
      </c>
      <c r="V46" s="9">
        <v>5690.55</v>
      </c>
      <c r="W46" s="9">
        <v>5738.16</v>
      </c>
      <c r="X46" s="9">
        <v>5885.52</v>
      </c>
      <c r="Y46" s="9">
        <v>5424.31</v>
      </c>
      <c r="Z46" s="9">
        <v>23235.55</v>
      </c>
      <c r="AA46" s="9">
        <v>5840.05</v>
      </c>
      <c r="AB46" s="9">
        <v>5885.81</v>
      </c>
      <c r="AC46" s="9">
        <v>6030.83</v>
      </c>
      <c r="AD46" s="9">
        <v>5574.49</v>
      </c>
      <c r="AE46" s="9">
        <v>23891.15</v>
      </c>
    </row>
    <row r="47" spans="1:31" x14ac:dyDescent="0.25">
      <c r="A47" s="4" t="s">
        <v>662</v>
      </c>
      <c r="B47" s="9">
        <v>104</v>
      </c>
      <c r="C47" s="9">
        <v>118</v>
      </c>
      <c r="D47" s="9">
        <v>106</v>
      </c>
      <c r="E47" s="9">
        <v>106</v>
      </c>
      <c r="F47" s="9">
        <v>434</v>
      </c>
      <c r="G47" s="9">
        <v>101</v>
      </c>
      <c r="H47" s="9">
        <v>114</v>
      </c>
      <c r="I47" s="9">
        <v>110.39</v>
      </c>
      <c r="J47" s="9">
        <v>108.83</v>
      </c>
      <c r="K47" s="9">
        <v>434.65</v>
      </c>
      <c r="L47" s="9">
        <v>107.99</v>
      </c>
      <c r="M47" s="9">
        <v>115.11</v>
      </c>
      <c r="N47" s="9">
        <v>111.16</v>
      </c>
      <c r="O47" s="9">
        <v>108.79</v>
      </c>
      <c r="P47" s="9">
        <v>440.19</v>
      </c>
      <c r="Q47" s="9">
        <v>111.96</v>
      </c>
      <c r="R47" s="9">
        <v>118.87</v>
      </c>
      <c r="S47" s="9">
        <v>114.22</v>
      </c>
      <c r="T47" s="9">
        <v>111.57</v>
      </c>
      <c r="U47" s="9">
        <v>451.58</v>
      </c>
      <c r="V47" s="9">
        <v>117.6</v>
      </c>
      <c r="W47" s="9">
        <v>124.67</v>
      </c>
      <c r="X47" s="9">
        <v>119.82</v>
      </c>
      <c r="Y47" s="9">
        <v>114.88</v>
      </c>
      <c r="Z47" s="9">
        <v>461.24</v>
      </c>
      <c r="AA47" s="9">
        <v>119.34</v>
      </c>
      <c r="AB47" s="9">
        <v>126.66</v>
      </c>
      <c r="AC47" s="9">
        <v>121.65</v>
      </c>
      <c r="AD47" s="9">
        <v>116.53</v>
      </c>
      <c r="AE47" s="9">
        <v>466.25</v>
      </c>
    </row>
    <row r="48" spans="1:31" x14ac:dyDescent="0.25">
      <c r="A48" s="4" t="s">
        <v>661</v>
      </c>
      <c r="B48" s="9">
        <v>4983</v>
      </c>
      <c r="C48" s="9">
        <v>5121</v>
      </c>
      <c r="D48" s="9">
        <v>5056</v>
      </c>
      <c r="E48" s="9">
        <v>2448</v>
      </c>
      <c r="F48" s="9">
        <v>17608</v>
      </c>
      <c r="G48" s="9">
        <v>5146</v>
      </c>
      <c r="H48" s="9">
        <v>3949</v>
      </c>
      <c r="I48" s="9">
        <v>5308.34</v>
      </c>
      <c r="J48" s="9">
        <v>4750.49</v>
      </c>
      <c r="K48" s="9">
        <v>19212.91</v>
      </c>
      <c r="L48" s="9">
        <v>5450.93</v>
      </c>
      <c r="M48" s="9">
        <v>5401.39</v>
      </c>
      <c r="N48" s="9">
        <v>5588.91</v>
      </c>
      <c r="O48" s="9">
        <v>5021.42</v>
      </c>
      <c r="P48" s="9">
        <v>21521.72</v>
      </c>
      <c r="Q48" s="9">
        <v>5586</v>
      </c>
      <c r="R48" s="9">
        <v>5663.38</v>
      </c>
      <c r="S48" s="9">
        <v>5826.88</v>
      </c>
      <c r="T48" s="9">
        <v>5339.6</v>
      </c>
      <c r="U48" s="9">
        <v>22553.47</v>
      </c>
      <c r="V48" s="9">
        <v>5808.15</v>
      </c>
      <c r="W48" s="9">
        <v>5862.84</v>
      </c>
      <c r="X48" s="9">
        <v>6005.33</v>
      </c>
      <c r="Y48" s="9">
        <v>5539.18</v>
      </c>
      <c r="Z48" s="9">
        <v>23505.35</v>
      </c>
      <c r="AA48" s="9">
        <v>5959.39</v>
      </c>
      <c r="AB48" s="9">
        <v>6012.47</v>
      </c>
      <c r="AC48" s="9">
        <v>6152.48</v>
      </c>
      <c r="AD48" s="9">
        <v>5691.03</v>
      </c>
      <c r="AE48" s="9">
        <v>24025.65</v>
      </c>
    </row>
    <row r="49" spans="1:31" x14ac:dyDescent="0.25">
      <c r="A49" s="4" t="s">
        <v>76</v>
      </c>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row r="50" spans="1:31" x14ac:dyDescent="0.25">
      <c r="A50" s="4" t="s">
        <v>660</v>
      </c>
      <c r="B50" s="9">
        <v>1.1599999999999999</v>
      </c>
      <c r="C50" s="9">
        <v>1.18</v>
      </c>
      <c r="D50" s="9">
        <v>1.17</v>
      </c>
      <c r="E50" s="9">
        <v>0.55000000000000004</v>
      </c>
      <c r="F50" s="9">
        <v>4.0599999999999996</v>
      </c>
      <c r="G50" s="9">
        <v>1.2</v>
      </c>
      <c r="H50" s="9">
        <v>0.92</v>
      </c>
      <c r="I50" s="9">
        <v>1.24</v>
      </c>
      <c r="J50" s="9">
        <v>1.1200000000000001</v>
      </c>
      <c r="K50" s="9">
        <v>4.49</v>
      </c>
      <c r="L50" s="9">
        <v>1.29</v>
      </c>
      <c r="M50" s="9">
        <v>1.3</v>
      </c>
      <c r="N50" s="9">
        <v>1.35</v>
      </c>
      <c r="O50" s="9">
        <v>1.22</v>
      </c>
      <c r="P50" s="9">
        <v>5.17</v>
      </c>
      <c r="Q50" s="9">
        <v>1.39</v>
      </c>
      <c r="R50" s="9">
        <v>1.43</v>
      </c>
      <c r="S50" s="9">
        <v>1.49</v>
      </c>
      <c r="T50" s="9">
        <v>1.38</v>
      </c>
      <c r="U50" s="9">
        <v>5.68</v>
      </c>
      <c r="V50" s="9">
        <v>1.51</v>
      </c>
      <c r="W50" s="9">
        <v>1.54</v>
      </c>
      <c r="X50" s="9">
        <v>1.6</v>
      </c>
      <c r="Y50" s="9">
        <v>1.49</v>
      </c>
      <c r="Z50" s="9">
        <v>6.15</v>
      </c>
      <c r="AA50" s="9">
        <v>1.63</v>
      </c>
      <c r="AB50" s="9">
        <v>1.66</v>
      </c>
      <c r="AC50" s="9">
        <v>1.72</v>
      </c>
      <c r="AD50" s="9">
        <v>1.61</v>
      </c>
      <c r="AE50" s="9">
        <v>6.6</v>
      </c>
    </row>
    <row r="51" spans="1:31" x14ac:dyDescent="0.25">
      <c r="A51" s="4" t="s">
        <v>659</v>
      </c>
      <c r="B51" s="9">
        <v>1.1499999999999999</v>
      </c>
      <c r="C51" s="9">
        <v>1.18</v>
      </c>
      <c r="D51" s="9">
        <v>1.17</v>
      </c>
      <c r="E51" s="9">
        <v>0.55000000000000004</v>
      </c>
      <c r="F51" s="9">
        <v>4.0599999999999996</v>
      </c>
      <c r="G51" s="9">
        <v>1.2</v>
      </c>
      <c r="H51" s="9">
        <v>0.92</v>
      </c>
      <c r="I51" s="9">
        <v>1.24</v>
      </c>
      <c r="J51" s="9">
        <v>1.1200000000000001</v>
      </c>
      <c r="K51" s="9">
        <v>4.51</v>
      </c>
      <c r="L51" s="9">
        <v>1.3</v>
      </c>
      <c r="M51" s="9">
        <v>1.3</v>
      </c>
      <c r="N51" s="9">
        <v>1.35</v>
      </c>
      <c r="O51" s="9">
        <v>1.23</v>
      </c>
      <c r="P51" s="9">
        <v>5.19</v>
      </c>
      <c r="Q51" s="9">
        <v>1.39</v>
      </c>
      <c r="R51" s="9">
        <v>1.43</v>
      </c>
      <c r="S51" s="9">
        <v>1.49</v>
      </c>
      <c r="T51" s="9">
        <v>1.38</v>
      </c>
      <c r="U51" s="9">
        <v>5.7</v>
      </c>
      <c r="V51" s="9">
        <v>1.51</v>
      </c>
      <c r="W51" s="9">
        <v>1.54</v>
      </c>
      <c r="X51" s="9">
        <v>1.6</v>
      </c>
      <c r="Y51" s="9">
        <v>1.49</v>
      </c>
      <c r="Z51" s="9">
        <v>6.16</v>
      </c>
      <c r="AA51" s="9">
        <v>1.63</v>
      </c>
      <c r="AB51" s="9">
        <v>1.66</v>
      </c>
      <c r="AC51" s="9">
        <v>1.72</v>
      </c>
      <c r="AD51" s="9">
        <v>1.61</v>
      </c>
      <c r="AE51" s="9">
        <v>6.6</v>
      </c>
    </row>
    <row r="52" spans="1:31" x14ac:dyDescent="0.25">
      <c r="A52" s="4" t="s">
        <v>658</v>
      </c>
      <c r="B52" s="9">
        <v>1.19</v>
      </c>
      <c r="C52" s="9">
        <v>1.22</v>
      </c>
      <c r="D52" s="9">
        <v>1.21</v>
      </c>
      <c r="E52" s="9">
        <v>1.0900000000000001</v>
      </c>
      <c r="F52" s="9">
        <v>4.71</v>
      </c>
      <c r="G52" s="9">
        <v>1.28</v>
      </c>
      <c r="H52" s="9">
        <v>1.3</v>
      </c>
      <c r="I52" s="9">
        <v>1.27</v>
      </c>
      <c r="J52" s="9">
        <v>1.17</v>
      </c>
      <c r="K52" s="9">
        <v>5.0199999999999996</v>
      </c>
      <c r="L52" s="9">
        <v>1.32</v>
      </c>
      <c r="M52" s="9">
        <v>1.34</v>
      </c>
      <c r="N52" s="9">
        <v>1.38</v>
      </c>
      <c r="O52" s="9">
        <v>1.26</v>
      </c>
      <c r="P52" s="9">
        <v>5.29</v>
      </c>
      <c r="Q52" s="9">
        <v>1.41</v>
      </c>
      <c r="R52" s="9">
        <v>1.44</v>
      </c>
      <c r="S52" s="9">
        <v>1.5</v>
      </c>
      <c r="T52" s="9">
        <v>1.39</v>
      </c>
      <c r="U52" s="9">
        <v>5.75</v>
      </c>
      <c r="V52" s="9">
        <v>1.54</v>
      </c>
      <c r="W52" s="9">
        <v>1.57</v>
      </c>
      <c r="X52" s="9">
        <v>1.63</v>
      </c>
      <c r="Y52" s="9">
        <v>1.52</v>
      </c>
      <c r="Z52" s="9">
        <v>6.23</v>
      </c>
      <c r="AA52" s="9">
        <v>1.65</v>
      </c>
      <c r="AB52" s="9">
        <v>1.69</v>
      </c>
      <c r="AC52" s="9">
        <v>1.74</v>
      </c>
      <c r="AD52" s="9">
        <v>1.63</v>
      </c>
      <c r="AE52" s="9">
        <v>6.67</v>
      </c>
    </row>
    <row r="53" spans="1:31" x14ac:dyDescent="0.25">
      <c r="A53" s="4" t="s">
        <v>657</v>
      </c>
      <c r="B53" s="9">
        <v>4222</v>
      </c>
      <c r="C53" s="9">
        <v>4224</v>
      </c>
      <c r="D53" s="9">
        <v>4228</v>
      </c>
      <c r="E53" s="9">
        <v>4230</v>
      </c>
      <c r="F53" s="9">
        <v>4226</v>
      </c>
      <c r="G53" s="9">
        <v>4205</v>
      </c>
      <c r="H53" s="9">
        <v>4168</v>
      </c>
      <c r="I53" s="9">
        <v>4168.72</v>
      </c>
      <c r="J53" s="9">
        <v>4159.6000000000004</v>
      </c>
      <c r="K53" s="9">
        <v>4177.74</v>
      </c>
      <c r="L53" s="9">
        <v>4121.54</v>
      </c>
      <c r="M53" s="9">
        <v>4086.74</v>
      </c>
      <c r="N53" s="9">
        <v>4051.19</v>
      </c>
      <c r="O53" s="9">
        <v>4015.19</v>
      </c>
      <c r="P53" s="9">
        <v>4079.4</v>
      </c>
      <c r="Q53" s="9">
        <v>3941.07</v>
      </c>
      <c r="R53" s="9">
        <v>3891.97</v>
      </c>
      <c r="S53" s="9">
        <v>3841.7</v>
      </c>
      <c r="T53" s="9">
        <v>3790.91</v>
      </c>
      <c r="U53" s="9">
        <v>3905.23</v>
      </c>
      <c r="V53" s="9">
        <v>3770.63</v>
      </c>
      <c r="W53" s="9">
        <v>3725.68</v>
      </c>
      <c r="X53" s="9">
        <v>3680.53</v>
      </c>
      <c r="Y53" s="9">
        <v>3636.08</v>
      </c>
      <c r="Z53" s="9">
        <v>3754.41</v>
      </c>
      <c r="AA53" s="9">
        <v>3593.6</v>
      </c>
      <c r="AB53" s="9">
        <v>3552.17</v>
      </c>
      <c r="AC53" s="9">
        <v>3510.47</v>
      </c>
      <c r="AD53" s="9">
        <v>3469.4</v>
      </c>
      <c r="AE53" s="9">
        <v>3592.9</v>
      </c>
    </row>
    <row r="54" spans="1:31" x14ac:dyDescent="0.25">
      <c r="A54" s="4" t="s">
        <v>656</v>
      </c>
      <c r="B54" s="9">
        <v>4226</v>
      </c>
      <c r="C54" s="9">
        <v>4228</v>
      </c>
      <c r="D54" s="9">
        <v>4233</v>
      </c>
      <c r="E54" s="9">
        <v>4236</v>
      </c>
      <c r="F54" s="9">
        <v>4230.75</v>
      </c>
      <c r="G54" s="9">
        <v>4210</v>
      </c>
      <c r="H54" s="9">
        <v>4171</v>
      </c>
      <c r="I54" s="9">
        <v>4169.96</v>
      </c>
      <c r="J54" s="9">
        <v>4161.17</v>
      </c>
      <c r="K54" s="9">
        <v>4178.83</v>
      </c>
      <c r="L54" s="9">
        <v>4120.38</v>
      </c>
      <c r="M54" s="9">
        <v>4082.05</v>
      </c>
      <c r="N54" s="9">
        <v>4044.85</v>
      </c>
      <c r="O54" s="9">
        <v>4007.31</v>
      </c>
      <c r="P54" s="9">
        <v>4077.58</v>
      </c>
      <c r="Q54" s="9">
        <v>3943.8</v>
      </c>
      <c r="R54" s="9">
        <v>3894.7</v>
      </c>
      <c r="S54" s="9">
        <v>3844.41</v>
      </c>
      <c r="T54" s="9">
        <v>3793.61</v>
      </c>
      <c r="U54" s="9">
        <v>3905.36</v>
      </c>
      <c r="V54" s="9">
        <v>3773.61</v>
      </c>
      <c r="W54" s="9">
        <v>3728.64</v>
      </c>
      <c r="X54" s="9">
        <v>3683.48</v>
      </c>
      <c r="Y54" s="9">
        <v>3639.01</v>
      </c>
      <c r="Z54" s="9">
        <v>3770</v>
      </c>
      <c r="AA54" s="9">
        <v>3596.52</v>
      </c>
      <c r="AB54" s="9">
        <v>3555.07</v>
      </c>
      <c r="AC54" s="9">
        <v>3513.36</v>
      </c>
      <c r="AD54" s="9">
        <v>3472.28</v>
      </c>
      <c r="AE54" s="9">
        <v>3621.77</v>
      </c>
    </row>
    <row r="55" spans="1:31" x14ac:dyDescent="0.25">
      <c r="A55" s="4" t="s">
        <v>655</v>
      </c>
      <c r="B55" s="9">
        <v>0.68</v>
      </c>
      <c r="C55" s="9">
        <v>0.68</v>
      </c>
      <c r="D55" s="9">
        <v>0.69</v>
      </c>
      <c r="E55" s="9">
        <v>0.69</v>
      </c>
      <c r="F55" s="9">
        <v>2.73</v>
      </c>
      <c r="G55" s="9">
        <v>0.71</v>
      </c>
      <c r="H55" s="9">
        <v>0.71</v>
      </c>
      <c r="I55" s="9">
        <v>0.71</v>
      </c>
      <c r="J55" s="9">
        <v>0.71</v>
      </c>
      <c r="K55" s="9">
        <v>2.82</v>
      </c>
      <c r="L55" s="9">
        <v>0.72</v>
      </c>
      <c r="M55" s="9">
        <v>0.72</v>
      </c>
      <c r="N55" s="9">
        <v>0.72</v>
      </c>
      <c r="O55" s="9">
        <v>0.72</v>
      </c>
      <c r="P55" s="9">
        <v>2.88</v>
      </c>
      <c r="Q55" s="9">
        <v>0.73</v>
      </c>
      <c r="R55" s="9">
        <v>0.74</v>
      </c>
      <c r="S55" s="9">
        <v>0.74</v>
      </c>
      <c r="T55" s="9">
        <v>0.74</v>
      </c>
      <c r="U55" s="9">
        <v>2.93</v>
      </c>
      <c r="V55" s="9">
        <v>0.75</v>
      </c>
      <c r="W55" s="9">
        <v>0.75</v>
      </c>
      <c r="X55" s="9">
        <v>0.76</v>
      </c>
      <c r="Y55" s="9">
        <v>0.76</v>
      </c>
      <c r="Z55" s="9">
        <v>2.98</v>
      </c>
      <c r="AA55" s="9">
        <v>0.77</v>
      </c>
      <c r="AB55" s="9">
        <v>0.77</v>
      </c>
      <c r="AC55" s="9">
        <v>0.77</v>
      </c>
      <c r="AD55" s="9">
        <v>0.77</v>
      </c>
      <c r="AE55" s="9">
        <v>3.04</v>
      </c>
    </row>
  </sheetData>
  <mergeCells count="1">
    <mergeCell ref="A1:D1"/>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800B5-30D8-4DE8-998B-832B059B30A7}">
  <dimension ref="A1:AE91"/>
  <sheetViews>
    <sheetView workbookViewId="0">
      <selection activeCell="I24" sqref="I24"/>
    </sheetView>
  </sheetViews>
  <sheetFormatPr defaultRowHeight="15" x14ac:dyDescent="0.25"/>
  <cols>
    <col min="1" max="1" width="48.5703125" customWidth="1"/>
    <col min="2" max="5" width="18.42578125" customWidth="1"/>
    <col min="6" max="6" width="20.5703125" customWidth="1"/>
    <col min="7" max="8" width="18.42578125" customWidth="1"/>
    <col min="9" max="10" width="18" customWidth="1"/>
    <col min="11" max="11" width="17.5703125" customWidth="1"/>
    <col min="12" max="15" width="18" customWidth="1"/>
    <col min="16" max="16" width="17.5703125" customWidth="1"/>
    <col min="17" max="20" width="18" customWidth="1"/>
    <col min="21" max="21" width="17.5703125" customWidth="1"/>
    <col min="22" max="25" width="18" customWidth="1"/>
    <col min="26" max="26" width="17.5703125" customWidth="1"/>
    <col min="27" max="30" width="18" customWidth="1"/>
    <col min="31" max="31" width="17.5703125" customWidth="1"/>
  </cols>
  <sheetData>
    <row r="1" spans="1:31" ht="39.950000000000003" customHeight="1" x14ac:dyDescent="0.25">
      <c r="A1" s="40"/>
      <c r="B1" s="40"/>
      <c r="C1" s="40"/>
      <c r="D1" s="40"/>
    </row>
    <row r="2" spans="1:31" ht="30" customHeight="1" x14ac:dyDescent="0.3">
      <c r="A2" s="1" t="s">
        <v>654</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19</v>
      </c>
      <c r="C15" s="7">
        <v>19</v>
      </c>
      <c r="D15" s="7">
        <v>19</v>
      </c>
      <c r="E15" s="7">
        <v>19</v>
      </c>
      <c r="F15" s="7">
        <v>20</v>
      </c>
      <c r="G15" s="7">
        <v>20</v>
      </c>
      <c r="H15" s="7">
        <v>20</v>
      </c>
      <c r="I15" s="8" t="s">
        <v>40</v>
      </c>
      <c r="J15" s="8" t="s">
        <v>40</v>
      </c>
      <c r="K15" s="8" t="s">
        <v>40</v>
      </c>
      <c r="L15" s="8" t="s">
        <v>41</v>
      </c>
      <c r="M15" s="8" t="s">
        <v>41</v>
      </c>
      <c r="N15" s="8" t="s">
        <v>42</v>
      </c>
      <c r="O15" s="8" t="s">
        <v>42</v>
      </c>
      <c r="P15" s="8" t="s">
        <v>40</v>
      </c>
      <c r="Q15" s="8" t="s">
        <v>43</v>
      </c>
      <c r="R15" s="8" t="s">
        <v>43</v>
      </c>
      <c r="S15" s="8" t="s">
        <v>43</v>
      </c>
      <c r="T15" s="8" t="s">
        <v>43</v>
      </c>
      <c r="U15" s="8" t="s">
        <v>44</v>
      </c>
      <c r="V15" s="8" t="s">
        <v>45</v>
      </c>
      <c r="W15" s="8" t="s">
        <v>45</v>
      </c>
      <c r="X15" s="8" t="s">
        <v>45</v>
      </c>
      <c r="Y15" s="8" t="s">
        <v>45</v>
      </c>
      <c r="Z15" s="8" t="s">
        <v>46</v>
      </c>
      <c r="AA15" s="8" t="s">
        <v>45</v>
      </c>
      <c r="AB15" s="8" t="s">
        <v>45</v>
      </c>
      <c r="AC15" s="8" t="s">
        <v>45</v>
      </c>
      <c r="AD15" s="8" t="s">
        <v>45</v>
      </c>
      <c r="AE15" s="8" t="s">
        <v>46</v>
      </c>
    </row>
    <row r="16" spans="1:31" x14ac:dyDescent="0.25">
      <c r="A16" s="4" t="s">
        <v>653</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25">
      <c r="A17" s="3" t="s">
        <v>652</v>
      </c>
      <c r="B17" s="9">
        <v>18801</v>
      </c>
      <c r="C17" s="9">
        <v>19002</v>
      </c>
      <c r="D17" s="9">
        <v>19096</v>
      </c>
      <c r="E17" s="9">
        <v>19024</v>
      </c>
      <c r="F17" s="9">
        <v>75923</v>
      </c>
      <c r="G17" s="9">
        <v>19180</v>
      </c>
      <c r="H17" s="9">
        <v>19637</v>
      </c>
      <c r="I17" s="9">
        <v>19772.169999999998</v>
      </c>
      <c r="J17" s="9">
        <v>19892.47</v>
      </c>
      <c r="K17" s="9">
        <v>78481.64</v>
      </c>
      <c r="L17" s="9">
        <v>19811.36</v>
      </c>
      <c r="M17" s="9">
        <v>20060.919999999998</v>
      </c>
      <c r="N17" s="9">
        <v>20205.41</v>
      </c>
      <c r="O17" s="9">
        <v>20384.12</v>
      </c>
      <c r="P17" s="9">
        <v>80428.37</v>
      </c>
      <c r="Q17" s="9">
        <v>20314.57</v>
      </c>
      <c r="R17" s="9">
        <v>20384.599999999999</v>
      </c>
      <c r="S17" s="9">
        <v>20600.29</v>
      </c>
      <c r="T17" s="9">
        <v>20782.71</v>
      </c>
      <c r="U17" s="9">
        <v>82264.66</v>
      </c>
      <c r="V17" s="9">
        <v>20736.490000000002</v>
      </c>
      <c r="W17" s="9">
        <v>20805.2</v>
      </c>
      <c r="X17" s="9">
        <v>21021.81</v>
      </c>
      <c r="Y17" s="9">
        <v>21198.39</v>
      </c>
      <c r="Z17" s="9">
        <v>84629.72</v>
      </c>
      <c r="AA17" s="9">
        <v>21128.11</v>
      </c>
      <c r="AB17" s="9">
        <v>21193.1</v>
      </c>
      <c r="AC17" s="9">
        <v>21410.57</v>
      </c>
      <c r="AD17" s="9">
        <v>21582.48</v>
      </c>
      <c r="AE17" s="9">
        <v>86156.61</v>
      </c>
    </row>
    <row r="18" spans="1:31" x14ac:dyDescent="0.25">
      <c r="A18" s="3" t="s">
        <v>651</v>
      </c>
      <c r="B18" s="9">
        <v>4532</v>
      </c>
      <c r="C18" s="9">
        <v>5369</v>
      </c>
      <c r="D18" s="9">
        <v>4766</v>
      </c>
      <c r="E18" s="9">
        <v>7112</v>
      </c>
      <c r="F18" s="9">
        <v>21779</v>
      </c>
      <c r="G18" s="9">
        <v>4824</v>
      </c>
      <c r="H18" s="9">
        <v>4178</v>
      </c>
      <c r="I18" s="9">
        <v>4702.67</v>
      </c>
      <c r="J18" s="9">
        <v>6850.42</v>
      </c>
      <c r="K18" s="9">
        <v>20555.080000000002</v>
      </c>
      <c r="L18" s="9">
        <v>5022.6099999999997</v>
      </c>
      <c r="M18" s="9">
        <v>4478.76</v>
      </c>
      <c r="N18" s="9">
        <v>4764.71</v>
      </c>
      <c r="O18" s="9">
        <v>6950.22</v>
      </c>
      <c r="P18" s="9">
        <v>21192.17</v>
      </c>
      <c r="Q18" s="9">
        <v>5200.2</v>
      </c>
      <c r="R18" s="9">
        <v>4637.88</v>
      </c>
      <c r="S18" s="9">
        <v>4750.49</v>
      </c>
      <c r="T18" s="9">
        <v>6943.42</v>
      </c>
      <c r="U18" s="9">
        <v>21558.91</v>
      </c>
      <c r="V18" s="9">
        <v>5275.6</v>
      </c>
      <c r="W18" s="9">
        <v>4711.3100000000004</v>
      </c>
      <c r="X18" s="9">
        <v>4826.76</v>
      </c>
      <c r="Y18" s="9">
        <v>7051.47</v>
      </c>
      <c r="Z18" s="9">
        <v>21905.919999999998</v>
      </c>
      <c r="AA18" s="9">
        <v>5365.12</v>
      </c>
      <c r="AB18" s="9">
        <v>4791.66</v>
      </c>
      <c r="AC18" s="9">
        <v>4907.12</v>
      </c>
      <c r="AD18" s="9">
        <v>7169.39</v>
      </c>
      <c r="AE18" s="9">
        <v>22317.360000000001</v>
      </c>
    </row>
    <row r="19" spans="1:31" x14ac:dyDescent="0.25">
      <c r="A19" s="3" t="s">
        <v>650</v>
      </c>
      <c r="B19" s="9">
        <v>2285</v>
      </c>
      <c r="C19" s="9">
        <v>2277</v>
      </c>
      <c r="D19" s="9">
        <v>2243</v>
      </c>
      <c r="E19" s="9">
        <v>2300</v>
      </c>
      <c r="F19" s="9">
        <v>9105</v>
      </c>
      <c r="G19" s="9">
        <v>2449</v>
      </c>
      <c r="H19" s="9">
        <v>2427</v>
      </c>
      <c r="I19" s="9">
        <v>2367.38</v>
      </c>
      <c r="J19" s="9">
        <v>2423.71</v>
      </c>
      <c r="K19" s="9">
        <v>9667.09</v>
      </c>
      <c r="L19" s="9">
        <v>2396.4499999999998</v>
      </c>
      <c r="M19" s="9">
        <v>2509.83</v>
      </c>
      <c r="N19" s="9">
        <v>2350.69</v>
      </c>
      <c r="O19" s="9">
        <v>2428.81</v>
      </c>
      <c r="P19" s="9">
        <v>9626.98</v>
      </c>
      <c r="Q19" s="9">
        <v>2356.92</v>
      </c>
      <c r="R19" s="9">
        <v>2327.0100000000002</v>
      </c>
      <c r="S19" s="9">
        <v>2276.1999999999998</v>
      </c>
      <c r="T19" s="9">
        <v>2311.13</v>
      </c>
      <c r="U19" s="9">
        <v>9531.25</v>
      </c>
      <c r="V19" s="9">
        <v>2300.54</v>
      </c>
      <c r="W19" s="9">
        <v>2277.5700000000002</v>
      </c>
      <c r="X19" s="9">
        <v>2226.4</v>
      </c>
      <c r="Y19" s="9">
        <v>2263.09</v>
      </c>
      <c r="Z19" s="9">
        <v>9472.41</v>
      </c>
      <c r="AA19" s="9">
        <v>2245.59</v>
      </c>
      <c r="AB19" s="9">
        <v>2227.58</v>
      </c>
      <c r="AC19" s="9">
        <v>2177.7800000000002</v>
      </c>
      <c r="AD19" s="9">
        <v>2217.77</v>
      </c>
      <c r="AE19" s="9">
        <v>9435.7900000000009</v>
      </c>
    </row>
    <row r="20" spans="1:31" x14ac:dyDescent="0.25">
      <c r="A20" s="4" t="s">
        <v>649</v>
      </c>
      <c r="B20" s="9">
        <v>25618</v>
      </c>
      <c r="C20" s="9">
        <v>26648</v>
      </c>
      <c r="D20" s="9">
        <v>26105</v>
      </c>
      <c r="E20" s="9">
        <v>28436</v>
      </c>
      <c r="F20" s="9">
        <v>106807</v>
      </c>
      <c r="G20" s="9">
        <v>26453</v>
      </c>
      <c r="H20" s="9">
        <v>26242</v>
      </c>
      <c r="I20" s="9">
        <v>26901.66</v>
      </c>
      <c r="J20" s="9">
        <v>29297.33</v>
      </c>
      <c r="K20" s="9">
        <v>109199.99</v>
      </c>
      <c r="L20" s="9">
        <v>27260.45</v>
      </c>
      <c r="M20" s="9">
        <v>27452.45</v>
      </c>
      <c r="N20" s="9">
        <v>27365.61</v>
      </c>
      <c r="O20" s="9">
        <v>29899.88</v>
      </c>
      <c r="P20" s="9">
        <v>111777.76</v>
      </c>
      <c r="Q20" s="9">
        <v>27859.95</v>
      </c>
      <c r="R20" s="9">
        <v>28078.080000000002</v>
      </c>
      <c r="S20" s="9">
        <v>27814.54</v>
      </c>
      <c r="T20" s="9">
        <v>30452.560000000001</v>
      </c>
      <c r="U20" s="9">
        <v>113914.48</v>
      </c>
      <c r="V20" s="9">
        <v>28134.02</v>
      </c>
      <c r="W20" s="9">
        <v>27892.22</v>
      </c>
      <c r="X20" s="9">
        <v>27893.33</v>
      </c>
      <c r="Y20" s="9">
        <v>30291.06</v>
      </c>
      <c r="Z20" s="9">
        <v>115768.21</v>
      </c>
      <c r="AA20" s="9">
        <v>28473.62</v>
      </c>
      <c r="AB20" s="9">
        <v>28254.1</v>
      </c>
      <c r="AC20" s="9">
        <v>28220.46</v>
      </c>
      <c r="AD20" s="9">
        <v>30652.32</v>
      </c>
      <c r="AE20" s="9">
        <v>117513.61</v>
      </c>
    </row>
    <row r="21" spans="1:31" x14ac:dyDescent="0.25">
      <c r="A21" s="3" t="s">
        <v>648</v>
      </c>
      <c r="B21" s="9">
        <v>3717</v>
      </c>
      <c r="C21" s="9">
        <v>3733</v>
      </c>
      <c r="D21" s="9">
        <v>3743</v>
      </c>
      <c r="E21" s="9">
        <v>3747</v>
      </c>
      <c r="F21" s="9">
        <v>14940</v>
      </c>
      <c r="G21" s="9">
        <v>3688</v>
      </c>
      <c r="H21" s="9">
        <v>3728</v>
      </c>
      <c r="I21" s="9">
        <v>3774.46</v>
      </c>
      <c r="J21" s="9">
        <v>3770.83</v>
      </c>
      <c r="K21" s="9">
        <v>14961.29</v>
      </c>
      <c r="L21" s="9">
        <v>3733.38</v>
      </c>
      <c r="M21" s="9">
        <v>3724.54</v>
      </c>
      <c r="N21" s="9">
        <v>3786.06</v>
      </c>
      <c r="O21" s="9">
        <v>3825.12</v>
      </c>
      <c r="P21" s="9">
        <v>15118.9</v>
      </c>
      <c r="Q21" s="9">
        <v>3774.25</v>
      </c>
      <c r="R21" s="9">
        <v>3695.16</v>
      </c>
      <c r="S21" s="9">
        <v>3744.27</v>
      </c>
      <c r="T21" s="9">
        <v>3801.58</v>
      </c>
      <c r="U21" s="9">
        <v>15271.95</v>
      </c>
      <c r="V21" s="9">
        <v>3817.21</v>
      </c>
      <c r="W21" s="9">
        <v>3716.71</v>
      </c>
      <c r="X21" s="9">
        <v>3763.66</v>
      </c>
      <c r="Y21" s="9">
        <v>3826.73</v>
      </c>
      <c r="Z21" s="9">
        <v>15478.85</v>
      </c>
      <c r="AA21" s="9">
        <v>3855.36</v>
      </c>
      <c r="AB21" s="9">
        <v>3735.67</v>
      </c>
      <c r="AC21" s="9">
        <v>3781.37</v>
      </c>
      <c r="AD21" s="9">
        <v>3850.15</v>
      </c>
      <c r="AE21" s="9">
        <v>15658.96</v>
      </c>
    </row>
    <row r="22" spans="1:31" x14ac:dyDescent="0.25">
      <c r="A22" s="3" t="s">
        <v>647</v>
      </c>
      <c r="B22" s="9">
        <v>866</v>
      </c>
      <c r="C22" s="9">
        <v>886</v>
      </c>
      <c r="D22" s="9">
        <v>853</v>
      </c>
      <c r="E22" s="9">
        <v>1087</v>
      </c>
      <c r="F22" s="9">
        <v>3692</v>
      </c>
      <c r="G22" s="9">
        <v>857</v>
      </c>
      <c r="H22" s="9">
        <v>846</v>
      </c>
      <c r="I22" s="9">
        <v>857.09</v>
      </c>
      <c r="J22" s="9">
        <v>1129.68</v>
      </c>
      <c r="K22" s="9">
        <v>3689.77</v>
      </c>
      <c r="L22" s="9">
        <v>906.08</v>
      </c>
      <c r="M22" s="9">
        <v>862.47</v>
      </c>
      <c r="N22" s="9">
        <v>864.69</v>
      </c>
      <c r="O22" s="9">
        <v>1141.51</v>
      </c>
      <c r="P22" s="9">
        <v>3806.25</v>
      </c>
      <c r="Q22" s="9">
        <v>947.72</v>
      </c>
      <c r="R22" s="9">
        <v>903.37</v>
      </c>
      <c r="S22" s="9">
        <v>886.29</v>
      </c>
      <c r="T22" s="9">
        <v>1174.3900000000001</v>
      </c>
      <c r="U22" s="9">
        <v>3976.44</v>
      </c>
      <c r="V22" s="9">
        <v>963.62</v>
      </c>
      <c r="W22" s="9">
        <v>918.62</v>
      </c>
      <c r="X22" s="9">
        <v>902.29</v>
      </c>
      <c r="Y22" s="9">
        <v>1194.92</v>
      </c>
      <c r="Z22" s="9">
        <v>3983.11</v>
      </c>
      <c r="AA22" s="9">
        <v>982.32</v>
      </c>
      <c r="AB22" s="9">
        <v>935.47</v>
      </c>
      <c r="AC22" s="9">
        <v>919.26</v>
      </c>
      <c r="AD22" s="9">
        <v>1217.3499999999999</v>
      </c>
      <c r="AE22" s="9">
        <v>4049.76</v>
      </c>
    </row>
    <row r="23" spans="1:31" x14ac:dyDescent="0.25">
      <c r="A23" s="3" t="s">
        <v>646</v>
      </c>
      <c r="B23" s="9">
        <v>2419</v>
      </c>
      <c r="C23" s="9">
        <v>2354</v>
      </c>
      <c r="D23" s="9">
        <v>2247</v>
      </c>
      <c r="E23" s="9">
        <v>2243</v>
      </c>
      <c r="F23" s="9">
        <v>9263</v>
      </c>
      <c r="G23" s="9">
        <v>2585</v>
      </c>
      <c r="H23" s="9">
        <v>2581</v>
      </c>
      <c r="I23" s="9">
        <v>2616.77</v>
      </c>
      <c r="J23" s="9">
        <v>2595.61</v>
      </c>
      <c r="K23" s="9">
        <v>10475.49</v>
      </c>
      <c r="L23" s="9">
        <v>2662.78</v>
      </c>
      <c r="M23" s="9">
        <v>2633.98</v>
      </c>
      <c r="N23" s="9">
        <v>2521.5300000000002</v>
      </c>
      <c r="O23" s="9">
        <v>2536.6</v>
      </c>
      <c r="P23" s="9">
        <v>10369.27</v>
      </c>
      <c r="Q23" s="9">
        <v>2505.48</v>
      </c>
      <c r="R23" s="9">
        <v>2487.61</v>
      </c>
      <c r="S23" s="9">
        <v>2396.96</v>
      </c>
      <c r="T23" s="9">
        <v>2412.27</v>
      </c>
      <c r="U23" s="9">
        <v>9974.5499999999993</v>
      </c>
      <c r="V23" s="9">
        <v>2387.3200000000002</v>
      </c>
      <c r="W23" s="9">
        <v>2357.29</v>
      </c>
      <c r="X23" s="9">
        <v>2272.11</v>
      </c>
      <c r="Y23" s="9">
        <v>2285.25</v>
      </c>
      <c r="Z23" s="9">
        <v>9543.19</v>
      </c>
      <c r="AA23" s="9">
        <v>2283.2600000000002</v>
      </c>
      <c r="AB23" s="9">
        <v>2241.9499999999998</v>
      </c>
      <c r="AC23" s="9">
        <v>2161.63</v>
      </c>
      <c r="AD23" s="9">
        <v>2172.83</v>
      </c>
      <c r="AE23" s="9">
        <v>9234.42</v>
      </c>
    </row>
    <row r="24" spans="1:31" x14ac:dyDescent="0.25">
      <c r="A24" s="4" t="s">
        <v>645</v>
      </c>
      <c r="B24" s="9">
        <v>7002</v>
      </c>
      <c r="C24" s="9">
        <v>6973</v>
      </c>
      <c r="D24" s="9">
        <v>6843</v>
      </c>
      <c r="E24" s="9">
        <v>7077</v>
      </c>
      <c r="F24" s="9">
        <v>29069</v>
      </c>
      <c r="G24" s="9">
        <v>7130</v>
      </c>
      <c r="H24" s="9">
        <v>7155</v>
      </c>
      <c r="I24" s="9">
        <v>7259.08</v>
      </c>
      <c r="J24" s="9">
        <v>7509.81</v>
      </c>
      <c r="K24" s="9">
        <v>29256.560000000001</v>
      </c>
      <c r="L24" s="9">
        <v>7337.87</v>
      </c>
      <c r="M24" s="9">
        <v>7238.86</v>
      </c>
      <c r="N24" s="9">
        <v>7168.08</v>
      </c>
      <c r="O24" s="9">
        <v>7482.67</v>
      </c>
      <c r="P24" s="9">
        <v>29322.39</v>
      </c>
      <c r="Q24" s="9">
        <v>7289.21</v>
      </c>
      <c r="R24" s="9">
        <v>7154.03</v>
      </c>
      <c r="S24" s="9">
        <v>7057.54</v>
      </c>
      <c r="T24" s="9">
        <v>7393.92</v>
      </c>
      <c r="U24" s="9">
        <v>29344.89</v>
      </c>
      <c r="V24" s="9">
        <v>7152.35</v>
      </c>
      <c r="W24" s="9">
        <v>6909.13</v>
      </c>
      <c r="X24" s="9">
        <v>6849.87</v>
      </c>
      <c r="Y24" s="9">
        <v>7184.08</v>
      </c>
      <c r="Z24" s="9">
        <v>29078.38</v>
      </c>
      <c r="AA24" s="9">
        <v>7042.65</v>
      </c>
      <c r="AB24" s="9">
        <v>6776.71</v>
      </c>
      <c r="AC24" s="9">
        <v>6723.68</v>
      </c>
      <c r="AD24" s="9">
        <v>7065.25</v>
      </c>
      <c r="AE24" s="9">
        <v>28938.32</v>
      </c>
    </row>
    <row r="25" spans="1:31" x14ac:dyDescent="0.25">
      <c r="A25" s="4" t="s">
        <v>644</v>
      </c>
      <c r="B25" s="9">
        <v>32620</v>
      </c>
      <c r="C25" s="9">
        <v>33621</v>
      </c>
      <c r="D25" s="9">
        <v>32948</v>
      </c>
      <c r="E25" s="9">
        <v>35513</v>
      </c>
      <c r="F25" s="9">
        <v>135876</v>
      </c>
      <c r="G25" s="9">
        <v>33583</v>
      </c>
      <c r="H25" s="9">
        <v>33397</v>
      </c>
      <c r="I25" s="9">
        <v>34160.75</v>
      </c>
      <c r="J25" s="9">
        <v>36807.14</v>
      </c>
      <c r="K25" s="9">
        <v>138474.32</v>
      </c>
      <c r="L25" s="9">
        <v>34598.31</v>
      </c>
      <c r="M25" s="9">
        <v>34691.300000000003</v>
      </c>
      <c r="N25" s="9">
        <v>34533.69</v>
      </c>
      <c r="O25" s="9">
        <v>37382.550000000003</v>
      </c>
      <c r="P25" s="9">
        <v>141100.15</v>
      </c>
      <c r="Q25" s="9">
        <v>35149.160000000003</v>
      </c>
      <c r="R25" s="9">
        <v>35232.1</v>
      </c>
      <c r="S25" s="9">
        <v>34872.080000000002</v>
      </c>
      <c r="T25" s="9">
        <v>37846.47</v>
      </c>
      <c r="U25" s="9">
        <v>143259.35999999999</v>
      </c>
      <c r="V25" s="9">
        <v>35286.370000000003</v>
      </c>
      <c r="W25" s="9">
        <v>34801.35</v>
      </c>
      <c r="X25" s="9">
        <v>34743.199999999997</v>
      </c>
      <c r="Y25" s="9">
        <v>37475.14</v>
      </c>
      <c r="Z25" s="9">
        <v>144846.59</v>
      </c>
      <c r="AA25" s="9">
        <v>35516.269999999997</v>
      </c>
      <c r="AB25" s="9">
        <v>35030.800000000003</v>
      </c>
      <c r="AC25" s="9">
        <v>34944.14</v>
      </c>
      <c r="AD25" s="9">
        <v>37717.56</v>
      </c>
      <c r="AE25" s="9">
        <v>146451.93</v>
      </c>
    </row>
    <row r="26" spans="1:31" x14ac:dyDescent="0.25">
      <c r="A26" s="3" t="s">
        <v>640</v>
      </c>
      <c r="B26" s="9">
        <v>865</v>
      </c>
      <c r="C26" s="9">
        <v>883</v>
      </c>
      <c r="D26" s="9">
        <v>873</v>
      </c>
      <c r="E26" s="9">
        <v>868</v>
      </c>
      <c r="F26" s="9">
        <v>3489</v>
      </c>
      <c r="G26" s="9">
        <v>857</v>
      </c>
      <c r="H26" s="9">
        <v>856</v>
      </c>
      <c r="I26" s="9">
        <v>773.72</v>
      </c>
      <c r="J26" s="9">
        <v>769.62</v>
      </c>
      <c r="K26" s="9">
        <v>3136.01</v>
      </c>
      <c r="L26" s="9">
        <v>774.32</v>
      </c>
      <c r="M26" s="9">
        <v>793.99</v>
      </c>
      <c r="N26" s="9">
        <v>777.42</v>
      </c>
      <c r="O26" s="9">
        <v>774.93</v>
      </c>
      <c r="P26" s="9">
        <v>3124.38</v>
      </c>
      <c r="Q26" s="9">
        <v>707.2</v>
      </c>
      <c r="R26" s="9">
        <v>743.8</v>
      </c>
      <c r="S26" s="9">
        <v>711.59</v>
      </c>
      <c r="T26" s="9">
        <v>708.1</v>
      </c>
      <c r="U26" s="9">
        <v>2885.55</v>
      </c>
      <c r="V26" s="9">
        <v>685.06</v>
      </c>
      <c r="W26" s="9">
        <v>735.67</v>
      </c>
      <c r="X26" s="9">
        <v>690.95</v>
      </c>
      <c r="Y26" s="9">
        <v>686</v>
      </c>
      <c r="Z26" s="9">
        <v>2818.49</v>
      </c>
      <c r="AA26" s="9">
        <v>686.05</v>
      </c>
      <c r="AB26" s="9">
        <v>735.92</v>
      </c>
      <c r="AC26" s="9">
        <v>691.71</v>
      </c>
      <c r="AD26" s="9">
        <v>686.52</v>
      </c>
      <c r="AE26" s="9">
        <v>2746.51</v>
      </c>
    </row>
    <row r="27" spans="1:31" x14ac:dyDescent="0.25">
      <c r="A27" s="4" t="s">
        <v>639</v>
      </c>
      <c r="B27" s="9">
        <v>33485</v>
      </c>
      <c r="C27" s="9">
        <v>34504</v>
      </c>
      <c r="D27" s="9">
        <v>33821</v>
      </c>
      <c r="E27" s="9">
        <v>36381</v>
      </c>
      <c r="F27" s="9">
        <v>138191</v>
      </c>
      <c r="G27" s="9">
        <v>34440</v>
      </c>
      <c r="H27" s="9">
        <v>34253</v>
      </c>
      <c r="I27" s="9">
        <v>34767.99</v>
      </c>
      <c r="J27" s="9">
        <v>37338.71</v>
      </c>
      <c r="K27" s="9">
        <v>140869.69</v>
      </c>
      <c r="L27" s="9">
        <v>35282.92</v>
      </c>
      <c r="M27" s="9">
        <v>35119.78</v>
      </c>
      <c r="N27" s="9">
        <v>35157.97</v>
      </c>
      <c r="O27" s="9">
        <v>37795.46</v>
      </c>
      <c r="P27" s="9">
        <v>143512.71</v>
      </c>
      <c r="Q27" s="9">
        <v>35718.769999999997</v>
      </c>
      <c r="R27" s="9">
        <v>35585.08</v>
      </c>
      <c r="S27" s="9">
        <v>35427.93</v>
      </c>
      <c r="T27" s="9">
        <v>38182.74</v>
      </c>
      <c r="U27" s="9">
        <v>145247.85</v>
      </c>
      <c r="V27" s="9">
        <v>36024.35</v>
      </c>
      <c r="W27" s="9">
        <v>35552.480000000003</v>
      </c>
      <c r="X27" s="9">
        <v>35444.04</v>
      </c>
      <c r="Y27" s="9">
        <v>38052.19</v>
      </c>
      <c r="Z27" s="9">
        <v>146846.84</v>
      </c>
      <c r="AA27" s="9">
        <v>36302.559999999998</v>
      </c>
      <c r="AB27" s="9">
        <v>35821.97</v>
      </c>
      <c r="AC27" s="9">
        <v>35686.82</v>
      </c>
      <c r="AD27" s="9">
        <v>38325.61</v>
      </c>
      <c r="AE27" s="9">
        <v>148307.92000000001</v>
      </c>
    </row>
    <row r="28" spans="1:31" x14ac:dyDescent="0.25">
      <c r="A28" s="4" t="s">
        <v>76</v>
      </c>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25">
      <c r="A29" s="3" t="s">
        <v>643</v>
      </c>
      <c r="B29" s="9">
        <v>22518</v>
      </c>
      <c r="C29" s="9">
        <v>22735</v>
      </c>
      <c r="D29" s="9">
        <v>22839</v>
      </c>
      <c r="E29" s="9">
        <v>22771</v>
      </c>
      <c r="F29" s="9">
        <v>90863</v>
      </c>
      <c r="G29" s="9">
        <v>22868</v>
      </c>
      <c r="H29" s="9">
        <v>23365</v>
      </c>
      <c r="I29" s="9">
        <v>23537.919999999998</v>
      </c>
      <c r="J29" s="9">
        <v>23668.13</v>
      </c>
      <c r="K29" s="9">
        <v>93439.05</v>
      </c>
      <c r="L29" s="9">
        <v>23567.31</v>
      </c>
      <c r="M29" s="9">
        <v>23887.5</v>
      </c>
      <c r="N29" s="9">
        <v>24002.34</v>
      </c>
      <c r="O29" s="9">
        <v>24198.560000000001</v>
      </c>
      <c r="P29" s="9">
        <v>95636.76</v>
      </c>
      <c r="Q29" s="9">
        <v>24096.84</v>
      </c>
      <c r="R29" s="9">
        <v>24393.11</v>
      </c>
      <c r="S29" s="9">
        <v>24426.98</v>
      </c>
      <c r="T29" s="9">
        <v>24625.65</v>
      </c>
      <c r="U29" s="9">
        <v>97628.4</v>
      </c>
      <c r="V29" s="9">
        <v>24546.27</v>
      </c>
      <c r="W29" s="9">
        <v>24873.83</v>
      </c>
      <c r="X29" s="9">
        <v>24787.53</v>
      </c>
      <c r="Y29" s="9">
        <v>24989.43</v>
      </c>
      <c r="Z29" s="9">
        <v>99953.23</v>
      </c>
      <c r="AA29" s="9">
        <v>24940.61</v>
      </c>
      <c r="AB29" s="9">
        <v>25266.74</v>
      </c>
      <c r="AC29" s="9">
        <v>25153.4</v>
      </c>
      <c r="AD29" s="9">
        <v>25350.98</v>
      </c>
      <c r="AE29" s="9">
        <v>101594.52</v>
      </c>
    </row>
    <row r="30" spans="1:31" x14ac:dyDescent="0.25">
      <c r="A30" s="3" t="s">
        <v>642</v>
      </c>
      <c r="B30" s="9">
        <v>5398</v>
      </c>
      <c r="C30" s="9">
        <v>6255</v>
      </c>
      <c r="D30" s="9">
        <v>5619</v>
      </c>
      <c r="E30" s="9">
        <v>8199</v>
      </c>
      <c r="F30" s="9">
        <v>25471</v>
      </c>
      <c r="G30" s="9">
        <v>5681</v>
      </c>
      <c r="H30" s="9">
        <v>5024</v>
      </c>
      <c r="I30" s="9">
        <v>5455.36</v>
      </c>
      <c r="J30" s="9">
        <v>7853.92</v>
      </c>
      <c r="K30" s="9">
        <v>24014.28</v>
      </c>
      <c r="L30" s="9">
        <v>5876.89</v>
      </c>
      <c r="M30" s="9">
        <v>5265.75</v>
      </c>
      <c r="N30" s="9">
        <v>5497.35</v>
      </c>
      <c r="O30" s="9">
        <v>7762.03</v>
      </c>
      <c r="P30" s="9">
        <v>24556.02</v>
      </c>
      <c r="Q30" s="9">
        <v>5980.56</v>
      </c>
      <c r="R30" s="9">
        <v>5374.09</v>
      </c>
      <c r="S30" s="9">
        <v>5524.26</v>
      </c>
      <c r="T30" s="9">
        <v>7768.58</v>
      </c>
      <c r="U30" s="9">
        <v>24954.82</v>
      </c>
      <c r="V30" s="9">
        <v>6123.01</v>
      </c>
      <c r="W30" s="9">
        <v>5460.13</v>
      </c>
      <c r="X30" s="9">
        <v>5526.68</v>
      </c>
      <c r="Y30" s="9">
        <v>7893.21</v>
      </c>
      <c r="Z30" s="9">
        <v>25225.97</v>
      </c>
      <c r="AA30" s="9">
        <v>6212.16</v>
      </c>
      <c r="AB30" s="9">
        <v>5537.56</v>
      </c>
      <c r="AC30" s="9">
        <v>5603.24</v>
      </c>
      <c r="AD30" s="9">
        <v>8006.64</v>
      </c>
      <c r="AE30" s="9">
        <v>25598.1</v>
      </c>
    </row>
    <row r="31" spans="1:31" x14ac:dyDescent="0.25">
      <c r="A31" s="3" t="s">
        <v>641</v>
      </c>
      <c r="B31" s="9">
        <v>4704</v>
      </c>
      <c r="C31" s="9">
        <v>4631</v>
      </c>
      <c r="D31" s="9">
        <v>4490</v>
      </c>
      <c r="E31" s="9">
        <v>4543</v>
      </c>
      <c r="F31" s="9">
        <v>18368</v>
      </c>
      <c r="G31" s="9">
        <v>5034</v>
      </c>
      <c r="H31" s="9">
        <v>5008</v>
      </c>
      <c r="I31" s="9">
        <v>4970.6000000000004</v>
      </c>
      <c r="J31" s="9">
        <v>5006.21</v>
      </c>
      <c r="K31" s="9">
        <v>20155.169999999998</v>
      </c>
      <c r="L31" s="9">
        <v>4987.3999999999996</v>
      </c>
      <c r="M31" s="9">
        <v>5033.28</v>
      </c>
      <c r="N31" s="9">
        <v>4807.71</v>
      </c>
      <c r="O31" s="9">
        <v>4885</v>
      </c>
      <c r="P31" s="9">
        <v>19774.78</v>
      </c>
      <c r="Q31" s="9">
        <v>4734.72</v>
      </c>
      <c r="R31" s="9">
        <v>4696.66</v>
      </c>
      <c r="S31" s="9">
        <v>4569.04</v>
      </c>
      <c r="T31" s="9">
        <v>4621.66</v>
      </c>
      <c r="U31" s="9">
        <v>19130.3</v>
      </c>
      <c r="V31" s="9">
        <v>4594.8999999999996</v>
      </c>
      <c r="W31" s="9">
        <v>4549.58</v>
      </c>
      <c r="X31" s="9">
        <v>4411.3500000000004</v>
      </c>
      <c r="Y31" s="9">
        <v>4453.18</v>
      </c>
      <c r="Z31" s="9">
        <v>18614.490000000002</v>
      </c>
      <c r="AA31" s="9">
        <v>4421.6899999999996</v>
      </c>
      <c r="AB31" s="9">
        <v>4371.91</v>
      </c>
      <c r="AC31" s="9">
        <v>4240.16</v>
      </c>
      <c r="AD31" s="9">
        <v>4282.78</v>
      </c>
      <c r="AE31" s="9">
        <v>18151.509999999998</v>
      </c>
    </row>
    <row r="32" spans="1:31" x14ac:dyDescent="0.25">
      <c r="A32" s="3" t="s">
        <v>640</v>
      </c>
      <c r="B32" s="9">
        <v>865</v>
      </c>
      <c r="C32" s="9">
        <v>883</v>
      </c>
      <c r="D32" s="9">
        <v>873</v>
      </c>
      <c r="E32" s="9">
        <v>868</v>
      </c>
      <c r="F32" s="9">
        <v>3489</v>
      </c>
      <c r="G32" s="9">
        <v>857</v>
      </c>
      <c r="H32" s="9">
        <v>856</v>
      </c>
      <c r="I32" s="9">
        <v>773.72</v>
      </c>
      <c r="J32" s="9">
        <v>769.62</v>
      </c>
      <c r="K32" s="9">
        <v>3136.01</v>
      </c>
      <c r="L32" s="9">
        <v>774.32</v>
      </c>
      <c r="M32" s="9">
        <v>793.99</v>
      </c>
      <c r="N32" s="9">
        <v>777.42</v>
      </c>
      <c r="O32" s="9">
        <v>774.93</v>
      </c>
      <c r="P32" s="9">
        <v>3124.38</v>
      </c>
      <c r="Q32" s="9">
        <v>707.2</v>
      </c>
      <c r="R32" s="9">
        <v>743.8</v>
      </c>
      <c r="S32" s="9">
        <v>711.59</v>
      </c>
      <c r="T32" s="9">
        <v>708.1</v>
      </c>
      <c r="U32" s="9">
        <v>2885.55</v>
      </c>
      <c r="V32" s="9">
        <v>685.06</v>
      </c>
      <c r="W32" s="9">
        <v>735.67</v>
      </c>
      <c r="X32" s="9">
        <v>690.95</v>
      </c>
      <c r="Y32" s="9">
        <v>686</v>
      </c>
      <c r="Z32" s="9">
        <v>2818.49</v>
      </c>
      <c r="AA32" s="9">
        <v>686.05</v>
      </c>
      <c r="AB32" s="9">
        <v>735.92</v>
      </c>
      <c r="AC32" s="9">
        <v>691.71</v>
      </c>
      <c r="AD32" s="9">
        <v>686.52</v>
      </c>
      <c r="AE32" s="9">
        <v>2746.51</v>
      </c>
    </row>
    <row r="33" spans="1:31" x14ac:dyDescent="0.25">
      <c r="A33" s="4" t="s">
        <v>639</v>
      </c>
      <c r="B33" s="9">
        <v>33485</v>
      </c>
      <c r="C33" s="9">
        <v>34504</v>
      </c>
      <c r="D33" s="9">
        <v>33821</v>
      </c>
      <c r="E33" s="9">
        <v>36381</v>
      </c>
      <c r="F33" s="9">
        <v>138191</v>
      </c>
      <c r="G33" s="9">
        <v>34440</v>
      </c>
      <c r="H33" s="9">
        <v>34253</v>
      </c>
      <c r="I33" s="9">
        <v>34767.99</v>
      </c>
      <c r="J33" s="9">
        <v>37338.71</v>
      </c>
      <c r="K33" s="9">
        <v>140869.69</v>
      </c>
      <c r="L33" s="9">
        <v>35282.92</v>
      </c>
      <c r="M33" s="9">
        <v>35119.78</v>
      </c>
      <c r="N33" s="9">
        <v>35157.97</v>
      </c>
      <c r="O33" s="9">
        <v>37795.46</v>
      </c>
      <c r="P33" s="9">
        <v>143512.71</v>
      </c>
      <c r="Q33" s="9">
        <v>35718.769999999997</v>
      </c>
      <c r="R33" s="9">
        <v>35585.08</v>
      </c>
      <c r="S33" s="9">
        <v>35427.93</v>
      </c>
      <c r="T33" s="9">
        <v>38182.74</v>
      </c>
      <c r="U33" s="9">
        <v>145247.85</v>
      </c>
      <c r="V33" s="9">
        <v>36024.35</v>
      </c>
      <c r="W33" s="9">
        <v>35552.480000000003</v>
      </c>
      <c r="X33" s="9">
        <v>35444.04</v>
      </c>
      <c r="Y33" s="9">
        <v>38052.19</v>
      </c>
      <c r="Z33" s="9">
        <v>146846.84</v>
      </c>
      <c r="AA33" s="9">
        <v>36302.559999999998</v>
      </c>
      <c r="AB33" s="9">
        <v>35821.97</v>
      </c>
      <c r="AC33" s="9">
        <v>35686.82</v>
      </c>
      <c r="AD33" s="9">
        <v>38325.61</v>
      </c>
      <c r="AE33" s="9">
        <v>148307.92000000001</v>
      </c>
    </row>
    <row r="34" spans="1:31" x14ac:dyDescent="0.25">
      <c r="A34" s="4" t="s">
        <v>76</v>
      </c>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spans="1:31" x14ac:dyDescent="0.25">
      <c r="A35" s="4" t="s">
        <v>638</v>
      </c>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spans="1:31" x14ac:dyDescent="0.25">
      <c r="A36" s="3" t="s">
        <v>637</v>
      </c>
      <c r="B36" s="9">
        <v>2896</v>
      </c>
      <c r="C36" s="9">
        <v>2924</v>
      </c>
      <c r="D36" s="9">
        <v>2937</v>
      </c>
      <c r="E36" s="9">
        <v>2921</v>
      </c>
      <c r="F36" s="9">
        <v>11678</v>
      </c>
      <c r="G36" s="9">
        <v>3249.42</v>
      </c>
      <c r="H36" s="9">
        <v>3540.64</v>
      </c>
      <c r="I36" s="9">
        <v>3610.55</v>
      </c>
      <c r="J36" s="9">
        <v>3646.33</v>
      </c>
      <c r="K36" s="9">
        <v>13648.6</v>
      </c>
      <c r="L36" s="9">
        <v>3630.55</v>
      </c>
      <c r="M36" s="9">
        <v>3741.5</v>
      </c>
      <c r="N36" s="9">
        <v>3690.29</v>
      </c>
      <c r="O36" s="9">
        <v>3710.84</v>
      </c>
      <c r="P36" s="9">
        <v>14764.48</v>
      </c>
      <c r="Q36" s="9">
        <v>3816.56</v>
      </c>
      <c r="R36" s="9">
        <v>4003.03</v>
      </c>
      <c r="S36" s="9">
        <v>3883.42</v>
      </c>
      <c r="T36" s="9">
        <v>3879</v>
      </c>
      <c r="U36" s="9">
        <v>15560.79</v>
      </c>
      <c r="V36" s="9">
        <v>4071.38</v>
      </c>
      <c r="W36" s="9">
        <v>4358.72</v>
      </c>
      <c r="X36" s="9">
        <v>4100.96</v>
      </c>
      <c r="Y36" s="9">
        <v>4137.91</v>
      </c>
      <c r="Z36" s="9">
        <v>16200.47</v>
      </c>
      <c r="AA36" s="9">
        <v>4163.93</v>
      </c>
      <c r="AB36" s="9">
        <v>4497.1000000000004</v>
      </c>
      <c r="AC36" s="9">
        <v>4191.72</v>
      </c>
      <c r="AD36" s="9">
        <v>4222.82</v>
      </c>
      <c r="AE36" s="9">
        <v>16573.59</v>
      </c>
    </row>
    <row r="37" spans="1:31" x14ac:dyDescent="0.25">
      <c r="A37" s="3" t="s">
        <v>636</v>
      </c>
      <c r="B37" s="9">
        <v>310</v>
      </c>
      <c r="C37" s="9">
        <v>310</v>
      </c>
      <c r="D37" s="9">
        <v>310</v>
      </c>
      <c r="E37" s="9">
        <v>314</v>
      </c>
      <c r="F37" s="9">
        <v>1244</v>
      </c>
      <c r="G37" s="9">
        <v>342.24</v>
      </c>
      <c r="H37" s="9">
        <v>370.89</v>
      </c>
      <c r="I37" s="9">
        <v>359.23</v>
      </c>
      <c r="J37" s="9">
        <v>360.84</v>
      </c>
      <c r="K37" s="9">
        <v>1390.75</v>
      </c>
      <c r="L37" s="9">
        <v>375.72</v>
      </c>
      <c r="M37" s="9">
        <v>367.84</v>
      </c>
      <c r="N37" s="9">
        <v>364.95</v>
      </c>
      <c r="O37" s="9">
        <v>371.93</v>
      </c>
      <c r="P37" s="9">
        <v>1430.94</v>
      </c>
      <c r="Q37" s="9">
        <v>397.21</v>
      </c>
      <c r="R37" s="9">
        <v>384.01</v>
      </c>
      <c r="S37" s="9">
        <v>379.05</v>
      </c>
      <c r="T37" s="9">
        <v>389.13</v>
      </c>
      <c r="U37" s="9">
        <v>1436.75</v>
      </c>
      <c r="V37" s="9">
        <v>413.51</v>
      </c>
      <c r="W37" s="9">
        <v>391.32</v>
      </c>
      <c r="X37" s="9">
        <v>381.52</v>
      </c>
      <c r="Y37" s="9">
        <v>387.53</v>
      </c>
      <c r="Z37" s="9">
        <v>1426.62</v>
      </c>
      <c r="AA37" s="9">
        <v>410.82</v>
      </c>
      <c r="AB37" s="9">
        <v>388.09</v>
      </c>
      <c r="AC37" s="9">
        <v>378.23</v>
      </c>
      <c r="AD37" s="9">
        <v>383.86</v>
      </c>
      <c r="AE37" s="9">
        <v>1431.84</v>
      </c>
    </row>
    <row r="38" spans="1:31" x14ac:dyDescent="0.25">
      <c r="A38" s="4" t="s">
        <v>635</v>
      </c>
      <c r="B38" s="9">
        <v>3206</v>
      </c>
      <c r="C38" s="9">
        <v>3234</v>
      </c>
      <c r="D38" s="9">
        <v>3247</v>
      </c>
      <c r="E38" s="9">
        <v>3235</v>
      </c>
      <c r="F38" s="9">
        <v>12922</v>
      </c>
      <c r="G38" s="9">
        <v>3631.51</v>
      </c>
      <c r="H38" s="9">
        <v>3977.32</v>
      </c>
      <c r="I38" s="9">
        <v>4047.14</v>
      </c>
      <c r="J38" s="9">
        <v>4095.48</v>
      </c>
      <c r="K38" s="9">
        <v>15347.92</v>
      </c>
      <c r="L38" s="9">
        <v>4140.16</v>
      </c>
      <c r="M38" s="9">
        <v>4251.45</v>
      </c>
      <c r="N38" s="9">
        <v>4189.8100000000004</v>
      </c>
      <c r="O38" s="9">
        <v>4212.6400000000003</v>
      </c>
      <c r="P38" s="9">
        <v>16526.259999999998</v>
      </c>
      <c r="Q38" s="9">
        <v>4213.78</v>
      </c>
      <c r="R38" s="9">
        <v>4387.04</v>
      </c>
      <c r="S38" s="9">
        <v>4262.47</v>
      </c>
      <c r="T38" s="9">
        <v>4268.13</v>
      </c>
      <c r="U38" s="9">
        <v>16949.28</v>
      </c>
      <c r="V38" s="9">
        <v>4484.8900000000003</v>
      </c>
      <c r="W38" s="9">
        <v>4750.04</v>
      </c>
      <c r="X38" s="9">
        <v>4482.4799999999996</v>
      </c>
      <c r="Y38" s="9">
        <v>4525.43</v>
      </c>
      <c r="Z38" s="9">
        <v>17529.11</v>
      </c>
      <c r="AA38" s="9">
        <v>4574.75</v>
      </c>
      <c r="AB38" s="9">
        <v>4885.1899999999996</v>
      </c>
      <c r="AC38" s="9">
        <v>4569.95</v>
      </c>
      <c r="AD38" s="9">
        <v>4606.68</v>
      </c>
      <c r="AE38" s="9">
        <v>17832.41</v>
      </c>
    </row>
    <row r="39" spans="1:31" x14ac:dyDescent="0.25">
      <c r="A39" s="4" t="s">
        <v>76</v>
      </c>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spans="1:31" x14ac:dyDescent="0.25">
      <c r="A40" s="3" t="s">
        <v>634</v>
      </c>
      <c r="B40" s="9">
        <v>4574</v>
      </c>
      <c r="C40" s="9">
        <v>4581</v>
      </c>
      <c r="D40" s="9">
        <v>4635</v>
      </c>
      <c r="E40" s="9">
        <v>4643</v>
      </c>
      <c r="F40" s="9">
        <v>18433</v>
      </c>
      <c r="G40" s="9">
        <v>4820</v>
      </c>
      <c r="H40" s="9">
        <v>4928</v>
      </c>
      <c r="I40" s="9">
        <v>4813.24</v>
      </c>
      <c r="J40" s="9">
        <v>4832.84</v>
      </c>
      <c r="K40" s="9">
        <v>19328.05</v>
      </c>
      <c r="L40" s="9">
        <v>4824.5600000000004</v>
      </c>
      <c r="M40" s="9">
        <v>4806.68</v>
      </c>
      <c r="N40" s="9">
        <v>4806.46</v>
      </c>
      <c r="O40" s="9">
        <v>4868.49</v>
      </c>
      <c r="P40" s="9">
        <v>19362.53</v>
      </c>
      <c r="Q40" s="9">
        <v>4733.83</v>
      </c>
      <c r="R40" s="9">
        <v>4813.5200000000004</v>
      </c>
      <c r="S40" s="9">
        <v>4739.33</v>
      </c>
      <c r="T40" s="9">
        <v>4799.49</v>
      </c>
      <c r="U40" s="9">
        <v>19608.64</v>
      </c>
      <c r="V40" s="9">
        <v>4876.32</v>
      </c>
      <c r="W40" s="9">
        <v>4983.68</v>
      </c>
      <c r="X40" s="9">
        <v>4854.68</v>
      </c>
      <c r="Y40" s="9">
        <v>4933.6899999999996</v>
      </c>
      <c r="Z40" s="9">
        <v>20073.099999999999</v>
      </c>
      <c r="AA40" s="9">
        <v>4892.88</v>
      </c>
      <c r="AB40" s="9">
        <v>5016.92</v>
      </c>
      <c r="AC40" s="9">
        <v>4873.24</v>
      </c>
      <c r="AD40" s="9">
        <v>4951.8</v>
      </c>
      <c r="AE40" s="9">
        <v>20214.79</v>
      </c>
    </row>
    <row r="41" spans="1:31" x14ac:dyDescent="0.25">
      <c r="A41" s="3" t="s">
        <v>312</v>
      </c>
      <c r="B41" s="9">
        <v>2154</v>
      </c>
      <c r="C41" s="9">
        <v>2060</v>
      </c>
      <c r="D41" s="9">
        <v>1985</v>
      </c>
      <c r="E41" s="9">
        <v>2083</v>
      </c>
      <c r="F41" s="9">
        <v>8282</v>
      </c>
      <c r="G41" s="9">
        <v>2117</v>
      </c>
      <c r="H41" s="9">
        <v>2023</v>
      </c>
      <c r="I41" s="9">
        <v>2165.54</v>
      </c>
      <c r="J41" s="9">
        <v>2209.86</v>
      </c>
      <c r="K41" s="9">
        <v>8695.74</v>
      </c>
      <c r="L41" s="9">
        <v>2277.2199999999998</v>
      </c>
      <c r="M41" s="9">
        <v>2154.27</v>
      </c>
      <c r="N41" s="9">
        <v>2164.0100000000002</v>
      </c>
      <c r="O41" s="9">
        <v>2195.33</v>
      </c>
      <c r="P41" s="9">
        <v>8861.8799999999992</v>
      </c>
      <c r="Q41" s="9">
        <v>2189.71</v>
      </c>
      <c r="R41" s="9">
        <v>2044.08</v>
      </c>
      <c r="S41" s="9">
        <v>2021.06</v>
      </c>
      <c r="T41" s="9">
        <v>2043.69</v>
      </c>
      <c r="U41" s="9">
        <v>8707.2000000000007</v>
      </c>
      <c r="V41" s="9">
        <v>2057.42</v>
      </c>
      <c r="W41" s="9">
        <v>1873.92</v>
      </c>
      <c r="X41" s="9">
        <v>1866.29</v>
      </c>
      <c r="Y41" s="9">
        <v>1866.19</v>
      </c>
      <c r="Z41" s="9">
        <v>8546.92</v>
      </c>
      <c r="AA41" s="9">
        <v>1987.86</v>
      </c>
      <c r="AB41" s="9">
        <v>1798.11</v>
      </c>
      <c r="AC41" s="9">
        <v>1790.9</v>
      </c>
      <c r="AD41" s="9">
        <v>1790.92</v>
      </c>
      <c r="AE41" s="9">
        <v>8461.44</v>
      </c>
    </row>
    <row r="42" spans="1:31" x14ac:dyDescent="0.25">
      <c r="A42" s="4" t="s">
        <v>633</v>
      </c>
      <c r="B42" s="9">
        <v>6728</v>
      </c>
      <c r="C42" s="9">
        <v>6641</v>
      </c>
      <c r="D42" s="9">
        <v>6620</v>
      </c>
      <c r="E42" s="9">
        <v>6726</v>
      </c>
      <c r="F42" s="9">
        <v>26715</v>
      </c>
      <c r="G42" s="9">
        <v>6937</v>
      </c>
      <c r="H42" s="9">
        <v>6951</v>
      </c>
      <c r="I42" s="9">
        <v>6978.78</v>
      </c>
      <c r="J42" s="9">
        <v>7042.69</v>
      </c>
      <c r="K42" s="9">
        <v>28013.54</v>
      </c>
      <c r="L42" s="9">
        <v>7101.78</v>
      </c>
      <c r="M42" s="9">
        <v>6960.94</v>
      </c>
      <c r="N42" s="9">
        <v>6970.47</v>
      </c>
      <c r="O42" s="9">
        <v>7063.82</v>
      </c>
      <c r="P42" s="9">
        <v>28226.17</v>
      </c>
      <c r="Q42" s="9">
        <v>6923.54</v>
      </c>
      <c r="R42" s="9">
        <v>6857.6</v>
      </c>
      <c r="S42" s="9">
        <v>6760.39</v>
      </c>
      <c r="T42" s="9">
        <v>6843.18</v>
      </c>
      <c r="U42" s="9">
        <v>28329.31</v>
      </c>
      <c r="V42" s="9">
        <v>6933.74</v>
      </c>
      <c r="W42" s="9">
        <v>6857.6</v>
      </c>
      <c r="X42" s="9">
        <v>6720.97</v>
      </c>
      <c r="Y42" s="9">
        <v>6799.88</v>
      </c>
      <c r="Z42" s="9">
        <v>28620.02</v>
      </c>
      <c r="AA42" s="9">
        <v>6880.73</v>
      </c>
      <c r="AB42" s="9">
        <v>6815.03</v>
      </c>
      <c r="AC42" s="9">
        <v>6664.14</v>
      </c>
      <c r="AD42" s="9">
        <v>6742.72</v>
      </c>
      <c r="AE42" s="9">
        <v>28676.23</v>
      </c>
    </row>
    <row r="43" spans="1:31" x14ac:dyDescent="0.25">
      <c r="A43" s="3" t="s">
        <v>632</v>
      </c>
      <c r="B43" s="9">
        <v>222</v>
      </c>
      <c r="C43" s="9">
        <v>237</v>
      </c>
      <c r="D43" s="9">
        <v>243</v>
      </c>
      <c r="E43" s="9">
        <v>372</v>
      </c>
      <c r="F43" s="9">
        <v>1074</v>
      </c>
      <c r="G43" s="9">
        <v>230</v>
      </c>
      <c r="H43" s="9">
        <v>274</v>
      </c>
      <c r="I43" s="9">
        <v>228.74</v>
      </c>
      <c r="J43" s="9">
        <v>234.7</v>
      </c>
      <c r="K43" s="9">
        <v>768.88</v>
      </c>
      <c r="L43" s="9">
        <v>180.5</v>
      </c>
      <c r="M43" s="9">
        <v>278.2</v>
      </c>
      <c r="N43" s="9">
        <v>177.97</v>
      </c>
      <c r="O43" s="9">
        <v>242.17</v>
      </c>
      <c r="P43" s="9">
        <v>882.86</v>
      </c>
      <c r="Q43" s="9">
        <v>209.08</v>
      </c>
      <c r="R43" s="9">
        <v>213.83</v>
      </c>
      <c r="S43" s="9">
        <v>183.89</v>
      </c>
      <c r="T43" s="9">
        <v>258.94</v>
      </c>
      <c r="U43" s="9">
        <v>719.15</v>
      </c>
      <c r="V43" s="9">
        <v>172.04</v>
      </c>
      <c r="W43" s="9">
        <v>183.74</v>
      </c>
      <c r="X43" s="9">
        <v>168.6</v>
      </c>
      <c r="Y43" s="9">
        <v>229.64</v>
      </c>
      <c r="Z43" s="9">
        <v>625.98</v>
      </c>
      <c r="AA43" s="9">
        <v>172.08</v>
      </c>
      <c r="AB43" s="9">
        <v>184.03</v>
      </c>
      <c r="AC43" s="9">
        <v>168.57</v>
      </c>
      <c r="AD43" s="9">
        <v>230.02</v>
      </c>
      <c r="AE43" s="9">
        <v>622.92999999999995</v>
      </c>
    </row>
    <row r="44" spans="1:31" x14ac:dyDescent="0.25">
      <c r="A44" s="4" t="s">
        <v>631</v>
      </c>
      <c r="B44" s="9">
        <v>6950</v>
      </c>
      <c r="C44" s="9">
        <v>6878</v>
      </c>
      <c r="D44" s="9">
        <v>6863</v>
      </c>
      <c r="E44" s="9">
        <v>7098</v>
      </c>
      <c r="F44" s="9">
        <v>27789</v>
      </c>
      <c r="G44" s="9">
        <v>7167</v>
      </c>
      <c r="H44" s="9">
        <v>7225</v>
      </c>
      <c r="I44" s="9">
        <v>7159.92</v>
      </c>
      <c r="J44" s="9">
        <v>7235.2</v>
      </c>
      <c r="K44" s="9">
        <v>28770.42</v>
      </c>
      <c r="L44" s="9">
        <v>7272.3</v>
      </c>
      <c r="M44" s="9">
        <v>7222.54</v>
      </c>
      <c r="N44" s="9">
        <v>7148.92</v>
      </c>
      <c r="O44" s="9">
        <v>7273.7</v>
      </c>
      <c r="P44" s="9">
        <v>28909</v>
      </c>
      <c r="Q44" s="9">
        <v>7282.86</v>
      </c>
      <c r="R44" s="9">
        <v>7231.33</v>
      </c>
      <c r="S44" s="9">
        <v>7114.56</v>
      </c>
      <c r="T44" s="9">
        <v>7247.3</v>
      </c>
      <c r="U44" s="9">
        <v>29032.54</v>
      </c>
      <c r="V44" s="9">
        <v>7350.49</v>
      </c>
      <c r="W44" s="9">
        <v>7303.06</v>
      </c>
      <c r="X44" s="9">
        <v>7124.68</v>
      </c>
      <c r="Y44" s="9">
        <v>7258.22</v>
      </c>
      <c r="Z44" s="9">
        <v>29295.24</v>
      </c>
      <c r="AA44" s="9">
        <v>7369.69</v>
      </c>
      <c r="AB44" s="9">
        <v>7326.85</v>
      </c>
      <c r="AC44" s="9">
        <v>7136.53</v>
      </c>
      <c r="AD44" s="9">
        <v>7268.69</v>
      </c>
      <c r="AE44" s="9">
        <v>29400.68</v>
      </c>
    </row>
    <row r="45" spans="1:31" x14ac:dyDescent="0.25">
      <c r="A45" s="4" t="s">
        <v>76</v>
      </c>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spans="1:31" x14ac:dyDescent="0.25">
      <c r="A46" s="3" t="s">
        <v>630</v>
      </c>
      <c r="B46" s="9">
        <v>4912</v>
      </c>
      <c r="C46" s="9">
        <v>5806</v>
      </c>
      <c r="D46" s="9">
        <v>5270</v>
      </c>
      <c r="E46" s="9">
        <v>7942</v>
      </c>
      <c r="F46" s="9">
        <v>23930</v>
      </c>
      <c r="G46" s="9">
        <v>5303</v>
      </c>
      <c r="H46" s="9">
        <v>4658</v>
      </c>
      <c r="I46" s="9">
        <v>5207.09</v>
      </c>
      <c r="J46" s="9">
        <v>7662.28</v>
      </c>
      <c r="K46" s="9">
        <v>23075.18</v>
      </c>
      <c r="L46" s="9">
        <v>5538.32</v>
      </c>
      <c r="M46" s="9">
        <v>5267.01</v>
      </c>
      <c r="N46" s="9">
        <v>5296.22</v>
      </c>
      <c r="O46" s="9">
        <v>7928.1</v>
      </c>
      <c r="P46" s="9">
        <v>23934.5</v>
      </c>
      <c r="Q46" s="9">
        <v>5827.62</v>
      </c>
      <c r="R46" s="9">
        <v>5677.83</v>
      </c>
      <c r="S46" s="9">
        <v>5342.65</v>
      </c>
      <c r="T46" s="9">
        <v>8182.3</v>
      </c>
      <c r="U46" s="9">
        <v>24449.83</v>
      </c>
      <c r="V46" s="9">
        <v>5852.98</v>
      </c>
      <c r="W46" s="9">
        <v>5212.21</v>
      </c>
      <c r="X46" s="9">
        <v>5250.34</v>
      </c>
      <c r="Y46" s="9">
        <v>7792.66</v>
      </c>
      <c r="Z46" s="9">
        <v>24390.93</v>
      </c>
      <c r="AA46" s="9">
        <v>5968.77</v>
      </c>
      <c r="AB46" s="9">
        <v>5313.58</v>
      </c>
      <c r="AC46" s="9">
        <v>5350.27</v>
      </c>
      <c r="AD46" s="9">
        <v>7947.81</v>
      </c>
      <c r="AE46" s="9">
        <v>24839.83</v>
      </c>
    </row>
    <row r="47" spans="1:31" x14ac:dyDescent="0.25">
      <c r="A47" s="3" t="s">
        <v>311</v>
      </c>
      <c r="B47" s="9">
        <v>1194</v>
      </c>
      <c r="C47" s="9">
        <v>1201</v>
      </c>
      <c r="D47" s="9">
        <v>1213</v>
      </c>
      <c r="E47" s="9">
        <v>1438</v>
      </c>
      <c r="F47" s="9">
        <v>5046</v>
      </c>
      <c r="G47" s="9">
        <v>1202</v>
      </c>
      <c r="H47" s="9">
        <v>1203</v>
      </c>
      <c r="I47" s="9">
        <v>1203.68</v>
      </c>
      <c r="J47" s="9">
        <v>1468.9</v>
      </c>
      <c r="K47" s="9">
        <v>5093.4799999999996</v>
      </c>
      <c r="L47" s="9">
        <v>1219.57</v>
      </c>
      <c r="M47" s="9">
        <v>1194.1199999999999</v>
      </c>
      <c r="N47" s="9">
        <v>1205.19</v>
      </c>
      <c r="O47" s="9">
        <v>1468.73</v>
      </c>
      <c r="P47" s="9">
        <v>5166.55</v>
      </c>
      <c r="Q47" s="9">
        <v>1265.51</v>
      </c>
      <c r="R47" s="9">
        <v>1288.5</v>
      </c>
      <c r="S47" s="9">
        <v>1231.8800000000001</v>
      </c>
      <c r="T47" s="9">
        <v>1495.92</v>
      </c>
      <c r="U47" s="9">
        <v>5353.29</v>
      </c>
      <c r="V47" s="9">
        <v>1274.9100000000001</v>
      </c>
      <c r="W47" s="9">
        <v>1244.1500000000001</v>
      </c>
      <c r="X47" s="9">
        <v>1192.9100000000001</v>
      </c>
      <c r="Y47" s="9">
        <v>1407.6</v>
      </c>
      <c r="Z47" s="9">
        <v>5395.91</v>
      </c>
      <c r="AA47" s="9">
        <v>1295.01</v>
      </c>
      <c r="AB47" s="9">
        <v>1261.8699999999999</v>
      </c>
      <c r="AC47" s="9">
        <v>1210.57</v>
      </c>
      <c r="AD47" s="9">
        <v>1430.7</v>
      </c>
      <c r="AE47" s="9">
        <v>5484.63</v>
      </c>
    </row>
    <row r="48" spans="1:31" x14ac:dyDescent="0.25">
      <c r="A48" s="4" t="s">
        <v>629</v>
      </c>
      <c r="B48" s="9">
        <v>6106</v>
      </c>
      <c r="C48" s="9">
        <v>7007</v>
      </c>
      <c r="D48" s="9">
        <v>6483</v>
      </c>
      <c r="E48" s="9">
        <v>9380</v>
      </c>
      <c r="F48" s="9">
        <v>28976</v>
      </c>
      <c r="G48" s="9">
        <v>6505</v>
      </c>
      <c r="H48" s="9">
        <v>5861</v>
      </c>
      <c r="I48" s="9">
        <v>6410.77</v>
      </c>
      <c r="J48" s="9">
        <v>9131.17</v>
      </c>
      <c r="K48" s="9">
        <v>28128.2</v>
      </c>
      <c r="L48" s="9">
        <v>6757.89</v>
      </c>
      <c r="M48" s="9">
        <v>6461.13</v>
      </c>
      <c r="N48" s="9">
        <v>6501.42</v>
      </c>
      <c r="O48" s="9">
        <v>9396.83</v>
      </c>
      <c r="P48" s="9">
        <v>28977.59</v>
      </c>
      <c r="Q48" s="9">
        <v>7093.13</v>
      </c>
      <c r="R48" s="9">
        <v>6966.33</v>
      </c>
      <c r="S48" s="9">
        <v>6574.53</v>
      </c>
      <c r="T48" s="9">
        <v>9678.2199999999993</v>
      </c>
      <c r="U48" s="9">
        <v>29642.68</v>
      </c>
      <c r="V48" s="9">
        <v>7127.89</v>
      </c>
      <c r="W48" s="9">
        <v>6456.36</v>
      </c>
      <c r="X48" s="9">
        <v>6443.25</v>
      </c>
      <c r="Y48" s="9">
        <v>9200.26</v>
      </c>
      <c r="Z48" s="9">
        <v>29786.84</v>
      </c>
      <c r="AA48" s="9">
        <v>7263.78</v>
      </c>
      <c r="AB48" s="9">
        <v>6575.45</v>
      </c>
      <c r="AC48" s="9">
        <v>6560.83</v>
      </c>
      <c r="AD48" s="9">
        <v>9378.51</v>
      </c>
      <c r="AE48" s="9">
        <v>30324.46</v>
      </c>
    </row>
    <row r="49" spans="1:31" x14ac:dyDescent="0.25">
      <c r="A49" s="3" t="s">
        <v>628</v>
      </c>
      <c r="B49" s="10">
        <v>-335.27</v>
      </c>
      <c r="C49" s="10">
        <v>-376.45</v>
      </c>
      <c r="D49" s="10">
        <v>-354.33</v>
      </c>
      <c r="E49" s="10">
        <v>-439.78</v>
      </c>
      <c r="F49" s="10">
        <v>-1505.83</v>
      </c>
      <c r="G49" s="9">
        <v>1</v>
      </c>
      <c r="H49" s="10">
        <v>-2</v>
      </c>
      <c r="I49" s="10">
        <v>-52.53</v>
      </c>
      <c r="J49" s="10">
        <v>-338.74</v>
      </c>
      <c r="K49" s="10">
        <v>-399.34</v>
      </c>
      <c r="L49" s="9">
        <v>296.48</v>
      </c>
      <c r="M49" s="10">
        <v>-127.99</v>
      </c>
      <c r="N49" s="9">
        <v>336.76</v>
      </c>
      <c r="O49" s="9">
        <v>674.76</v>
      </c>
      <c r="P49" s="9">
        <v>1180.01</v>
      </c>
      <c r="Q49" s="9">
        <v>211.98</v>
      </c>
      <c r="R49" s="9">
        <v>115.25</v>
      </c>
      <c r="S49" s="10">
        <v>-46.22</v>
      </c>
      <c r="T49" s="9">
        <v>591.54999999999995</v>
      </c>
      <c r="U49" s="9">
        <v>872.56</v>
      </c>
      <c r="V49" s="8" t="s">
        <v>66</v>
      </c>
      <c r="W49" s="8" t="s">
        <v>66</v>
      </c>
      <c r="X49" s="8" t="s">
        <v>66</v>
      </c>
      <c r="Y49" s="8" t="s">
        <v>66</v>
      </c>
      <c r="Z49" s="8" t="s">
        <v>66</v>
      </c>
      <c r="AA49" s="8" t="s">
        <v>66</v>
      </c>
      <c r="AB49" s="8" t="s">
        <v>66</v>
      </c>
      <c r="AC49" s="8" t="s">
        <v>66</v>
      </c>
      <c r="AD49" s="8" t="s">
        <v>66</v>
      </c>
      <c r="AE49" s="8" t="s">
        <v>66</v>
      </c>
    </row>
    <row r="50" spans="1:31" x14ac:dyDescent="0.25">
      <c r="A50" s="4" t="s">
        <v>627</v>
      </c>
      <c r="B50" s="9">
        <v>6106</v>
      </c>
      <c r="C50" s="9">
        <v>7007</v>
      </c>
      <c r="D50" s="9">
        <v>6483</v>
      </c>
      <c r="E50" s="9">
        <v>9380</v>
      </c>
      <c r="F50" s="9">
        <v>28976</v>
      </c>
      <c r="G50" s="9">
        <v>6506</v>
      </c>
      <c r="H50" s="9">
        <v>5859</v>
      </c>
      <c r="I50" s="9">
        <v>6300.47</v>
      </c>
      <c r="J50" s="9">
        <v>8928.7900000000009</v>
      </c>
      <c r="K50" s="9">
        <v>27592.79</v>
      </c>
      <c r="L50" s="9">
        <v>6758.1</v>
      </c>
      <c r="M50" s="9">
        <v>6263.52</v>
      </c>
      <c r="N50" s="9">
        <v>6438.11</v>
      </c>
      <c r="O50" s="9">
        <v>9168.8799999999992</v>
      </c>
      <c r="P50" s="9">
        <v>28649.58</v>
      </c>
      <c r="Q50" s="9">
        <v>6920.3</v>
      </c>
      <c r="R50" s="9">
        <v>6568.38</v>
      </c>
      <c r="S50" s="9">
        <v>6443.63</v>
      </c>
      <c r="T50" s="9">
        <v>9295.9599999999991</v>
      </c>
      <c r="U50" s="9">
        <v>29028.6</v>
      </c>
      <c r="V50" s="9">
        <v>6961.02</v>
      </c>
      <c r="W50" s="9">
        <v>6266.3</v>
      </c>
      <c r="X50" s="9">
        <v>6298.82</v>
      </c>
      <c r="Y50" s="9">
        <v>8927.48</v>
      </c>
      <c r="Z50" s="9">
        <v>28912.26</v>
      </c>
      <c r="AA50" s="9">
        <v>7051.53</v>
      </c>
      <c r="AB50" s="9">
        <v>6345.12</v>
      </c>
      <c r="AC50" s="9">
        <v>6376.91</v>
      </c>
      <c r="AD50" s="9">
        <v>9044.9699999999993</v>
      </c>
      <c r="AE50" s="9">
        <v>29319.41</v>
      </c>
    </row>
    <row r="51" spans="1:31" x14ac:dyDescent="0.25">
      <c r="A51" s="4" t="s">
        <v>76</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spans="1:31" x14ac:dyDescent="0.25">
      <c r="A52" s="3" t="s">
        <v>626</v>
      </c>
      <c r="B52" s="9">
        <v>9486</v>
      </c>
      <c r="C52" s="9">
        <v>10387</v>
      </c>
      <c r="D52" s="9">
        <v>9905</v>
      </c>
      <c r="E52" s="9">
        <v>12585</v>
      </c>
      <c r="F52" s="9">
        <v>42363</v>
      </c>
      <c r="G52" s="9">
        <v>10123</v>
      </c>
      <c r="H52" s="9">
        <v>9586</v>
      </c>
      <c r="I52" s="9">
        <v>10020.33</v>
      </c>
      <c r="J52" s="9">
        <v>12495.12</v>
      </c>
      <c r="K52" s="9">
        <v>42403.23</v>
      </c>
      <c r="L52" s="9">
        <v>10362.879999999999</v>
      </c>
      <c r="M52" s="9">
        <v>10073.68</v>
      </c>
      <c r="N52" s="9">
        <v>10102.68</v>
      </c>
      <c r="O52" s="9">
        <v>12796.59</v>
      </c>
      <c r="P52" s="9">
        <v>43297.03</v>
      </c>
      <c r="Q52" s="9">
        <v>10561.45</v>
      </c>
      <c r="R52" s="9">
        <v>10491.34</v>
      </c>
      <c r="S52" s="9">
        <v>10081.98</v>
      </c>
      <c r="T52" s="9">
        <v>12981.78</v>
      </c>
      <c r="U52" s="9">
        <v>44058.47</v>
      </c>
      <c r="V52" s="9">
        <v>10729.31</v>
      </c>
      <c r="W52" s="9">
        <v>10195.89</v>
      </c>
      <c r="X52" s="9">
        <v>10105.01</v>
      </c>
      <c r="Y52" s="9">
        <v>12726.35</v>
      </c>
      <c r="Z52" s="9">
        <v>44464.04</v>
      </c>
      <c r="AA52" s="9">
        <v>10861.65</v>
      </c>
      <c r="AB52" s="9">
        <v>10330.5</v>
      </c>
      <c r="AC52" s="9">
        <v>10223.51</v>
      </c>
      <c r="AD52" s="9">
        <v>12899.61</v>
      </c>
      <c r="AE52" s="9">
        <v>45054.62</v>
      </c>
    </row>
    <row r="53" spans="1:31" x14ac:dyDescent="0.25">
      <c r="A53" s="3" t="s">
        <v>625</v>
      </c>
      <c r="B53" s="9">
        <v>3348</v>
      </c>
      <c r="C53" s="9">
        <v>3261</v>
      </c>
      <c r="D53" s="9">
        <v>3198</v>
      </c>
      <c r="E53" s="9">
        <v>3521</v>
      </c>
      <c r="F53" s="9">
        <v>13328</v>
      </c>
      <c r="G53" s="9">
        <v>3319</v>
      </c>
      <c r="H53" s="9">
        <v>3226</v>
      </c>
      <c r="I53" s="9">
        <v>3369.22</v>
      </c>
      <c r="J53" s="9">
        <v>3678.75</v>
      </c>
      <c r="K53" s="9">
        <v>13789.21</v>
      </c>
      <c r="L53" s="9">
        <v>3496.79</v>
      </c>
      <c r="M53" s="9">
        <v>3348.39</v>
      </c>
      <c r="N53" s="9">
        <v>3369.21</v>
      </c>
      <c r="O53" s="9">
        <v>3664.05</v>
      </c>
      <c r="P53" s="9">
        <v>14028.43</v>
      </c>
      <c r="Q53" s="9">
        <v>3455.22</v>
      </c>
      <c r="R53" s="9">
        <v>3332.58</v>
      </c>
      <c r="S53" s="9">
        <v>3252.94</v>
      </c>
      <c r="T53" s="9">
        <v>3539.61</v>
      </c>
      <c r="U53" s="9">
        <v>14060.49</v>
      </c>
      <c r="V53" s="9">
        <v>3332.33</v>
      </c>
      <c r="W53" s="9">
        <v>3118.07</v>
      </c>
      <c r="X53" s="9">
        <v>3059.2</v>
      </c>
      <c r="Y53" s="9">
        <v>3273.79</v>
      </c>
      <c r="Z53" s="9">
        <v>13942.83</v>
      </c>
      <c r="AA53" s="9">
        <v>3282.86</v>
      </c>
      <c r="AB53" s="9">
        <v>3059.98</v>
      </c>
      <c r="AC53" s="9">
        <v>3001.47</v>
      </c>
      <c r="AD53" s="9">
        <v>3221.62</v>
      </c>
      <c r="AE53" s="9">
        <v>13946.07</v>
      </c>
    </row>
    <row r="54" spans="1:31" x14ac:dyDescent="0.25">
      <c r="A54" s="4" t="s">
        <v>624</v>
      </c>
      <c r="B54" s="9">
        <v>12834</v>
      </c>
      <c r="C54" s="9">
        <v>13648</v>
      </c>
      <c r="D54" s="9">
        <v>13103</v>
      </c>
      <c r="E54" s="9">
        <v>16106</v>
      </c>
      <c r="F54" s="9">
        <v>55691</v>
      </c>
      <c r="G54" s="9">
        <v>13442</v>
      </c>
      <c r="H54" s="9">
        <v>12812</v>
      </c>
      <c r="I54" s="9">
        <v>13389.55</v>
      </c>
      <c r="J54" s="9">
        <v>16173.87</v>
      </c>
      <c r="K54" s="9">
        <v>56141.74</v>
      </c>
      <c r="L54" s="9">
        <v>13859.68</v>
      </c>
      <c r="M54" s="9">
        <v>13422.07</v>
      </c>
      <c r="N54" s="9">
        <v>13471.89</v>
      </c>
      <c r="O54" s="9">
        <v>16460.650000000001</v>
      </c>
      <c r="P54" s="9">
        <v>57203.75</v>
      </c>
      <c r="Q54" s="9">
        <v>14016.67</v>
      </c>
      <c r="R54" s="9">
        <v>13823.92</v>
      </c>
      <c r="S54" s="9">
        <v>13334.92</v>
      </c>
      <c r="T54" s="9">
        <v>16521.400000000001</v>
      </c>
      <c r="U54" s="9">
        <v>57972</v>
      </c>
      <c r="V54" s="9">
        <v>14061.64</v>
      </c>
      <c r="W54" s="9">
        <v>13313.95</v>
      </c>
      <c r="X54" s="9">
        <v>13164.22</v>
      </c>
      <c r="Y54" s="9">
        <v>16000.14</v>
      </c>
      <c r="Z54" s="9">
        <v>58406.86</v>
      </c>
      <c r="AA54" s="9">
        <v>14144.51</v>
      </c>
      <c r="AB54" s="9">
        <v>13390.47</v>
      </c>
      <c r="AC54" s="9">
        <v>13224.98</v>
      </c>
      <c r="AD54" s="9">
        <v>16121.23</v>
      </c>
      <c r="AE54" s="9">
        <v>59000.69</v>
      </c>
    </row>
    <row r="55" spans="1:31" x14ac:dyDescent="0.25">
      <c r="A55" s="3" t="s">
        <v>623</v>
      </c>
      <c r="B55" s="9">
        <v>222</v>
      </c>
      <c r="C55" s="9">
        <v>237</v>
      </c>
      <c r="D55" s="9">
        <v>243</v>
      </c>
      <c r="E55" s="9">
        <v>372</v>
      </c>
      <c r="F55" s="9">
        <v>1074</v>
      </c>
      <c r="G55" s="9">
        <v>231</v>
      </c>
      <c r="H55" s="9">
        <v>272</v>
      </c>
      <c r="I55" s="9">
        <v>271.33999999999997</v>
      </c>
      <c r="J55" s="9">
        <v>347.42</v>
      </c>
      <c r="K55" s="9">
        <v>912.24</v>
      </c>
      <c r="L55" s="9">
        <v>281.04000000000002</v>
      </c>
      <c r="M55" s="9">
        <v>268.41000000000003</v>
      </c>
      <c r="N55" s="9">
        <v>327.78</v>
      </c>
      <c r="O55" s="9">
        <v>403.56</v>
      </c>
      <c r="P55" s="9">
        <v>1164.22</v>
      </c>
      <c r="Q55" s="9">
        <v>202.22</v>
      </c>
      <c r="R55" s="9">
        <v>209.14</v>
      </c>
      <c r="S55" s="9">
        <v>200.23</v>
      </c>
      <c r="T55" s="9">
        <v>236.61</v>
      </c>
      <c r="U55" s="9">
        <v>709.41</v>
      </c>
      <c r="V55" s="9">
        <v>172.04</v>
      </c>
      <c r="W55" s="9">
        <v>183.74</v>
      </c>
      <c r="X55" s="9">
        <v>168.6</v>
      </c>
      <c r="Y55" s="9">
        <v>229.64</v>
      </c>
      <c r="Z55" s="9">
        <v>625.98</v>
      </c>
      <c r="AA55" s="9">
        <v>172.08</v>
      </c>
      <c r="AB55" s="9">
        <v>184.03</v>
      </c>
      <c r="AC55" s="9">
        <v>168.57</v>
      </c>
      <c r="AD55" s="9">
        <v>230.02</v>
      </c>
      <c r="AE55" s="9">
        <v>622.92999999999995</v>
      </c>
    </row>
    <row r="56" spans="1:31" x14ac:dyDescent="0.25">
      <c r="A56" s="4" t="s">
        <v>622</v>
      </c>
      <c r="B56" s="9">
        <v>13056</v>
      </c>
      <c r="C56" s="9">
        <v>13885</v>
      </c>
      <c r="D56" s="9">
        <v>13346</v>
      </c>
      <c r="E56" s="9">
        <v>16478</v>
      </c>
      <c r="F56" s="9">
        <v>56765</v>
      </c>
      <c r="G56" s="9">
        <v>13673</v>
      </c>
      <c r="H56" s="9">
        <v>13084</v>
      </c>
      <c r="I56" s="9">
        <v>13451.92</v>
      </c>
      <c r="J56" s="9">
        <v>16149.04</v>
      </c>
      <c r="K56" s="9">
        <v>56340.79</v>
      </c>
      <c r="L56" s="9">
        <v>14030.4</v>
      </c>
      <c r="M56" s="9">
        <v>13486.06</v>
      </c>
      <c r="N56" s="9">
        <v>13587.03</v>
      </c>
      <c r="O56" s="9">
        <v>16442.580000000002</v>
      </c>
      <c r="P56" s="9">
        <v>57482.57</v>
      </c>
      <c r="Q56" s="9">
        <v>14203.15</v>
      </c>
      <c r="R56" s="9">
        <v>13799.71</v>
      </c>
      <c r="S56" s="9">
        <v>13558.19</v>
      </c>
      <c r="T56" s="9">
        <v>16543.259999999998</v>
      </c>
      <c r="U56" s="9">
        <v>57977.78</v>
      </c>
      <c r="V56" s="9">
        <v>14311.51</v>
      </c>
      <c r="W56" s="9">
        <v>13569.37</v>
      </c>
      <c r="X56" s="9">
        <v>13423.5</v>
      </c>
      <c r="Y56" s="9">
        <v>16185.7</v>
      </c>
      <c r="Z56" s="9">
        <v>58145.06</v>
      </c>
      <c r="AA56" s="9">
        <v>14421.22</v>
      </c>
      <c r="AB56" s="9">
        <v>13671.97</v>
      </c>
      <c r="AC56" s="9">
        <v>13513.44</v>
      </c>
      <c r="AD56" s="9">
        <v>16313.66</v>
      </c>
      <c r="AE56" s="9">
        <v>58663.3</v>
      </c>
    </row>
    <row r="57" spans="1:31" x14ac:dyDescent="0.25">
      <c r="A57" s="4" t="s">
        <v>76</v>
      </c>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spans="1:31" x14ac:dyDescent="0.25">
      <c r="A58" s="3" t="s">
        <v>621</v>
      </c>
      <c r="B58" s="9">
        <v>5165</v>
      </c>
      <c r="C58" s="9">
        <v>5036</v>
      </c>
      <c r="D58" s="9">
        <v>4968</v>
      </c>
      <c r="E58" s="9">
        <v>5474</v>
      </c>
      <c r="F58" s="9">
        <v>20643</v>
      </c>
      <c r="G58" s="9">
        <v>4886</v>
      </c>
      <c r="H58" s="9">
        <v>4837</v>
      </c>
      <c r="I58" s="9">
        <v>4968.3900000000003</v>
      </c>
      <c r="J58" s="9">
        <v>5480.98</v>
      </c>
      <c r="K58" s="9">
        <v>20193.509999999998</v>
      </c>
      <c r="L58" s="9">
        <v>5002.6000000000004</v>
      </c>
      <c r="M58" s="9">
        <v>4934.42</v>
      </c>
      <c r="N58" s="9">
        <v>5037.13</v>
      </c>
      <c r="O58" s="9">
        <v>5603.44</v>
      </c>
      <c r="P58" s="9">
        <v>20418.330000000002</v>
      </c>
      <c r="Q58" s="9">
        <v>4972.74</v>
      </c>
      <c r="R58" s="9">
        <v>4901.1499999999996</v>
      </c>
      <c r="S58" s="9">
        <v>4942.37</v>
      </c>
      <c r="T58" s="9">
        <v>5448.48</v>
      </c>
      <c r="U58" s="9">
        <v>20316.63</v>
      </c>
      <c r="V58" s="9">
        <v>4874.05</v>
      </c>
      <c r="W58" s="9">
        <v>4816.63</v>
      </c>
      <c r="X58" s="9">
        <v>4892.5</v>
      </c>
      <c r="Y58" s="9">
        <v>5403.84</v>
      </c>
      <c r="Z58" s="9">
        <v>20510.28</v>
      </c>
      <c r="AA58" s="9">
        <v>4850.8500000000004</v>
      </c>
      <c r="AB58" s="9">
        <v>4795.17</v>
      </c>
      <c r="AC58" s="9">
        <v>4864.41</v>
      </c>
      <c r="AD58" s="9">
        <v>5384.08</v>
      </c>
      <c r="AE58" s="9">
        <v>20623.580000000002</v>
      </c>
    </row>
    <row r="59" spans="1:31" x14ac:dyDescent="0.25">
      <c r="A59" s="3" t="s">
        <v>620</v>
      </c>
      <c r="B59" s="9">
        <v>1919</v>
      </c>
      <c r="C59" s="9">
        <v>1990</v>
      </c>
      <c r="D59" s="9">
        <v>1927</v>
      </c>
      <c r="E59" s="9">
        <v>1885</v>
      </c>
      <c r="F59" s="9">
        <v>7721</v>
      </c>
      <c r="G59" s="9">
        <v>1806</v>
      </c>
      <c r="H59" s="9">
        <v>1847</v>
      </c>
      <c r="I59" s="9">
        <v>1966.9</v>
      </c>
      <c r="J59" s="9">
        <v>1968.44</v>
      </c>
      <c r="K59" s="9">
        <v>7716.32</v>
      </c>
      <c r="L59" s="9">
        <v>1854.83</v>
      </c>
      <c r="M59" s="9">
        <v>1800.69</v>
      </c>
      <c r="N59" s="9">
        <v>1923.74</v>
      </c>
      <c r="O59" s="9">
        <v>1952.96</v>
      </c>
      <c r="P59" s="9">
        <v>7572.46</v>
      </c>
      <c r="Q59" s="9">
        <v>1805.35</v>
      </c>
      <c r="R59" s="9">
        <v>1671.63</v>
      </c>
      <c r="S59" s="9">
        <v>1887.3</v>
      </c>
      <c r="T59" s="9">
        <v>1923.4</v>
      </c>
      <c r="U59" s="9">
        <v>7358.37</v>
      </c>
      <c r="V59" s="9">
        <v>1656.29</v>
      </c>
      <c r="W59" s="9">
        <v>1432.27</v>
      </c>
      <c r="X59" s="9">
        <v>1749.45</v>
      </c>
      <c r="Y59" s="9">
        <v>1785.49</v>
      </c>
      <c r="Z59" s="9">
        <v>7120.94</v>
      </c>
      <c r="AA59" s="9">
        <v>1580.75</v>
      </c>
      <c r="AB59" s="9">
        <v>1349.07</v>
      </c>
      <c r="AC59" s="9">
        <v>1666.2</v>
      </c>
      <c r="AD59" s="9">
        <v>1697.16</v>
      </c>
      <c r="AE59" s="9">
        <v>6968.64</v>
      </c>
    </row>
    <row r="60" spans="1:31" x14ac:dyDescent="0.25">
      <c r="A60" s="4" t="s">
        <v>619</v>
      </c>
      <c r="B60" s="9">
        <v>7084</v>
      </c>
      <c r="C60" s="9">
        <v>7026</v>
      </c>
      <c r="D60" s="9">
        <v>6895</v>
      </c>
      <c r="E60" s="9">
        <v>7359</v>
      </c>
      <c r="F60" s="9">
        <v>28364</v>
      </c>
      <c r="G60" s="9">
        <v>6692</v>
      </c>
      <c r="H60" s="9">
        <v>6684</v>
      </c>
      <c r="I60" s="9">
        <v>6935.3</v>
      </c>
      <c r="J60" s="9">
        <v>7449.41</v>
      </c>
      <c r="K60" s="9">
        <v>27873.19</v>
      </c>
      <c r="L60" s="9">
        <v>6857.43</v>
      </c>
      <c r="M60" s="9">
        <v>6735.11</v>
      </c>
      <c r="N60" s="9">
        <v>6960.88</v>
      </c>
      <c r="O60" s="9">
        <v>7556.4</v>
      </c>
      <c r="P60" s="9">
        <v>27940.16</v>
      </c>
      <c r="Q60" s="9">
        <v>6778.09</v>
      </c>
      <c r="R60" s="9">
        <v>6572.78</v>
      </c>
      <c r="S60" s="9">
        <v>6829.67</v>
      </c>
      <c r="T60" s="9">
        <v>7371.89</v>
      </c>
      <c r="U60" s="9">
        <v>27636.02</v>
      </c>
      <c r="V60" s="9">
        <v>6530.35</v>
      </c>
      <c r="W60" s="9">
        <v>6248.9</v>
      </c>
      <c r="X60" s="9">
        <v>6641.96</v>
      </c>
      <c r="Y60" s="9">
        <v>7189.33</v>
      </c>
      <c r="Z60" s="9">
        <v>27631.22</v>
      </c>
      <c r="AA60" s="9">
        <v>6431.6</v>
      </c>
      <c r="AB60" s="9">
        <v>6144.25</v>
      </c>
      <c r="AC60" s="9">
        <v>6530.61</v>
      </c>
      <c r="AD60" s="9">
        <v>7081.24</v>
      </c>
      <c r="AE60" s="9">
        <v>27592.23</v>
      </c>
    </row>
    <row r="61" spans="1:31" x14ac:dyDescent="0.25">
      <c r="A61" s="3" t="s">
        <v>618</v>
      </c>
      <c r="B61" s="9">
        <v>790</v>
      </c>
      <c r="C61" s="9">
        <v>786</v>
      </c>
      <c r="D61" s="9">
        <v>805</v>
      </c>
      <c r="E61" s="9">
        <v>684</v>
      </c>
      <c r="F61" s="9">
        <v>3065</v>
      </c>
      <c r="G61" s="9">
        <v>680</v>
      </c>
      <c r="H61" s="9">
        <v>2298</v>
      </c>
      <c r="I61" s="9">
        <v>719.88</v>
      </c>
      <c r="J61" s="9">
        <v>671.66</v>
      </c>
      <c r="K61" s="9">
        <v>3727.8</v>
      </c>
      <c r="L61" s="9">
        <v>612.66</v>
      </c>
      <c r="M61" s="9">
        <v>1036.25</v>
      </c>
      <c r="N61" s="9">
        <v>579.84</v>
      </c>
      <c r="O61" s="9">
        <v>1275.2</v>
      </c>
      <c r="P61" s="9">
        <v>3302.39</v>
      </c>
      <c r="Q61" s="9">
        <v>609.57000000000005</v>
      </c>
      <c r="R61" s="9">
        <v>730.7</v>
      </c>
      <c r="S61" s="9">
        <v>628.95000000000005</v>
      </c>
      <c r="T61" s="9">
        <v>613.88</v>
      </c>
      <c r="U61" s="9">
        <v>2779.15</v>
      </c>
      <c r="V61" s="9">
        <v>584.1</v>
      </c>
      <c r="W61" s="9">
        <v>738.7</v>
      </c>
      <c r="X61" s="9">
        <v>608.61</v>
      </c>
      <c r="Y61" s="9">
        <v>589.58000000000004</v>
      </c>
      <c r="Z61" s="9">
        <v>2759.22</v>
      </c>
      <c r="AA61" s="9">
        <v>579.62</v>
      </c>
      <c r="AB61" s="9">
        <v>735.44</v>
      </c>
      <c r="AC61" s="9">
        <v>604.92999999999995</v>
      </c>
      <c r="AD61" s="9">
        <v>584.72</v>
      </c>
      <c r="AE61" s="9">
        <v>2754.75</v>
      </c>
    </row>
    <row r="62" spans="1:31" x14ac:dyDescent="0.25">
      <c r="A62" s="4" t="s">
        <v>617</v>
      </c>
      <c r="B62" s="9">
        <v>7874</v>
      </c>
      <c r="C62" s="9">
        <v>7812</v>
      </c>
      <c r="D62" s="9">
        <v>7700</v>
      </c>
      <c r="E62" s="9">
        <v>8043</v>
      </c>
      <c r="F62" s="9">
        <v>31429</v>
      </c>
      <c r="G62" s="9">
        <v>7372</v>
      </c>
      <c r="H62" s="9">
        <v>7446</v>
      </c>
      <c r="I62" s="9">
        <v>7586.89</v>
      </c>
      <c r="J62" s="9">
        <v>8042.84</v>
      </c>
      <c r="K62" s="9">
        <v>31112.36</v>
      </c>
      <c r="L62" s="9">
        <v>7429.02</v>
      </c>
      <c r="M62" s="9">
        <v>7745.23</v>
      </c>
      <c r="N62" s="9">
        <v>7467.75</v>
      </c>
      <c r="O62" s="9">
        <v>8422.5300000000007</v>
      </c>
      <c r="P62" s="9">
        <v>30851.31</v>
      </c>
      <c r="Q62" s="9">
        <v>7377.62</v>
      </c>
      <c r="R62" s="9">
        <v>7529.5</v>
      </c>
      <c r="S62" s="9">
        <v>7404.82</v>
      </c>
      <c r="T62" s="9">
        <v>7822.66</v>
      </c>
      <c r="U62" s="9">
        <v>30071.08</v>
      </c>
      <c r="V62" s="9">
        <v>7204.9</v>
      </c>
      <c r="W62" s="9">
        <v>7400.9</v>
      </c>
      <c r="X62" s="9">
        <v>7236.81</v>
      </c>
      <c r="Y62" s="9">
        <v>7720.71</v>
      </c>
      <c r="Z62" s="9">
        <v>29963.66</v>
      </c>
      <c r="AA62" s="9">
        <v>7169.04</v>
      </c>
      <c r="AB62" s="9">
        <v>7364.24</v>
      </c>
      <c r="AC62" s="9">
        <v>7190.75</v>
      </c>
      <c r="AD62" s="9">
        <v>7676.01</v>
      </c>
      <c r="AE62" s="9">
        <v>29947.07</v>
      </c>
    </row>
    <row r="63" spans="1:31" x14ac:dyDescent="0.25">
      <c r="A63" s="4" t="s">
        <v>76</v>
      </c>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row>
    <row r="64" spans="1:31" x14ac:dyDescent="0.25">
      <c r="A64" s="3" t="s">
        <v>616</v>
      </c>
      <c r="B64" s="9">
        <v>3543</v>
      </c>
      <c r="C64" s="9">
        <v>3582</v>
      </c>
      <c r="D64" s="9">
        <v>3568</v>
      </c>
      <c r="E64" s="9">
        <v>3480</v>
      </c>
      <c r="F64" s="9">
        <v>14173</v>
      </c>
      <c r="G64" s="9">
        <v>3730</v>
      </c>
      <c r="H64" s="9">
        <v>3787</v>
      </c>
      <c r="I64" s="9">
        <v>3803.21</v>
      </c>
      <c r="J64" s="9">
        <v>3851.47</v>
      </c>
      <c r="K64" s="9">
        <v>15134.07</v>
      </c>
      <c r="L64" s="9">
        <v>3834.37</v>
      </c>
      <c r="M64" s="9">
        <v>3850.11</v>
      </c>
      <c r="N64" s="9">
        <v>3888.79</v>
      </c>
      <c r="O64" s="9">
        <v>3895.28</v>
      </c>
      <c r="P64" s="9">
        <v>15331.01</v>
      </c>
      <c r="Q64" s="9">
        <v>3858.03</v>
      </c>
      <c r="R64" s="9">
        <v>3893.17</v>
      </c>
      <c r="S64" s="9">
        <v>3945.76</v>
      </c>
      <c r="T64" s="9">
        <v>3877.83</v>
      </c>
      <c r="U64" s="9">
        <v>15513.17</v>
      </c>
      <c r="V64" s="9">
        <v>3855.64</v>
      </c>
      <c r="W64" s="9">
        <v>3878.8</v>
      </c>
      <c r="X64" s="9">
        <v>3971.52</v>
      </c>
      <c r="Y64" s="9">
        <v>3917.13</v>
      </c>
      <c r="Z64" s="9">
        <v>15686.79</v>
      </c>
      <c r="AA64" s="9">
        <v>3883.14</v>
      </c>
      <c r="AB64" s="9">
        <v>3906.75</v>
      </c>
      <c r="AC64" s="9">
        <v>4001.46</v>
      </c>
      <c r="AD64" s="9">
        <v>3945.82</v>
      </c>
      <c r="AE64" s="9">
        <v>15885.24</v>
      </c>
    </row>
    <row r="65" spans="1:31" x14ac:dyDescent="0.25">
      <c r="A65" s="3" t="s">
        <v>615</v>
      </c>
      <c r="B65" s="9">
        <v>989</v>
      </c>
      <c r="C65" s="9">
        <v>998</v>
      </c>
      <c r="D65" s="9">
        <v>1002</v>
      </c>
      <c r="E65" s="9">
        <v>987</v>
      </c>
      <c r="F65" s="9">
        <v>3976</v>
      </c>
      <c r="G65" s="9">
        <v>1049</v>
      </c>
      <c r="H65" s="9">
        <v>1091</v>
      </c>
      <c r="I65" s="9">
        <v>1096.95</v>
      </c>
      <c r="J65" s="9">
        <v>1099.08</v>
      </c>
      <c r="K65" s="9">
        <v>4349.8599999999997</v>
      </c>
      <c r="L65" s="9">
        <v>1094.3900000000001</v>
      </c>
      <c r="M65" s="9">
        <v>1102.5999999999999</v>
      </c>
      <c r="N65" s="9">
        <v>1116.17</v>
      </c>
      <c r="O65" s="9">
        <v>1119.8499999999999</v>
      </c>
      <c r="P65" s="9">
        <v>4426.12</v>
      </c>
      <c r="Q65" s="9">
        <v>1103.27</v>
      </c>
      <c r="R65" s="9">
        <v>1120.0999999999999</v>
      </c>
      <c r="S65" s="9">
        <v>1138.0899999999999</v>
      </c>
      <c r="T65" s="9">
        <v>1127.98</v>
      </c>
      <c r="U65" s="9">
        <v>4395.13</v>
      </c>
      <c r="V65" s="9">
        <v>1110.82</v>
      </c>
      <c r="W65" s="9">
        <v>1114.03</v>
      </c>
      <c r="X65" s="9">
        <v>1130.1500000000001</v>
      </c>
      <c r="Y65" s="9">
        <v>1123.57</v>
      </c>
      <c r="Z65" s="9">
        <v>4377.74</v>
      </c>
      <c r="AA65" s="9">
        <v>1117.5999999999999</v>
      </c>
      <c r="AB65" s="9">
        <v>1120.8499999999999</v>
      </c>
      <c r="AC65" s="9">
        <v>1137.28</v>
      </c>
      <c r="AD65" s="9">
        <v>1130.55</v>
      </c>
      <c r="AE65" s="9">
        <v>4374.96</v>
      </c>
    </row>
    <row r="66" spans="1:31" x14ac:dyDescent="0.25">
      <c r="A66" s="4" t="s">
        <v>614</v>
      </c>
      <c r="B66" s="9">
        <v>4532</v>
      </c>
      <c r="C66" s="9">
        <v>4580</v>
      </c>
      <c r="D66" s="9">
        <v>4570</v>
      </c>
      <c r="E66" s="9">
        <v>4467</v>
      </c>
      <c r="F66" s="9">
        <v>18149</v>
      </c>
      <c r="G66" s="9">
        <v>4779</v>
      </c>
      <c r="H66" s="9">
        <v>4878</v>
      </c>
      <c r="I66" s="9">
        <v>4900.16</v>
      </c>
      <c r="J66" s="9">
        <v>4950.55</v>
      </c>
      <c r="K66" s="9">
        <v>19483.93</v>
      </c>
      <c r="L66" s="9">
        <v>4928.76</v>
      </c>
      <c r="M66" s="9">
        <v>4952.71</v>
      </c>
      <c r="N66" s="9">
        <v>5004.96</v>
      </c>
      <c r="O66" s="9">
        <v>5015.12</v>
      </c>
      <c r="P66" s="9">
        <v>19757.12</v>
      </c>
      <c r="Q66" s="9">
        <v>4961.3</v>
      </c>
      <c r="R66" s="9">
        <v>5013.28</v>
      </c>
      <c r="S66" s="9">
        <v>5083.8500000000004</v>
      </c>
      <c r="T66" s="9">
        <v>5005.8100000000004</v>
      </c>
      <c r="U66" s="9">
        <v>19908.3</v>
      </c>
      <c r="V66" s="9">
        <v>4966.46</v>
      </c>
      <c r="W66" s="9">
        <v>4992.83</v>
      </c>
      <c r="X66" s="9">
        <v>5101.67</v>
      </c>
      <c r="Y66" s="9">
        <v>5040.71</v>
      </c>
      <c r="Z66" s="9">
        <v>20064.53</v>
      </c>
      <c r="AA66" s="9">
        <v>5000.74</v>
      </c>
      <c r="AB66" s="9">
        <v>5027.6000000000004</v>
      </c>
      <c r="AC66" s="9">
        <v>5138.74</v>
      </c>
      <c r="AD66" s="9">
        <v>5076.37</v>
      </c>
      <c r="AE66" s="9">
        <v>20260.189999999999</v>
      </c>
    </row>
    <row r="67" spans="1:31" x14ac:dyDescent="0.25">
      <c r="A67" s="3" t="s">
        <v>613</v>
      </c>
      <c r="B67" s="9">
        <v>45</v>
      </c>
      <c r="C67" s="9">
        <v>55</v>
      </c>
      <c r="D67" s="9">
        <v>48</v>
      </c>
      <c r="E67" s="9">
        <v>52</v>
      </c>
      <c r="F67" s="9">
        <v>200</v>
      </c>
      <c r="G67" s="9">
        <v>113</v>
      </c>
      <c r="H67" s="9">
        <v>130</v>
      </c>
      <c r="I67" s="9">
        <v>129.08000000000001</v>
      </c>
      <c r="J67" s="9">
        <v>107.35</v>
      </c>
      <c r="K67" s="9">
        <v>472.49</v>
      </c>
      <c r="L67" s="9">
        <v>91.9</v>
      </c>
      <c r="M67" s="9">
        <v>97.93</v>
      </c>
      <c r="N67" s="9">
        <v>93.98</v>
      </c>
      <c r="O67" s="9">
        <v>93.05</v>
      </c>
      <c r="P67" s="9">
        <v>333.55</v>
      </c>
      <c r="Q67" s="9">
        <v>114.53</v>
      </c>
      <c r="R67" s="9">
        <v>114.29</v>
      </c>
      <c r="S67" s="9">
        <v>114.03</v>
      </c>
      <c r="T67" s="9">
        <v>113.84</v>
      </c>
      <c r="U67" s="9">
        <v>201.09</v>
      </c>
      <c r="V67" s="9">
        <v>128.03</v>
      </c>
      <c r="W67" s="9">
        <v>127.53</v>
      </c>
      <c r="X67" s="9">
        <v>127.01</v>
      </c>
      <c r="Y67" s="9">
        <v>126.6</v>
      </c>
      <c r="Z67" s="9">
        <v>103.26</v>
      </c>
      <c r="AA67" s="9">
        <v>126.91</v>
      </c>
      <c r="AB67" s="9">
        <v>126.4</v>
      </c>
      <c r="AC67" s="9">
        <v>125.86</v>
      </c>
      <c r="AD67" s="9">
        <v>125.43</v>
      </c>
      <c r="AE67" s="9">
        <v>49.65</v>
      </c>
    </row>
    <row r="68" spans="1:31" x14ac:dyDescent="0.25">
      <c r="A68" s="4" t="s">
        <v>612</v>
      </c>
      <c r="B68" s="9">
        <v>4577</v>
      </c>
      <c r="C68" s="9">
        <v>4635</v>
      </c>
      <c r="D68" s="9">
        <v>4618</v>
      </c>
      <c r="E68" s="9">
        <v>4519</v>
      </c>
      <c r="F68" s="9">
        <v>18349</v>
      </c>
      <c r="G68" s="9">
        <v>4892</v>
      </c>
      <c r="H68" s="9">
        <v>5008</v>
      </c>
      <c r="I68" s="9">
        <v>4975.75</v>
      </c>
      <c r="J68" s="9">
        <v>5015.47</v>
      </c>
      <c r="K68" s="9">
        <v>19886.060000000001</v>
      </c>
      <c r="L68" s="9">
        <v>5020.0600000000004</v>
      </c>
      <c r="M68" s="9">
        <v>5049.13</v>
      </c>
      <c r="N68" s="9">
        <v>5064.5600000000004</v>
      </c>
      <c r="O68" s="9">
        <v>5070.6899999999996</v>
      </c>
      <c r="P68" s="9">
        <v>19972.73</v>
      </c>
      <c r="Q68" s="9">
        <v>5075.42</v>
      </c>
      <c r="R68" s="9">
        <v>5123.95</v>
      </c>
      <c r="S68" s="9">
        <v>5128.67</v>
      </c>
      <c r="T68" s="9">
        <v>5079.46</v>
      </c>
      <c r="U68" s="9">
        <v>20017.810000000001</v>
      </c>
      <c r="V68" s="9">
        <v>5132.8100000000004</v>
      </c>
      <c r="W68" s="9">
        <v>5167.99</v>
      </c>
      <c r="X68" s="9">
        <v>5173.01</v>
      </c>
      <c r="Y68" s="9">
        <v>5139.1899999999996</v>
      </c>
      <c r="Z68" s="9">
        <v>20229.77</v>
      </c>
      <c r="AA68" s="9">
        <v>5200.6499999999996</v>
      </c>
      <c r="AB68" s="9">
        <v>5235.13</v>
      </c>
      <c r="AC68" s="9">
        <v>5239.79</v>
      </c>
      <c r="AD68" s="9">
        <v>5203.8900000000003</v>
      </c>
      <c r="AE68" s="9">
        <v>20394.95</v>
      </c>
    </row>
    <row r="69" spans="1:31" x14ac:dyDescent="0.25">
      <c r="A69" s="4" t="s">
        <v>76</v>
      </c>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spans="1:31" x14ac:dyDescent="0.25">
      <c r="A70" s="3" t="s">
        <v>611</v>
      </c>
      <c r="B70" s="9">
        <v>18194</v>
      </c>
      <c r="C70" s="9">
        <v>19005</v>
      </c>
      <c r="D70" s="9">
        <v>18441</v>
      </c>
      <c r="E70" s="9">
        <v>21539</v>
      </c>
      <c r="F70" s="9">
        <v>77179</v>
      </c>
      <c r="G70" s="9">
        <v>18739</v>
      </c>
      <c r="H70" s="9">
        <v>18210</v>
      </c>
      <c r="I70" s="9">
        <v>18824.61</v>
      </c>
      <c r="J70" s="9">
        <v>21789.43</v>
      </c>
      <c r="K70" s="9">
        <v>77615.649999999994</v>
      </c>
      <c r="L70" s="9">
        <v>19115.53</v>
      </c>
      <c r="M70" s="9">
        <v>18625.349999999999</v>
      </c>
      <c r="N70" s="9">
        <v>19057.400000000001</v>
      </c>
      <c r="O70" s="9">
        <v>22243.599999999999</v>
      </c>
      <c r="P70" s="9">
        <v>78812.34</v>
      </c>
      <c r="Q70" s="9">
        <v>19136.86</v>
      </c>
      <c r="R70" s="9">
        <v>18792.37</v>
      </c>
      <c r="S70" s="9">
        <v>18926.16</v>
      </c>
      <c r="T70" s="9">
        <v>21825.599999999999</v>
      </c>
      <c r="U70" s="9">
        <v>79596.69</v>
      </c>
      <c r="V70" s="9">
        <v>19216.259999999998</v>
      </c>
      <c r="W70" s="9">
        <v>18886.689999999999</v>
      </c>
      <c r="X70" s="9">
        <v>18991.330000000002</v>
      </c>
      <c r="Y70" s="9">
        <v>21936.94</v>
      </c>
      <c r="Z70" s="9">
        <v>80723.31</v>
      </c>
      <c r="AA70" s="9">
        <v>19317.169999999998</v>
      </c>
      <c r="AB70" s="9">
        <v>19009.88</v>
      </c>
      <c r="AC70" s="9">
        <v>19082.14</v>
      </c>
      <c r="AD70" s="9">
        <v>22072.51</v>
      </c>
      <c r="AE70" s="9">
        <v>81623.210000000006</v>
      </c>
    </row>
    <row r="71" spans="1:31" x14ac:dyDescent="0.25">
      <c r="A71" s="3" t="s">
        <v>610</v>
      </c>
      <c r="B71" s="9">
        <v>6256</v>
      </c>
      <c r="C71" s="9">
        <v>6249</v>
      </c>
      <c r="D71" s="9">
        <v>6127</v>
      </c>
      <c r="E71" s="9">
        <v>6393</v>
      </c>
      <c r="F71" s="9">
        <v>25025</v>
      </c>
      <c r="G71" s="9">
        <v>6174</v>
      </c>
      <c r="H71" s="9">
        <v>6164</v>
      </c>
      <c r="I71" s="9">
        <v>6374.11</v>
      </c>
      <c r="J71" s="9">
        <v>6680.2</v>
      </c>
      <c r="K71" s="9">
        <v>25457.96</v>
      </c>
      <c r="L71" s="9">
        <v>6373.03</v>
      </c>
      <c r="M71" s="9">
        <v>6181.97</v>
      </c>
      <c r="N71" s="9">
        <v>6318.19</v>
      </c>
      <c r="O71" s="9">
        <v>6622.92</v>
      </c>
      <c r="P71" s="9">
        <v>25682.31</v>
      </c>
      <c r="Q71" s="9">
        <v>6140.65</v>
      </c>
      <c r="R71" s="9">
        <v>5830.17</v>
      </c>
      <c r="S71" s="9">
        <v>5932.32</v>
      </c>
      <c r="T71" s="9">
        <v>6121.44</v>
      </c>
      <c r="U71" s="9">
        <v>25419.37</v>
      </c>
      <c r="V71" s="9">
        <v>5996.5</v>
      </c>
      <c r="W71" s="9">
        <v>5655.35</v>
      </c>
      <c r="X71" s="9">
        <v>5759.09</v>
      </c>
      <c r="Y71" s="9">
        <v>5955.71</v>
      </c>
      <c r="Z71" s="9">
        <v>25510.31</v>
      </c>
      <c r="AA71" s="9">
        <v>5861.64</v>
      </c>
      <c r="AB71" s="9">
        <v>5492.45</v>
      </c>
      <c r="AC71" s="9">
        <v>5597.34</v>
      </c>
      <c r="AD71" s="9">
        <v>5800.5</v>
      </c>
      <c r="AE71" s="9">
        <v>25381.75</v>
      </c>
    </row>
    <row r="72" spans="1:31" x14ac:dyDescent="0.25">
      <c r="A72" s="4" t="s">
        <v>609</v>
      </c>
      <c r="B72" s="9">
        <v>24450</v>
      </c>
      <c r="C72" s="9">
        <v>25254</v>
      </c>
      <c r="D72" s="9">
        <v>24568</v>
      </c>
      <c r="E72" s="9">
        <v>27932</v>
      </c>
      <c r="F72" s="9">
        <v>102204</v>
      </c>
      <c r="G72" s="9">
        <v>24913</v>
      </c>
      <c r="H72" s="9">
        <v>24374</v>
      </c>
      <c r="I72" s="9">
        <v>25198.720000000001</v>
      </c>
      <c r="J72" s="9">
        <v>28469.63</v>
      </c>
      <c r="K72" s="9">
        <v>103158.97</v>
      </c>
      <c r="L72" s="9">
        <v>25488.560000000001</v>
      </c>
      <c r="M72" s="9">
        <v>24807.31</v>
      </c>
      <c r="N72" s="9">
        <v>25375.599999999999</v>
      </c>
      <c r="O72" s="9">
        <v>28866.52</v>
      </c>
      <c r="P72" s="9">
        <v>104525.33</v>
      </c>
      <c r="Q72" s="9">
        <v>25277.52</v>
      </c>
      <c r="R72" s="9">
        <v>24622.54</v>
      </c>
      <c r="S72" s="9">
        <v>24858.48</v>
      </c>
      <c r="T72" s="9">
        <v>27947.05</v>
      </c>
      <c r="U72" s="9">
        <v>105087.72</v>
      </c>
      <c r="V72" s="9">
        <v>25212.76</v>
      </c>
      <c r="W72" s="9">
        <v>24542.04</v>
      </c>
      <c r="X72" s="9">
        <v>24750.42</v>
      </c>
      <c r="Y72" s="9">
        <v>27892.65</v>
      </c>
      <c r="Z72" s="9">
        <v>106233.62</v>
      </c>
      <c r="AA72" s="9">
        <v>25178.81</v>
      </c>
      <c r="AB72" s="9">
        <v>24502.33</v>
      </c>
      <c r="AC72" s="9">
        <v>24679.48</v>
      </c>
      <c r="AD72" s="9">
        <v>27873.01</v>
      </c>
      <c r="AE72" s="9">
        <v>107004.96</v>
      </c>
    </row>
    <row r="73" spans="1:31" x14ac:dyDescent="0.25">
      <c r="A73" s="3" t="s">
        <v>608</v>
      </c>
      <c r="B73" s="9">
        <v>1057</v>
      </c>
      <c r="C73" s="9">
        <v>1078</v>
      </c>
      <c r="D73" s="9">
        <v>1096</v>
      </c>
      <c r="E73" s="9">
        <v>1108</v>
      </c>
      <c r="F73" s="9">
        <v>4339</v>
      </c>
      <c r="G73" s="9">
        <v>1024</v>
      </c>
      <c r="H73" s="9">
        <v>1164</v>
      </c>
      <c r="I73" s="9">
        <v>1025.32</v>
      </c>
      <c r="J73" s="9">
        <v>1042.4100000000001</v>
      </c>
      <c r="K73" s="9">
        <v>4940.8900000000003</v>
      </c>
      <c r="L73" s="9">
        <v>882.5</v>
      </c>
      <c r="M73" s="9">
        <v>1374.95</v>
      </c>
      <c r="N73" s="9">
        <v>895.63</v>
      </c>
      <c r="O73" s="9">
        <v>1908.99</v>
      </c>
      <c r="P73" s="9">
        <v>4593.43</v>
      </c>
      <c r="Q73" s="9">
        <v>743.15</v>
      </c>
      <c r="R73" s="9">
        <v>810.54</v>
      </c>
      <c r="S73" s="9">
        <v>776.28</v>
      </c>
      <c r="T73" s="9">
        <v>833.59</v>
      </c>
      <c r="U73" s="9">
        <v>3589.85</v>
      </c>
      <c r="V73" s="9">
        <v>823.45</v>
      </c>
      <c r="W73" s="9">
        <v>882.64</v>
      </c>
      <c r="X73" s="9">
        <v>854.38</v>
      </c>
      <c r="Y73" s="9">
        <v>913.92</v>
      </c>
      <c r="Z73" s="9">
        <v>3573.71</v>
      </c>
      <c r="AA73" s="9">
        <v>819.99</v>
      </c>
      <c r="AB73" s="9">
        <v>883.26</v>
      </c>
      <c r="AC73" s="9">
        <v>851.99</v>
      </c>
      <c r="AD73" s="9">
        <v>910.4</v>
      </c>
      <c r="AE73" s="9">
        <v>3573.81</v>
      </c>
    </row>
    <row r="74" spans="1:31" x14ac:dyDescent="0.25">
      <c r="A74" s="4" t="s">
        <v>607</v>
      </c>
      <c r="B74" s="9">
        <v>25507</v>
      </c>
      <c r="C74" s="9">
        <v>26332</v>
      </c>
      <c r="D74" s="9">
        <v>25664</v>
      </c>
      <c r="E74" s="9">
        <v>29040</v>
      </c>
      <c r="F74" s="9">
        <v>106543</v>
      </c>
      <c r="G74" s="9">
        <v>25937</v>
      </c>
      <c r="H74" s="9">
        <v>25538</v>
      </c>
      <c r="I74" s="9">
        <v>26004.84</v>
      </c>
      <c r="J74" s="9">
        <v>29265.43</v>
      </c>
      <c r="K74" s="9">
        <v>107527.58</v>
      </c>
      <c r="L74" s="9">
        <v>26393.759999999998</v>
      </c>
      <c r="M74" s="9">
        <v>26063.38</v>
      </c>
      <c r="N74" s="9">
        <v>26023.81</v>
      </c>
      <c r="O74" s="9">
        <v>29737.06</v>
      </c>
      <c r="P74" s="9">
        <v>108464.66</v>
      </c>
      <c r="Q74" s="9">
        <v>26417.22</v>
      </c>
      <c r="R74" s="9">
        <v>25936.01</v>
      </c>
      <c r="S74" s="9">
        <v>25841.31</v>
      </c>
      <c r="T74" s="9">
        <v>28809.23</v>
      </c>
      <c r="U74" s="9">
        <v>108149.87</v>
      </c>
      <c r="V74" s="9">
        <v>26565.26</v>
      </c>
      <c r="W74" s="9">
        <v>26045.69</v>
      </c>
      <c r="X74" s="9">
        <v>25738.31</v>
      </c>
      <c r="Y74" s="9">
        <v>28956.07</v>
      </c>
      <c r="Z74" s="9">
        <v>108454.61</v>
      </c>
      <c r="AA74" s="9">
        <v>26669.4</v>
      </c>
      <c r="AB74" s="9">
        <v>26141.07</v>
      </c>
      <c r="AC74" s="9">
        <v>25811.02</v>
      </c>
      <c r="AD74" s="9">
        <v>29066.05</v>
      </c>
      <c r="AE74" s="9">
        <v>109101.17</v>
      </c>
    </row>
    <row r="75" spans="1:31" x14ac:dyDescent="0.25">
      <c r="A75" s="4" t="s">
        <v>76</v>
      </c>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row>
    <row r="76" spans="1:31" x14ac:dyDescent="0.25">
      <c r="A76" s="3" t="s">
        <v>606</v>
      </c>
      <c r="B76" s="9">
        <v>7424</v>
      </c>
      <c r="C76" s="9">
        <v>7643</v>
      </c>
      <c r="D76" s="9">
        <v>7664</v>
      </c>
      <c r="E76" s="9">
        <v>6897</v>
      </c>
      <c r="F76" s="9">
        <v>29628</v>
      </c>
      <c r="G76" s="9">
        <v>7714</v>
      </c>
      <c r="H76" s="9">
        <v>8032</v>
      </c>
      <c r="I76" s="9">
        <v>8060.29</v>
      </c>
      <c r="J76" s="9">
        <v>7450.76</v>
      </c>
      <c r="K76" s="9">
        <v>31356.49</v>
      </c>
      <c r="L76" s="9">
        <v>8138.59</v>
      </c>
      <c r="M76" s="9">
        <v>8587.2900000000009</v>
      </c>
      <c r="N76" s="9">
        <v>8210.92</v>
      </c>
      <c r="O76" s="9">
        <v>7483.88</v>
      </c>
      <c r="P76" s="9">
        <v>32637.759999999998</v>
      </c>
      <c r="Q76" s="9">
        <v>8612.6</v>
      </c>
      <c r="R76" s="9">
        <v>8909.43</v>
      </c>
      <c r="S76" s="9">
        <v>8635.58</v>
      </c>
      <c r="T76" s="9">
        <v>8093.11</v>
      </c>
      <c r="U76" s="9">
        <v>34011.449999999997</v>
      </c>
      <c r="V76" s="9">
        <v>8870.9500000000007</v>
      </c>
      <c r="W76" s="9">
        <v>9206.82</v>
      </c>
      <c r="X76" s="9">
        <v>8896.61</v>
      </c>
      <c r="Y76" s="9">
        <v>8334.2900000000009</v>
      </c>
      <c r="Z76" s="9">
        <v>35419.74</v>
      </c>
      <c r="AA76" s="9">
        <v>9052.73</v>
      </c>
      <c r="AB76" s="9">
        <v>9420.9500000000007</v>
      </c>
      <c r="AC76" s="9">
        <v>9072.49</v>
      </c>
      <c r="AD76" s="9">
        <v>8493.0300000000007</v>
      </c>
      <c r="AE76" s="9">
        <v>36297.85</v>
      </c>
    </row>
    <row r="77" spans="1:31" x14ac:dyDescent="0.25">
      <c r="A77" s="3" t="s">
        <v>605</v>
      </c>
      <c r="B77" s="9">
        <v>746</v>
      </c>
      <c r="C77" s="9">
        <v>724</v>
      </c>
      <c r="D77" s="9">
        <v>716</v>
      </c>
      <c r="E77" s="9">
        <v>684</v>
      </c>
      <c r="F77" s="9">
        <v>2870</v>
      </c>
      <c r="G77" s="9">
        <v>956</v>
      </c>
      <c r="H77" s="9">
        <v>991</v>
      </c>
      <c r="I77" s="9">
        <v>825.05</v>
      </c>
      <c r="J77" s="9">
        <v>774.55</v>
      </c>
      <c r="K77" s="9">
        <v>3475.33</v>
      </c>
      <c r="L77" s="9">
        <v>911.29</v>
      </c>
      <c r="M77" s="9">
        <v>933.14</v>
      </c>
      <c r="N77" s="9">
        <v>777.56</v>
      </c>
      <c r="O77" s="9">
        <v>767.24</v>
      </c>
      <c r="P77" s="9">
        <v>3415.66</v>
      </c>
      <c r="Q77" s="9">
        <v>1016.3</v>
      </c>
      <c r="R77" s="9">
        <v>969.65</v>
      </c>
      <c r="S77" s="9">
        <v>797.12</v>
      </c>
      <c r="T77" s="9">
        <v>867.2</v>
      </c>
      <c r="U77" s="9">
        <v>3549.83</v>
      </c>
      <c r="V77" s="9">
        <v>954.93</v>
      </c>
      <c r="W77" s="9">
        <v>884.48</v>
      </c>
      <c r="X77" s="9">
        <v>718.28</v>
      </c>
      <c r="Y77" s="9">
        <v>790.76</v>
      </c>
      <c r="Z77" s="9">
        <v>3479.76</v>
      </c>
      <c r="AA77" s="9">
        <v>896.69</v>
      </c>
      <c r="AB77" s="9">
        <v>803.9</v>
      </c>
      <c r="AC77" s="9">
        <v>643.39</v>
      </c>
      <c r="AD77" s="9">
        <v>717.72</v>
      </c>
      <c r="AE77" s="9">
        <v>3628.98</v>
      </c>
    </row>
    <row r="78" spans="1:31" x14ac:dyDescent="0.25">
      <c r="A78" s="4" t="s">
        <v>604</v>
      </c>
      <c r="B78" s="9">
        <v>8170</v>
      </c>
      <c r="C78" s="9">
        <v>8367</v>
      </c>
      <c r="D78" s="9">
        <v>8380</v>
      </c>
      <c r="E78" s="9">
        <v>7581</v>
      </c>
      <c r="F78" s="9">
        <v>32498</v>
      </c>
      <c r="G78" s="9">
        <v>8670</v>
      </c>
      <c r="H78" s="9">
        <v>9023</v>
      </c>
      <c r="I78" s="9">
        <v>8885.33</v>
      </c>
      <c r="J78" s="9">
        <v>8225.31</v>
      </c>
      <c r="K78" s="9">
        <v>35159.69</v>
      </c>
      <c r="L78" s="9">
        <v>9049.89</v>
      </c>
      <c r="M78" s="9">
        <v>9520.44</v>
      </c>
      <c r="N78" s="9">
        <v>8988.48</v>
      </c>
      <c r="O78" s="9">
        <v>8251.1200000000008</v>
      </c>
      <c r="P78" s="9">
        <v>36413.11</v>
      </c>
      <c r="Q78" s="9">
        <v>9628.9</v>
      </c>
      <c r="R78" s="9">
        <v>9879.08</v>
      </c>
      <c r="S78" s="9">
        <v>9432.7099999999991</v>
      </c>
      <c r="T78" s="9">
        <v>8960.31</v>
      </c>
      <c r="U78" s="9">
        <v>37895.54</v>
      </c>
      <c r="V78" s="9">
        <v>9825.8700000000008</v>
      </c>
      <c r="W78" s="9">
        <v>10091.299999999999</v>
      </c>
      <c r="X78" s="9">
        <v>9614.89</v>
      </c>
      <c r="Y78" s="9">
        <v>9125.0400000000009</v>
      </c>
      <c r="Z78" s="9">
        <v>38899.5</v>
      </c>
      <c r="AA78" s="9">
        <v>9949.42</v>
      </c>
      <c r="AB78" s="9">
        <v>10224.85</v>
      </c>
      <c r="AC78" s="9">
        <v>9715.8700000000008</v>
      </c>
      <c r="AD78" s="9">
        <v>9210.75</v>
      </c>
      <c r="AE78" s="9">
        <v>39926.83</v>
      </c>
    </row>
    <row r="79" spans="1:31" x14ac:dyDescent="0.25">
      <c r="A79" s="3" t="s">
        <v>603</v>
      </c>
      <c r="B79" s="10">
        <v>-192</v>
      </c>
      <c r="C79" s="10">
        <v>-195</v>
      </c>
      <c r="D79" s="10">
        <v>-223</v>
      </c>
      <c r="E79" s="10">
        <v>-240</v>
      </c>
      <c r="F79" s="10">
        <v>-850</v>
      </c>
      <c r="G79" s="10">
        <v>-167</v>
      </c>
      <c r="H79" s="10">
        <v>-308</v>
      </c>
      <c r="I79" s="10">
        <v>-209.37</v>
      </c>
      <c r="J79" s="10">
        <v>-210.47</v>
      </c>
      <c r="K79" s="10">
        <v>-1423.05</v>
      </c>
      <c r="L79" s="9">
        <v>29.55</v>
      </c>
      <c r="M79" s="10">
        <v>-543.15</v>
      </c>
      <c r="N79" s="9">
        <v>18.920000000000002</v>
      </c>
      <c r="O79" s="10">
        <v>-18.68</v>
      </c>
      <c r="P79" s="10">
        <v>-1041.0899999999999</v>
      </c>
      <c r="Q79" s="10">
        <v>-114.65</v>
      </c>
      <c r="R79" s="10">
        <v>-182.54</v>
      </c>
      <c r="S79" s="10">
        <v>-139.78</v>
      </c>
      <c r="T79" s="10">
        <v>-199.59</v>
      </c>
      <c r="U79" s="10">
        <v>-947.66</v>
      </c>
      <c r="V79" s="10">
        <v>-119.95</v>
      </c>
      <c r="W79" s="10">
        <v>-179.64</v>
      </c>
      <c r="X79" s="10">
        <v>-142.88</v>
      </c>
      <c r="Y79" s="10">
        <v>-204.92</v>
      </c>
      <c r="Z79" s="10">
        <v>-421.71</v>
      </c>
      <c r="AA79" s="10">
        <v>-116.49</v>
      </c>
      <c r="AB79" s="10">
        <v>-180.26</v>
      </c>
      <c r="AC79" s="10">
        <v>-140.49</v>
      </c>
      <c r="AD79" s="10">
        <v>-201.4</v>
      </c>
      <c r="AE79" s="10">
        <v>-698.26</v>
      </c>
    </row>
    <row r="80" spans="1:31" x14ac:dyDescent="0.25">
      <c r="A80" s="4" t="s">
        <v>602</v>
      </c>
      <c r="B80" s="9">
        <v>7978</v>
      </c>
      <c r="C80" s="9">
        <v>8172</v>
      </c>
      <c r="D80" s="9">
        <v>8157</v>
      </c>
      <c r="E80" s="9">
        <v>7341</v>
      </c>
      <c r="F80" s="9">
        <v>31648</v>
      </c>
      <c r="G80" s="9">
        <v>8503</v>
      </c>
      <c r="H80" s="9">
        <v>8715</v>
      </c>
      <c r="I80" s="9">
        <v>8728.7199999999993</v>
      </c>
      <c r="J80" s="9">
        <v>8080.7</v>
      </c>
      <c r="K80" s="9">
        <v>34040.449999999997</v>
      </c>
      <c r="L80" s="9">
        <v>8930.57</v>
      </c>
      <c r="M80" s="9">
        <v>8931.91</v>
      </c>
      <c r="N80" s="9">
        <v>9087.2900000000009</v>
      </c>
      <c r="O80" s="9">
        <v>8454.1299999999992</v>
      </c>
      <c r="P80" s="9">
        <v>35508.19</v>
      </c>
      <c r="Q80" s="9">
        <v>9169.92</v>
      </c>
      <c r="R80" s="9">
        <v>9219.83</v>
      </c>
      <c r="S80" s="9">
        <v>9412.6</v>
      </c>
      <c r="T80" s="9">
        <v>8938.4</v>
      </c>
      <c r="U80" s="9">
        <v>36934.379999999997</v>
      </c>
      <c r="V80" s="9">
        <v>9459.09</v>
      </c>
      <c r="W80" s="9">
        <v>9506.7900000000009</v>
      </c>
      <c r="X80" s="9">
        <v>9705.73</v>
      </c>
      <c r="Y80" s="9">
        <v>9096.1200000000008</v>
      </c>
      <c r="Z80" s="9">
        <v>38154.03</v>
      </c>
      <c r="AA80" s="9">
        <v>9633.16</v>
      </c>
      <c r="AB80" s="9">
        <v>9680.9</v>
      </c>
      <c r="AC80" s="9">
        <v>9875.7999999999993</v>
      </c>
      <c r="AD80" s="9">
        <v>9259.56</v>
      </c>
      <c r="AE80" s="9">
        <v>38934.35</v>
      </c>
    </row>
    <row r="81" spans="1:31" x14ac:dyDescent="0.25">
      <c r="A81" s="4" t="s">
        <v>76</v>
      </c>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row>
    <row r="82" spans="1:31" x14ac:dyDescent="0.25">
      <c r="A82" s="3" t="s">
        <v>601</v>
      </c>
      <c r="B82" s="9">
        <v>10967</v>
      </c>
      <c r="C82" s="9">
        <v>11225</v>
      </c>
      <c r="D82" s="9">
        <v>11232</v>
      </c>
      <c r="E82" s="9">
        <v>10377</v>
      </c>
      <c r="F82" s="9">
        <v>43801</v>
      </c>
      <c r="G82" s="9">
        <v>11444</v>
      </c>
      <c r="H82" s="9">
        <v>11819</v>
      </c>
      <c r="I82" s="9">
        <v>11909.74</v>
      </c>
      <c r="J82" s="9">
        <v>11290.35</v>
      </c>
      <c r="K82" s="9">
        <v>46445.49</v>
      </c>
      <c r="L82" s="9">
        <v>12034.46</v>
      </c>
      <c r="M82" s="9">
        <v>12240.79</v>
      </c>
      <c r="N82" s="9">
        <v>12240.99</v>
      </c>
      <c r="O82" s="9">
        <v>11521.95</v>
      </c>
      <c r="P82" s="9">
        <v>48063.77</v>
      </c>
      <c r="Q82" s="9">
        <v>12357.17</v>
      </c>
      <c r="R82" s="9">
        <v>12713.15</v>
      </c>
      <c r="S82" s="9">
        <v>12670.33</v>
      </c>
      <c r="T82" s="9">
        <v>11985.21</v>
      </c>
      <c r="U82" s="9">
        <v>49515.98</v>
      </c>
      <c r="V82" s="9">
        <v>12540.15</v>
      </c>
      <c r="W82" s="9">
        <v>12907.83</v>
      </c>
      <c r="X82" s="9">
        <v>12776.16</v>
      </c>
      <c r="Y82" s="9">
        <v>12115.88</v>
      </c>
      <c r="Z82" s="9">
        <v>50911.54</v>
      </c>
      <c r="AA82" s="9">
        <v>12705.87</v>
      </c>
      <c r="AB82" s="9">
        <v>13097.51</v>
      </c>
      <c r="AC82" s="9">
        <v>12940</v>
      </c>
      <c r="AD82" s="9">
        <v>12256.44</v>
      </c>
      <c r="AE82" s="9">
        <v>51909.45</v>
      </c>
    </row>
    <row r="83" spans="1:31" x14ac:dyDescent="0.25">
      <c r="A83" s="3" t="s">
        <v>600</v>
      </c>
      <c r="B83" s="9">
        <v>1735</v>
      </c>
      <c r="C83" s="9">
        <v>1722</v>
      </c>
      <c r="D83" s="9">
        <v>1718</v>
      </c>
      <c r="E83" s="9">
        <v>1671</v>
      </c>
      <c r="F83" s="9">
        <v>6846</v>
      </c>
      <c r="G83" s="9">
        <v>2005</v>
      </c>
      <c r="H83" s="9">
        <v>2082</v>
      </c>
      <c r="I83" s="9">
        <v>1921.04</v>
      </c>
      <c r="J83" s="9">
        <v>1867.81</v>
      </c>
      <c r="K83" s="9">
        <v>7818.95</v>
      </c>
      <c r="L83" s="9">
        <v>2014.53</v>
      </c>
      <c r="M83" s="9">
        <v>2127.2199999999998</v>
      </c>
      <c r="N83" s="9">
        <v>1893.46</v>
      </c>
      <c r="O83" s="9">
        <v>1842.29</v>
      </c>
      <c r="P83" s="9">
        <v>7901.42</v>
      </c>
      <c r="Q83" s="9">
        <v>2016.28</v>
      </c>
      <c r="R83" s="9">
        <v>2082.79</v>
      </c>
      <c r="S83" s="9">
        <v>1829.92</v>
      </c>
      <c r="T83" s="9">
        <v>1836.61</v>
      </c>
      <c r="U83" s="9">
        <v>7934.25</v>
      </c>
      <c r="V83" s="9">
        <v>2010.64</v>
      </c>
      <c r="W83" s="9">
        <v>2140.5500000000002</v>
      </c>
      <c r="X83" s="9">
        <v>1799.89</v>
      </c>
      <c r="Y83" s="9">
        <v>1840.35</v>
      </c>
      <c r="Z83" s="9">
        <v>7843.77</v>
      </c>
      <c r="AA83" s="9">
        <v>1969.97</v>
      </c>
      <c r="AB83" s="9">
        <v>2085.8200000000002</v>
      </c>
      <c r="AC83" s="9">
        <v>1752.05</v>
      </c>
      <c r="AD83" s="9">
        <v>1801.13</v>
      </c>
      <c r="AE83" s="9">
        <v>7814.54</v>
      </c>
    </row>
    <row r="84" spans="1:31" x14ac:dyDescent="0.25">
      <c r="A84" s="4" t="s">
        <v>599</v>
      </c>
      <c r="B84" s="9">
        <v>12702</v>
      </c>
      <c r="C84" s="9">
        <v>12947</v>
      </c>
      <c r="D84" s="9">
        <v>12950</v>
      </c>
      <c r="E84" s="9">
        <v>12048</v>
      </c>
      <c r="F84" s="9">
        <v>50647</v>
      </c>
      <c r="G84" s="9">
        <v>13449</v>
      </c>
      <c r="H84" s="9">
        <v>13901</v>
      </c>
      <c r="I84" s="9">
        <v>13830.79</v>
      </c>
      <c r="J84" s="9">
        <v>13158.16</v>
      </c>
      <c r="K84" s="9">
        <v>54517.919999999998</v>
      </c>
      <c r="L84" s="9">
        <v>14048.98</v>
      </c>
      <c r="M84" s="9">
        <v>14368</v>
      </c>
      <c r="N84" s="9">
        <v>14134.46</v>
      </c>
      <c r="O84" s="9">
        <v>13364.24</v>
      </c>
      <c r="P84" s="9">
        <v>56250.79</v>
      </c>
      <c r="Q84" s="9">
        <v>14373.45</v>
      </c>
      <c r="R84" s="9">
        <v>14795.94</v>
      </c>
      <c r="S84" s="9">
        <v>14500.25</v>
      </c>
      <c r="T84" s="9">
        <v>13821.82</v>
      </c>
      <c r="U84" s="9">
        <v>57737.21</v>
      </c>
      <c r="V84" s="9">
        <v>14550.79</v>
      </c>
      <c r="W84" s="9">
        <v>15048.38</v>
      </c>
      <c r="X84" s="9">
        <v>14576.05</v>
      </c>
      <c r="Y84" s="9">
        <v>13956.23</v>
      </c>
      <c r="Z84" s="9">
        <v>58755.31</v>
      </c>
      <c r="AA84" s="9">
        <v>14675.83</v>
      </c>
      <c r="AB84" s="9">
        <v>15183.33</v>
      </c>
      <c r="AC84" s="9">
        <v>14692.05</v>
      </c>
      <c r="AD84" s="9">
        <v>14057.57</v>
      </c>
      <c r="AE84" s="9">
        <v>59723.99</v>
      </c>
    </row>
    <row r="85" spans="1:31" x14ac:dyDescent="0.25">
      <c r="A85" s="3" t="s">
        <v>598</v>
      </c>
      <c r="B85" s="10">
        <v>-147</v>
      </c>
      <c r="C85" s="10">
        <v>-140</v>
      </c>
      <c r="D85" s="10">
        <v>-175</v>
      </c>
      <c r="E85" s="10">
        <v>-188</v>
      </c>
      <c r="F85" s="10">
        <v>-650</v>
      </c>
      <c r="G85" s="10">
        <v>-54</v>
      </c>
      <c r="H85" s="10">
        <v>-178</v>
      </c>
      <c r="I85" s="10">
        <v>-140.03</v>
      </c>
      <c r="J85" s="10">
        <v>-95.1</v>
      </c>
      <c r="K85" s="10">
        <v>-830.55</v>
      </c>
      <c r="L85" s="10">
        <v>-44.98</v>
      </c>
      <c r="M85" s="10">
        <v>-313.58999999999997</v>
      </c>
      <c r="N85" s="10">
        <v>-77.290000000000006</v>
      </c>
      <c r="O85" s="10">
        <v>-106.18</v>
      </c>
      <c r="P85" s="10">
        <v>-868.36</v>
      </c>
      <c r="Q85" s="10">
        <v>-205.31</v>
      </c>
      <c r="R85" s="10">
        <v>-247.33</v>
      </c>
      <c r="S85" s="10">
        <v>-152.85</v>
      </c>
      <c r="T85" s="10">
        <v>-353.64</v>
      </c>
      <c r="U85" s="10">
        <v>-987.94</v>
      </c>
      <c r="V85" s="10">
        <v>-103.43</v>
      </c>
      <c r="W85" s="10">
        <v>-176.92</v>
      </c>
      <c r="X85" s="10">
        <v>-119.08</v>
      </c>
      <c r="Y85" s="10">
        <v>-161.16</v>
      </c>
      <c r="Z85" s="10">
        <v>-473.37</v>
      </c>
      <c r="AA85" s="10">
        <v>-100.83</v>
      </c>
      <c r="AB85" s="10">
        <v>-176.71</v>
      </c>
      <c r="AC85" s="10">
        <v>-117.21</v>
      </c>
      <c r="AD85" s="10">
        <v>-158.53</v>
      </c>
      <c r="AE85" s="10">
        <v>-571.16999999999996</v>
      </c>
    </row>
    <row r="86" spans="1:31" x14ac:dyDescent="0.25">
      <c r="A86" s="4" t="s">
        <v>597</v>
      </c>
      <c r="B86" s="9">
        <v>12555</v>
      </c>
      <c r="C86" s="9">
        <v>12807</v>
      </c>
      <c r="D86" s="9">
        <v>12775</v>
      </c>
      <c r="E86" s="9">
        <v>11860</v>
      </c>
      <c r="F86" s="9">
        <v>49997</v>
      </c>
      <c r="G86" s="9">
        <v>13395</v>
      </c>
      <c r="H86" s="9">
        <v>13723</v>
      </c>
      <c r="I86" s="9">
        <v>13691.51</v>
      </c>
      <c r="J86" s="9">
        <v>13088.18</v>
      </c>
      <c r="K86" s="9">
        <v>53752.39</v>
      </c>
      <c r="L86" s="9">
        <v>13911.4</v>
      </c>
      <c r="M86" s="9">
        <v>13958.05</v>
      </c>
      <c r="N86" s="9">
        <v>14127.43</v>
      </c>
      <c r="O86" s="9">
        <v>13449.57</v>
      </c>
      <c r="P86" s="9">
        <v>55419.85</v>
      </c>
      <c r="Q86" s="9">
        <v>14128.63</v>
      </c>
      <c r="R86" s="9">
        <v>14248.99</v>
      </c>
      <c r="S86" s="9">
        <v>14469.15</v>
      </c>
      <c r="T86" s="9">
        <v>13800.33</v>
      </c>
      <c r="U86" s="9">
        <v>56817.42</v>
      </c>
      <c r="V86" s="9">
        <v>14507.94</v>
      </c>
      <c r="W86" s="9">
        <v>14582.21</v>
      </c>
      <c r="X86" s="9">
        <v>14783.74</v>
      </c>
      <c r="Y86" s="9">
        <v>14145.78</v>
      </c>
      <c r="Z86" s="9">
        <v>58232.23</v>
      </c>
      <c r="AA86" s="9">
        <v>14712.29</v>
      </c>
      <c r="AB86" s="9">
        <v>14785.76</v>
      </c>
      <c r="AC86" s="9">
        <v>14982.64</v>
      </c>
      <c r="AD86" s="9">
        <v>14335.95</v>
      </c>
      <c r="AE86" s="9">
        <v>59130.97</v>
      </c>
    </row>
    <row r="87" spans="1:31" x14ac:dyDescent="0.25">
      <c r="A87" s="4" t="s">
        <v>76</v>
      </c>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row>
    <row r="88" spans="1:31" x14ac:dyDescent="0.25">
      <c r="A88" s="3" t="s">
        <v>596</v>
      </c>
      <c r="B88" s="9">
        <v>2578.73</v>
      </c>
      <c r="C88" s="9">
        <v>2444.27</v>
      </c>
      <c r="D88" s="9">
        <v>2680.13</v>
      </c>
      <c r="E88" s="9">
        <v>3044.95</v>
      </c>
      <c r="F88" s="9">
        <v>10748.08</v>
      </c>
      <c r="G88" s="9">
        <v>2403.54</v>
      </c>
      <c r="H88" s="9">
        <v>2315.73</v>
      </c>
      <c r="I88" s="9">
        <v>2216.56</v>
      </c>
      <c r="J88" s="9">
        <v>2264.1799999999998</v>
      </c>
      <c r="K88" s="9">
        <v>9200.01</v>
      </c>
      <c r="L88" s="9">
        <v>2383.39</v>
      </c>
      <c r="M88" s="9">
        <v>2320.8000000000002</v>
      </c>
      <c r="N88" s="9">
        <v>2268.9299999999998</v>
      </c>
      <c r="O88" s="9">
        <v>2272.66</v>
      </c>
      <c r="P88" s="9">
        <v>9304.1299999999992</v>
      </c>
      <c r="Q88" s="9">
        <v>2698.15</v>
      </c>
      <c r="R88" s="9">
        <v>2704.83</v>
      </c>
      <c r="S88" s="9">
        <v>2727.25</v>
      </c>
      <c r="T88" s="9">
        <v>2732.63</v>
      </c>
      <c r="U88" s="9">
        <v>9486.86</v>
      </c>
      <c r="V88" s="9">
        <v>2584.2199999999998</v>
      </c>
      <c r="W88" s="9">
        <v>2555.7600000000002</v>
      </c>
      <c r="X88" s="9">
        <v>2588.4499999999998</v>
      </c>
      <c r="Y88" s="9">
        <v>2606.2199999999998</v>
      </c>
      <c r="Z88" s="9">
        <v>9354.2000000000007</v>
      </c>
      <c r="AA88" s="9">
        <v>2604.79</v>
      </c>
      <c r="AB88" s="9">
        <v>2576.41</v>
      </c>
      <c r="AC88" s="9">
        <v>2609.3200000000002</v>
      </c>
      <c r="AD88" s="9">
        <v>2626.73</v>
      </c>
      <c r="AE88" s="9">
        <v>9425.7800000000007</v>
      </c>
    </row>
    <row r="89" spans="1:31" x14ac:dyDescent="0.25">
      <c r="A89" s="3" t="s">
        <v>595</v>
      </c>
      <c r="B89" s="9">
        <v>1327.84</v>
      </c>
      <c r="C89" s="9">
        <v>1226.8499999999999</v>
      </c>
      <c r="D89" s="9">
        <v>1368.6</v>
      </c>
      <c r="E89" s="9">
        <v>1537.19</v>
      </c>
      <c r="F89" s="9">
        <v>5460.48</v>
      </c>
      <c r="G89" s="9">
        <v>1433.34</v>
      </c>
      <c r="H89" s="9">
        <v>1440.24</v>
      </c>
      <c r="I89" s="9">
        <v>1456.37</v>
      </c>
      <c r="J89" s="9">
        <v>1480.1</v>
      </c>
      <c r="K89" s="9">
        <v>5810.06</v>
      </c>
      <c r="L89" s="9">
        <v>1354.84</v>
      </c>
      <c r="M89" s="9">
        <v>1350.53</v>
      </c>
      <c r="N89" s="9">
        <v>1335.95</v>
      </c>
      <c r="O89" s="9">
        <v>1347.4</v>
      </c>
      <c r="P89" s="9">
        <v>6023.74</v>
      </c>
      <c r="Q89" s="9">
        <v>1294.3699999999999</v>
      </c>
      <c r="R89" s="9">
        <v>1289.3800000000001</v>
      </c>
      <c r="S89" s="9">
        <v>1267.98</v>
      </c>
      <c r="T89" s="9">
        <v>1284.44</v>
      </c>
      <c r="U89" s="9">
        <v>6246.05</v>
      </c>
      <c r="V89" s="9">
        <v>1113.69</v>
      </c>
      <c r="W89" s="9">
        <v>1102.6600000000001</v>
      </c>
      <c r="X89" s="9">
        <v>1095.3399999999999</v>
      </c>
      <c r="Y89" s="9">
        <v>1091.1400000000001</v>
      </c>
      <c r="Z89" s="9">
        <v>6387.97</v>
      </c>
      <c r="AA89" s="9">
        <v>1032.54</v>
      </c>
      <c r="AB89" s="9">
        <v>1028.8599999999999</v>
      </c>
      <c r="AC89" s="9">
        <v>1024.8800000000001</v>
      </c>
      <c r="AD89" s="9">
        <v>1022.96</v>
      </c>
      <c r="AE89" s="9">
        <v>6251.54</v>
      </c>
    </row>
    <row r="90" spans="1:31" x14ac:dyDescent="0.25">
      <c r="A90" s="3" t="s">
        <v>594</v>
      </c>
      <c r="B90" s="9">
        <v>278.17</v>
      </c>
      <c r="C90" s="9">
        <v>159.69</v>
      </c>
      <c r="D90" s="9">
        <v>304.81</v>
      </c>
      <c r="E90" s="9">
        <v>193.51</v>
      </c>
      <c r="F90" s="9">
        <v>936.18</v>
      </c>
      <c r="G90" s="9">
        <v>193.82</v>
      </c>
      <c r="H90" s="9">
        <v>97.99</v>
      </c>
      <c r="I90" s="9">
        <v>209.75</v>
      </c>
      <c r="J90" s="9">
        <v>210.26</v>
      </c>
      <c r="K90" s="9">
        <v>563.36</v>
      </c>
      <c r="L90" s="9">
        <v>329.03</v>
      </c>
      <c r="M90" s="9">
        <v>330.05</v>
      </c>
      <c r="N90" s="9">
        <v>331.08</v>
      </c>
      <c r="O90" s="9">
        <v>332.11</v>
      </c>
      <c r="P90" s="9">
        <v>709.88</v>
      </c>
      <c r="Q90" s="9">
        <v>416.28</v>
      </c>
      <c r="R90" s="9">
        <v>418.36</v>
      </c>
      <c r="S90" s="9">
        <v>420.46</v>
      </c>
      <c r="T90" s="9">
        <v>422.56</v>
      </c>
      <c r="U90" s="9">
        <v>696.51</v>
      </c>
      <c r="V90" s="9">
        <v>424.67</v>
      </c>
      <c r="W90" s="9">
        <v>426.79</v>
      </c>
      <c r="X90" s="9">
        <v>428.93</v>
      </c>
      <c r="Y90" s="9">
        <v>431.07</v>
      </c>
      <c r="Z90" s="9">
        <v>693.27</v>
      </c>
      <c r="AA90" s="9">
        <v>433.23</v>
      </c>
      <c r="AB90" s="9">
        <v>435.39</v>
      </c>
      <c r="AC90" s="9">
        <v>437.57</v>
      </c>
      <c r="AD90" s="9">
        <v>439.76</v>
      </c>
      <c r="AE90" s="9">
        <v>695.16</v>
      </c>
    </row>
    <row r="91" spans="1:31" x14ac:dyDescent="0.25">
      <c r="A91" s="4" t="s">
        <v>593</v>
      </c>
      <c r="B91" s="9">
        <v>4145</v>
      </c>
      <c r="C91" s="9">
        <v>3808</v>
      </c>
      <c r="D91" s="9">
        <v>4310</v>
      </c>
      <c r="E91" s="9">
        <v>4748</v>
      </c>
      <c r="F91" s="9">
        <v>17011</v>
      </c>
      <c r="G91" s="9">
        <v>4201</v>
      </c>
      <c r="H91" s="9">
        <v>4009</v>
      </c>
      <c r="I91" s="9">
        <v>4008.73</v>
      </c>
      <c r="J91" s="9">
        <v>4142.97</v>
      </c>
      <c r="K91" s="9">
        <v>16344.13</v>
      </c>
      <c r="L91" s="9">
        <v>4160.6099999999997</v>
      </c>
      <c r="M91" s="9">
        <v>4114.25</v>
      </c>
      <c r="N91" s="9">
        <v>4086.13</v>
      </c>
      <c r="O91" s="9">
        <v>4258.26</v>
      </c>
      <c r="P91" s="9">
        <v>16665.32</v>
      </c>
      <c r="Q91" s="9">
        <v>4287.07</v>
      </c>
      <c r="R91" s="9">
        <v>4168.59</v>
      </c>
      <c r="S91" s="9">
        <v>4166.07</v>
      </c>
      <c r="T91" s="9">
        <v>4256.04</v>
      </c>
      <c r="U91" s="9">
        <v>16949.72</v>
      </c>
      <c r="V91" s="9">
        <v>4309.76</v>
      </c>
      <c r="W91" s="9">
        <v>4177.1000000000004</v>
      </c>
      <c r="X91" s="9">
        <v>4153.67</v>
      </c>
      <c r="Y91" s="9">
        <v>4233.8599999999997</v>
      </c>
      <c r="Z91" s="9">
        <v>17063.41</v>
      </c>
      <c r="AA91" s="9">
        <v>4316.82</v>
      </c>
      <c r="AB91" s="9">
        <v>4186.32</v>
      </c>
      <c r="AC91" s="9">
        <v>4159.72</v>
      </c>
      <c r="AD91" s="9">
        <v>4239.67</v>
      </c>
      <c r="AE91" s="9">
        <v>17179.16</v>
      </c>
    </row>
  </sheetData>
  <mergeCells count="1">
    <mergeCell ref="A1:D1"/>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12D9-6B2A-44A4-8F93-5F60F4704FFB}">
  <dimension ref="A1:AE68"/>
  <sheetViews>
    <sheetView workbookViewId="0">
      <selection sqref="A1:D1"/>
    </sheetView>
  </sheetViews>
  <sheetFormatPr defaultRowHeight="15" x14ac:dyDescent="0.25"/>
  <cols>
    <col min="1" max="1" width="48.5703125" customWidth="1"/>
    <col min="2" max="5" width="18.42578125" customWidth="1"/>
    <col min="6" max="6" width="20.5703125" customWidth="1"/>
    <col min="7" max="8" width="18.42578125" customWidth="1"/>
    <col min="9" max="10" width="18" customWidth="1"/>
    <col min="11" max="11" width="20.5703125" customWidth="1"/>
    <col min="12" max="15" width="18" customWidth="1"/>
    <col min="16" max="16" width="20.5703125" customWidth="1"/>
    <col min="17" max="20" width="18" customWidth="1"/>
    <col min="21" max="21" width="20.5703125" customWidth="1"/>
    <col min="22" max="25" width="18" customWidth="1"/>
    <col min="26" max="26" width="20.5703125" customWidth="1"/>
    <col min="27" max="30" width="18" customWidth="1"/>
    <col min="31" max="31" width="20.5703125" customWidth="1"/>
  </cols>
  <sheetData>
    <row r="1" spans="1:31" ht="39.950000000000003" customHeight="1" x14ac:dyDescent="0.25">
      <c r="A1" s="40"/>
      <c r="B1" s="40"/>
      <c r="C1" s="40"/>
      <c r="D1" s="40"/>
    </row>
    <row r="2" spans="1:31" ht="30" customHeight="1" x14ac:dyDescent="0.3">
      <c r="A2" s="1" t="s">
        <v>592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19</v>
      </c>
      <c r="C15" s="7">
        <v>19</v>
      </c>
      <c r="D15" s="7">
        <v>19</v>
      </c>
      <c r="E15" s="7">
        <v>19</v>
      </c>
      <c r="F15" s="7">
        <v>20</v>
      </c>
      <c r="G15" s="7">
        <v>20</v>
      </c>
      <c r="H15" s="7">
        <v>20</v>
      </c>
      <c r="I15" s="8" t="s">
        <v>40</v>
      </c>
      <c r="J15" s="8" t="s">
        <v>40</v>
      </c>
      <c r="K15" s="8" t="s">
        <v>40</v>
      </c>
      <c r="L15" s="8" t="s">
        <v>41</v>
      </c>
      <c r="M15" s="8" t="s">
        <v>41</v>
      </c>
      <c r="N15" s="8" t="s">
        <v>42</v>
      </c>
      <c r="O15" s="8" t="s">
        <v>42</v>
      </c>
      <c r="P15" s="8" t="s">
        <v>40</v>
      </c>
      <c r="Q15" s="8" t="s">
        <v>43</v>
      </c>
      <c r="R15" s="8" t="s">
        <v>43</v>
      </c>
      <c r="S15" s="8" t="s">
        <v>43</v>
      </c>
      <c r="T15" s="8" t="s">
        <v>43</v>
      </c>
      <c r="U15" s="8" t="s">
        <v>44</v>
      </c>
      <c r="V15" s="8" t="s">
        <v>45</v>
      </c>
      <c r="W15" s="8" t="s">
        <v>45</v>
      </c>
      <c r="X15" s="8" t="s">
        <v>45</v>
      </c>
      <c r="Y15" s="8" t="s">
        <v>45</v>
      </c>
      <c r="Z15" s="8" t="s">
        <v>46</v>
      </c>
      <c r="AA15" s="8" t="s">
        <v>45</v>
      </c>
      <c r="AB15" s="8" t="s">
        <v>45</v>
      </c>
      <c r="AC15" s="8" t="s">
        <v>45</v>
      </c>
      <c r="AD15" s="8" t="s">
        <v>45</v>
      </c>
      <c r="AE15" s="8" t="s">
        <v>46</v>
      </c>
    </row>
    <row r="16" spans="1:31" x14ac:dyDescent="0.25">
      <c r="A16" s="4" t="s">
        <v>591</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25">
      <c r="A17" s="3" t="s">
        <v>590</v>
      </c>
      <c r="B17" s="9">
        <v>2785.35</v>
      </c>
      <c r="C17" s="9">
        <v>2811.1</v>
      </c>
      <c r="D17" s="9">
        <v>2821.1</v>
      </c>
      <c r="E17" s="9">
        <v>2804.6</v>
      </c>
      <c r="F17" s="9">
        <v>11222.13</v>
      </c>
      <c r="G17" s="9">
        <v>3225.9</v>
      </c>
      <c r="H17" s="9">
        <v>3472</v>
      </c>
      <c r="I17" s="9">
        <v>3697.78</v>
      </c>
      <c r="J17" s="9">
        <v>3753.82</v>
      </c>
      <c r="K17" s="9">
        <v>14149.5</v>
      </c>
      <c r="L17" s="9">
        <v>4302.18</v>
      </c>
      <c r="M17" s="9">
        <v>4667.53</v>
      </c>
      <c r="N17" s="9">
        <v>4346.58</v>
      </c>
      <c r="O17" s="9">
        <v>4395.55</v>
      </c>
      <c r="P17" s="9">
        <v>15334.02</v>
      </c>
      <c r="Q17" s="9">
        <v>4364.84</v>
      </c>
      <c r="R17" s="9">
        <v>4790.57</v>
      </c>
      <c r="S17" s="9">
        <v>4409.87</v>
      </c>
      <c r="T17" s="9">
        <v>4453.07</v>
      </c>
      <c r="U17" s="9">
        <v>15761.24</v>
      </c>
      <c r="V17" s="9">
        <v>4413</v>
      </c>
      <c r="W17" s="9">
        <v>4901.26</v>
      </c>
      <c r="X17" s="9">
        <v>4453.2700000000004</v>
      </c>
      <c r="Y17" s="9">
        <v>4488.62</v>
      </c>
      <c r="Z17" s="9">
        <v>16230.29</v>
      </c>
      <c r="AA17" s="9">
        <v>4434.12</v>
      </c>
      <c r="AB17" s="9">
        <v>4988.09</v>
      </c>
      <c r="AC17" s="9">
        <v>4471.7299999999996</v>
      </c>
      <c r="AD17" s="9">
        <v>4503.88</v>
      </c>
      <c r="AE17" s="9">
        <v>16649.77</v>
      </c>
    </row>
    <row r="18" spans="1:31" x14ac:dyDescent="0.25">
      <c r="A18" s="3" t="s">
        <v>589</v>
      </c>
      <c r="B18" s="9">
        <v>2622.67</v>
      </c>
      <c r="C18" s="9">
        <v>2566.33</v>
      </c>
      <c r="D18" s="9">
        <v>2463</v>
      </c>
      <c r="E18" s="9">
        <v>2447</v>
      </c>
      <c r="F18" s="9">
        <v>10099</v>
      </c>
      <c r="G18" s="9">
        <v>2758.5</v>
      </c>
      <c r="H18" s="9">
        <v>2651.17</v>
      </c>
      <c r="I18" s="9">
        <v>2623.71</v>
      </c>
      <c r="J18" s="9">
        <v>2606.1799999999998</v>
      </c>
      <c r="K18" s="9">
        <v>10639.56</v>
      </c>
      <c r="L18" s="9">
        <v>2729.6</v>
      </c>
      <c r="M18" s="9">
        <v>2608.73</v>
      </c>
      <c r="N18" s="9">
        <v>2426</v>
      </c>
      <c r="O18" s="9">
        <v>2410.1799999999998</v>
      </c>
      <c r="P18" s="9">
        <v>10003.35</v>
      </c>
      <c r="Q18" s="9">
        <v>2500.9299999999998</v>
      </c>
      <c r="R18" s="9">
        <v>2390.27</v>
      </c>
      <c r="S18" s="9">
        <v>2222.64</v>
      </c>
      <c r="T18" s="9">
        <v>2208.4499999999998</v>
      </c>
      <c r="U18" s="9">
        <v>9244.26</v>
      </c>
      <c r="V18" s="9">
        <v>2292.83</v>
      </c>
      <c r="W18" s="9">
        <v>2191.7399999999998</v>
      </c>
      <c r="X18" s="9">
        <v>2038.07</v>
      </c>
      <c r="Y18" s="9">
        <v>2025.49</v>
      </c>
      <c r="Z18" s="9">
        <v>8549.11</v>
      </c>
      <c r="AA18" s="9">
        <v>2104.0700000000002</v>
      </c>
      <c r="AB18" s="9">
        <v>2011.74</v>
      </c>
      <c r="AC18" s="9">
        <v>1870.88</v>
      </c>
      <c r="AD18" s="9">
        <v>1859.83</v>
      </c>
      <c r="AE18" s="9">
        <v>7913.41</v>
      </c>
    </row>
    <row r="19" spans="1:31" x14ac:dyDescent="0.25">
      <c r="A19" s="4" t="s">
        <v>588</v>
      </c>
      <c r="B19" s="9">
        <v>5512.4</v>
      </c>
      <c r="C19" s="9">
        <v>5485.56</v>
      </c>
      <c r="D19" s="9">
        <v>5389.23</v>
      </c>
      <c r="E19" s="9">
        <v>5354.73</v>
      </c>
      <c r="F19" s="9">
        <v>21741.919999999998</v>
      </c>
      <c r="G19" s="9">
        <v>6165.52</v>
      </c>
      <c r="H19" s="9">
        <v>6320.66</v>
      </c>
      <c r="I19" s="9">
        <v>6413.8</v>
      </c>
      <c r="J19" s="9">
        <v>6420.69</v>
      </c>
      <c r="K19" s="9">
        <v>25320.67</v>
      </c>
      <c r="L19" s="9">
        <v>6778.04</v>
      </c>
      <c r="M19" s="9">
        <v>6854.72</v>
      </c>
      <c r="N19" s="9">
        <v>6583.99</v>
      </c>
      <c r="O19" s="9">
        <v>6588.3</v>
      </c>
      <c r="P19" s="9">
        <v>25491.919999999998</v>
      </c>
      <c r="Q19" s="9">
        <v>6791.9</v>
      </c>
      <c r="R19" s="9">
        <v>6939.35</v>
      </c>
      <c r="S19" s="9">
        <v>6568.62</v>
      </c>
      <c r="T19" s="9">
        <v>6578.7</v>
      </c>
      <c r="U19" s="9">
        <v>25105.08</v>
      </c>
      <c r="V19" s="9">
        <v>6696.07</v>
      </c>
      <c r="W19" s="9">
        <v>6878.06</v>
      </c>
      <c r="X19" s="9">
        <v>6474.29</v>
      </c>
      <c r="Y19" s="9">
        <v>6478.14</v>
      </c>
      <c r="Z19" s="9">
        <v>24805.83</v>
      </c>
      <c r="AA19" s="9">
        <v>6603.84</v>
      </c>
      <c r="AB19" s="9">
        <v>6822.51</v>
      </c>
      <c r="AC19" s="9">
        <v>6383.93</v>
      </c>
      <c r="AD19" s="9">
        <v>6384.68</v>
      </c>
      <c r="AE19" s="9">
        <v>24552.17</v>
      </c>
    </row>
    <row r="20" spans="1:31" x14ac:dyDescent="0.25">
      <c r="A20" s="4" t="s">
        <v>76</v>
      </c>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spans="1:31" x14ac:dyDescent="0.25">
      <c r="A21" s="3" t="s">
        <v>587</v>
      </c>
      <c r="B21" s="9">
        <v>3662.97</v>
      </c>
      <c r="C21" s="9">
        <v>3704.72</v>
      </c>
      <c r="D21" s="9">
        <v>3621.88</v>
      </c>
      <c r="E21" s="9">
        <v>3677.73</v>
      </c>
      <c r="F21" s="9">
        <v>13418.67</v>
      </c>
      <c r="G21" s="9">
        <v>4090.4</v>
      </c>
      <c r="H21" s="9">
        <v>4115.5200000000004</v>
      </c>
      <c r="I21" s="9">
        <v>4185</v>
      </c>
      <c r="J21" s="9">
        <v>4169.46</v>
      </c>
      <c r="K21" s="9">
        <v>14272.67</v>
      </c>
      <c r="L21" s="9">
        <v>4048.44</v>
      </c>
      <c r="M21" s="9">
        <v>4013.62</v>
      </c>
      <c r="N21" s="9">
        <v>3964.82</v>
      </c>
      <c r="O21" s="9">
        <v>3952.85</v>
      </c>
      <c r="P21" s="9">
        <v>13973.33</v>
      </c>
      <c r="Q21" s="9">
        <v>3868.65</v>
      </c>
      <c r="R21" s="9">
        <v>3837.1</v>
      </c>
      <c r="S21" s="9">
        <v>3791.92</v>
      </c>
      <c r="T21" s="9">
        <v>3777.29</v>
      </c>
      <c r="U21" s="9">
        <v>13639.11</v>
      </c>
      <c r="V21" s="9">
        <v>3741.85</v>
      </c>
      <c r="W21" s="9">
        <v>3711</v>
      </c>
      <c r="X21" s="9">
        <v>3666.73</v>
      </c>
      <c r="Y21" s="9">
        <v>3648.49</v>
      </c>
      <c r="Z21" s="9">
        <v>13491.7</v>
      </c>
      <c r="AA21" s="9">
        <v>3606.68</v>
      </c>
      <c r="AB21" s="9">
        <v>3574.73</v>
      </c>
      <c r="AC21" s="9">
        <v>3534.62</v>
      </c>
      <c r="AD21" s="9">
        <v>3517.02</v>
      </c>
      <c r="AE21" s="9">
        <v>13352.42</v>
      </c>
    </row>
    <row r="22" spans="1:31" x14ac:dyDescent="0.25">
      <c r="A22" s="3" t="s">
        <v>586</v>
      </c>
      <c r="B22" s="9">
        <v>1264.69</v>
      </c>
      <c r="C22" s="9">
        <v>1198.0999999999999</v>
      </c>
      <c r="D22" s="9">
        <v>1162.49</v>
      </c>
      <c r="E22" s="9">
        <v>1087.3599999999999</v>
      </c>
      <c r="F22" s="9">
        <v>4712.6499999999996</v>
      </c>
      <c r="G22" s="9">
        <v>1050.45</v>
      </c>
      <c r="H22" s="9">
        <v>1495.86</v>
      </c>
      <c r="I22" s="9">
        <v>1046.25</v>
      </c>
      <c r="J22" s="9">
        <v>1042.3699999999999</v>
      </c>
      <c r="K22" s="9">
        <v>4514.0200000000004</v>
      </c>
      <c r="L22" s="9">
        <v>1012.11</v>
      </c>
      <c r="M22" s="9">
        <v>1003.4</v>
      </c>
      <c r="N22" s="9">
        <v>991.2</v>
      </c>
      <c r="O22" s="9">
        <v>988.21</v>
      </c>
      <c r="P22" s="9">
        <v>4169.13</v>
      </c>
      <c r="Q22" s="9">
        <v>967.16</v>
      </c>
      <c r="R22" s="9">
        <v>959.27</v>
      </c>
      <c r="S22" s="9">
        <v>947.98</v>
      </c>
      <c r="T22" s="9">
        <v>944.32</v>
      </c>
      <c r="U22" s="9">
        <v>4065.89</v>
      </c>
      <c r="V22" s="9">
        <v>935.46</v>
      </c>
      <c r="W22" s="9">
        <v>927.75</v>
      </c>
      <c r="X22" s="9">
        <v>916.68</v>
      </c>
      <c r="Y22" s="9">
        <v>912.12</v>
      </c>
      <c r="Z22" s="9">
        <v>4018.45</v>
      </c>
      <c r="AA22" s="9">
        <v>901.67</v>
      </c>
      <c r="AB22" s="9">
        <v>893.68</v>
      </c>
      <c r="AC22" s="9">
        <v>883.65</v>
      </c>
      <c r="AD22" s="9">
        <v>879.25</v>
      </c>
      <c r="AE22" s="9">
        <v>3974.45</v>
      </c>
    </row>
    <row r="23" spans="1:31" x14ac:dyDescent="0.25">
      <c r="A23" s="4" t="s">
        <v>585</v>
      </c>
      <c r="B23" s="9">
        <v>4626.32</v>
      </c>
      <c r="C23" s="9">
        <v>4569.3100000000004</v>
      </c>
      <c r="D23" s="9">
        <v>4484.3900000000003</v>
      </c>
      <c r="E23" s="9">
        <v>4451.29</v>
      </c>
      <c r="F23" s="9">
        <v>18131.32</v>
      </c>
      <c r="G23" s="9">
        <v>4558.72</v>
      </c>
      <c r="H23" s="9">
        <v>4880.8</v>
      </c>
      <c r="I23" s="9">
        <v>4663.43</v>
      </c>
      <c r="J23" s="9">
        <v>4683.7299999999996</v>
      </c>
      <c r="K23" s="9">
        <v>18786.689999999999</v>
      </c>
      <c r="L23" s="9">
        <v>5060.55</v>
      </c>
      <c r="M23" s="9">
        <v>5017.0200000000004</v>
      </c>
      <c r="N23" s="9">
        <v>4956.0200000000004</v>
      </c>
      <c r="O23" s="9">
        <v>4941.0600000000004</v>
      </c>
      <c r="P23" s="9">
        <v>18142.46</v>
      </c>
      <c r="Q23" s="9">
        <v>4835.8100000000004</v>
      </c>
      <c r="R23" s="9">
        <v>4796.37</v>
      </c>
      <c r="S23" s="9">
        <v>4739.8999999999996</v>
      </c>
      <c r="T23" s="9">
        <v>4721.6099999999997</v>
      </c>
      <c r="U23" s="9">
        <v>17705</v>
      </c>
      <c r="V23" s="9">
        <v>4677.32</v>
      </c>
      <c r="W23" s="9">
        <v>4638.75</v>
      </c>
      <c r="X23" s="9">
        <v>4583.41</v>
      </c>
      <c r="Y23" s="9">
        <v>4560.6099999999997</v>
      </c>
      <c r="Z23" s="9">
        <v>17510.14</v>
      </c>
      <c r="AA23" s="9">
        <v>4508.3500000000004</v>
      </c>
      <c r="AB23" s="9">
        <v>4468.41</v>
      </c>
      <c r="AC23" s="9">
        <v>4418.2700000000004</v>
      </c>
      <c r="AD23" s="9">
        <v>4396.2700000000004</v>
      </c>
      <c r="AE23" s="9">
        <v>17326.87</v>
      </c>
    </row>
    <row r="24" spans="1:31" x14ac:dyDescent="0.25">
      <c r="A24" s="3" t="s">
        <v>584</v>
      </c>
      <c r="B24" s="9">
        <v>1543.52</v>
      </c>
      <c r="C24" s="9">
        <v>1544.15</v>
      </c>
      <c r="D24" s="9">
        <v>1521.41</v>
      </c>
      <c r="E24" s="9">
        <v>1507.89</v>
      </c>
      <c r="F24" s="9">
        <v>6116.97</v>
      </c>
      <c r="G24" s="9">
        <v>1555.78</v>
      </c>
      <c r="H24" s="9">
        <v>1674.58</v>
      </c>
      <c r="I24" s="9">
        <v>1503.32</v>
      </c>
      <c r="J24" s="9">
        <v>1513.26</v>
      </c>
      <c r="K24" s="9">
        <v>5936.1</v>
      </c>
      <c r="L24" s="8" t="s">
        <v>66</v>
      </c>
      <c r="M24" s="8" t="s">
        <v>66</v>
      </c>
      <c r="N24" s="8" t="s">
        <v>66</v>
      </c>
      <c r="O24" s="8" t="s">
        <v>66</v>
      </c>
      <c r="P24" s="9">
        <v>5982.17</v>
      </c>
      <c r="Q24" s="8" t="s">
        <v>66</v>
      </c>
      <c r="R24" s="8" t="s">
        <v>66</v>
      </c>
      <c r="S24" s="8" t="s">
        <v>66</v>
      </c>
      <c r="T24" s="8" t="s">
        <v>66</v>
      </c>
      <c r="U24" s="9">
        <v>5225.3599999999997</v>
      </c>
      <c r="V24" s="8" t="s">
        <v>66</v>
      </c>
      <c r="W24" s="8" t="s">
        <v>66</v>
      </c>
      <c r="X24" s="8" t="s">
        <v>66</v>
      </c>
      <c r="Y24" s="8" t="s">
        <v>66</v>
      </c>
      <c r="Z24" s="9">
        <v>4970.01</v>
      </c>
      <c r="AA24" s="8" t="s">
        <v>66</v>
      </c>
      <c r="AB24" s="8" t="s">
        <v>66</v>
      </c>
      <c r="AC24" s="8" t="s">
        <v>66</v>
      </c>
      <c r="AD24" s="8" t="s">
        <v>66</v>
      </c>
      <c r="AE24" s="9">
        <v>4657</v>
      </c>
    </row>
    <row r="25" spans="1:31" x14ac:dyDescent="0.25">
      <c r="A25" s="4" t="s">
        <v>583</v>
      </c>
      <c r="B25" s="9">
        <v>6652.55</v>
      </c>
      <c r="C25" s="9">
        <v>6723.93</v>
      </c>
      <c r="D25" s="9">
        <v>6484.34</v>
      </c>
      <c r="E25" s="9">
        <v>6660.14</v>
      </c>
      <c r="F25" s="9">
        <v>22614.76</v>
      </c>
      <c r="G25" s="9">
        <v>6956</v>
      </c>
      <c r="H25" s="9">
        <v>6906.64</v>
      </c>
      <c r="I25" s="9">
        <v>5402.95</v>
      </c>
      <c r="J25" s="9">
        <v>5458.53</v>
      </c>
      <c r="K25" s="9">
        <v>21621.99</v>
      </c>
      <c r="L25" s="8" t="s">
        <v>66</v>
      </c>
      <c r="M25" s="8" t="s">
        <v>66</v>
      </c>
      <c r="N25" s="8" t="s">
        <v>66</v>
      </c>
      <c r="O25" s="8" t="s">
        <v>66</v>
      </c>
      <c r="P25" s="9">
        <v>21565.31</v>
      </c>
      <c r="Q25" s="8" t="s">
        <v>66</v>
      </c>
      <c r="R25" s="8" t="s">
        <v>66</v>
      </c>
      <c r="S25" s="8" t="s">
        <v>66</v>
      </c>
      <c r="T25" s="8" t="s">
        <v>66</v>
      </c>
      <c r="U25" s="9">
        <v>21648.36</v>
      </c>
      <c r="V25" s="8" t="s">
        <v>66</v>
      </c>
      <c r="W25" s="8" t="s">
        <v>66</v>
      </c>
      <c r="X25" s="8" t="s">
        <v>66</v>
      </c>
      <c r="Y25" s="8" t="s">
        <v>66</v>
      </c>
      <c r="Z25" s="9">
        <v>22028.560000000001</v>
      </c>
      <c r="AA25" s="8" t="s">
        <v>66</v>
      </c>
      <c r="AB25" s="8" t="s">
        <v>66</v>
      </c>
      <c r="AC25" s="8" t="s">
        <v>66</v>
      </c>
      <c r="AD25" s="8" t="s">
        <v>66</v>
      </c>
      <c r="AE25" s="9">
        <v>22520.49</v>
      </c>
    </row>
    <row r="26" spans="1:31" x14ac:dyDescent="0.25">
      <c r="A26" s="4" t="s">
        <v>582</v>
      </c>
      <c r="B26" s="10">
        <v>-1259.0899999999999</v>
      </c>
      <c r="C26" s="10">
        <v>-1351.8</v>
      </c>
      <c r="D26" s="10">
        <v>-1207.54</v>
      </c>
      <c r="E26" s="10">
        <v>-1414.02</v>
      </c>
      <c r="F26" s="10">
        <v>-1975.5</v>
      </c>
      <c r="G26" s="10">
        <v>-444.66</v>
      </c>
      <c r="H26" s="10">
        <v>-336.49</v>
      </c>
      <c r="I26" s="10">
        <v>-280.23</v>
      </c>
      <c r="J26" s="10">
        <v>-324.94</v>
      </c>
      <c r="K26" s="10">
        <v>-1386.32</v>
      </c>
      <c r="L26" s="8" t="s">
        <v>66</v>
      </c>
      <c r="M26" s="9">
        <v>6369.91</v>
      </c>
      <c r="N26" s="8" t="s">
        <v>66</v>
      </c>
      <c r="O26" s="8" t="s">
        <v>66</v>
      </c>
      <c r="P26" s="10">
        <v>-1325.89</v>
      </c>
      <c r="Q26" s="8" t="s">
        <v>66</v>
      </c>
      <c r="R26" s="8" t="s">
        <v>66</v>
      </c>
      <c r="S26" s="8" t="s">
        <v>66</v>
      </c>
      <c r="T26" s="8" t="s">
        <v>66</v>
      </c>
      <c r="U26" s="10">
        <v>-1313.13</v>
      </c>
      <c r="V26" s="8" t="s">
        <v>66</v>
      </c>
      <c r="W26" s="8" t="s">
        <v>66</v>
      </c>
      <c r="X26" s="8" t="s">
        <v>66</v>
      </c>
      <c r="Y26" s="8" t="s">
        <v>66</v>
      </c>
      <c r="Z26" s="10">
        <v>-1298.94</v>
      </c>
      <c r="AA26" s="8" t="s">
        <v>66</v>
      </c>
      <c r="AB26" s="8" t="s">
        <v>66</v>
      </c>
      <c r="AC26" s="8" t="s">
        <v>66</v>
      </c>
      <c r="AD26" s="8" t="s">
        <v>66</v>
      </c>
      <c r="AE26" s="10">
        <v>-1319.64</v>
      </c>
    </row>
    <row r="27" spans="1:31" x14ac:dyDescent="0.25">
      <c r="A27" s="4" t="s">
        <v>581</v>
      </c>
      <c r="B27" s="9">
        <v>344.79</v>
      </c>
      <c r="C27" s="9">
        <v>290.68</v>
      </c>
      <c r="D27" s="9">
        <v>372.39</v>
      </c>
      <c r="E27" s="9">
        <v>219.67</v>
      </c>
      <c r="F27" s="9">
        <v>3157.19</v>
      </c>
      <c r="G27" s="9">
        <v>1150.51</v>
      </c>
      <c r="H27" s="9">
        <v>923.07</v>
      </c>
      <c r="I27" s="9">
        <v>1287.67</v>
      </c>
      <c r="J27" s="9">
        <v>1262.5</v>
      </c>
      <c r="K27" s="9">
        <v>4623.75</v>
      </c>
      <c r="L27" s="9">
        <v>1558.11</v>
      </c>
      <c r="M27" s="9">
        <v>3965</v>
      </c>
      <c r="N27" s="9">
        <v>1535.21</v>
      </c>
      <c r="O27" s="9">
        <v>1538.04</v>
      </c>
      <c r="P27" s="9">
        <v>5060.29</v>
      </c>
      <c r="Q27" s="9">
        <v>1584.04</v>
      </c>
      <c r="R27" s="9">
        <v>1592.41</v>
      </c>
      <c r="S27" s="9">
        <v>1573.81</v>
      </c>
      <c r="T27" s="9">
        <v>1576.82</v>
      </c>
      <c r="U27" s="9">
        <v>5173.01</v>
      </c>
      <c r="V27" s="9">
        <v>1557.71</v>
      </c>
      <c r="W27" s="9">
        <v>1569.08</v>
      </c>
      <c r="X27" s="9">
        <v>1554.11</v>
      </c>
      <c r="Y27" s="9">
        <v>1555.75</v>
      </c>
      <c r="Z27" s="9">
        <v>5203.04</v>
      </c>
      <c r="AA27" s="9">
        <v>1531.52</v>
      </c>
      <c r="AB27" s="9">
        <v>1542.14</v>
      </c>
      <c r="AC27" s="9">
        <v>1534.57</v>
      </c>
      <c r="AD27" s="9">
        <v>1540.12</v>
      </c>
      <c r="AE27" s="9">
        <v>5243.38</v>
      </c>
    </row>
    <row r="28" spans="1:31" x14ac:dyDescent="0.25">
      <c r="A28" s="4" t="s">
        <v>580</v>
      </c>
      <c r="B28" s="9">
        <v>1327.84</v>
      </c>
      <c r="C28" s="9">
        <v>1226.8499999999999</v>
      </c>
      <c r="D28" s="9">
        <v>1368.6</v>
      </c>
      <c r="E28" s="9">
        <v>1537.19</v>
      </c>
      <c r="F28" s="9">
        <v>5460.48</v>
      </c>
      <c r="G28" s="9">
        <v>1433.34</v>
      </c>
      <c r="H28" s="9">
        <v>1440.24</v>
      </c>
      <c r="I28" s="9">
        <v>1456.37</v>
      </c>
      <c r="J28" s="9">
        <v>1480.1</v>
      </c>
      <c r="K28" s="9">
        <v>5810.06</v>
      </c>
      <c r="L28" s="9">
        <v>1354.84</v>
      </c>
      <c r="M28" s="9">
        <v>1350.53</v>
      </c>
      <c r="N28" s="9">
        <v>1335.95</v>
      </c>
      <c r="O28" s="9">
        <v>1347.4</v>
      </c>
      <c r="P28" s="9">
        <v>6023.74</v>
      </c>
      <c r="Q28" s="9">
        <v>1294.3699999999999</v>
      </c>
      <c r="R28" s="9">
        <v>1289.3800000000001</v>
      </c>
      <c r="S28" s="9">
        <v>1267.98</v>
      </c>
      <c r="T28" s="9">
        <v>1284.44</v>
      </c>
      <c r="U28" s="9">
        <v>6246.05</v>
      </c>
      <c r="V28" s="9">
        <v>1113.69</v>
      </c>
      <c r="W28" s="9">
        <v>1102.6600000000001</v>
      </c>
      <c r="X28" s="9">
        <v>1095.3399999999999</v>
      </c>
      <c r="Y28" s="9">
        <v>1091.1400000000001</v>
      </c>
      <c r="Z28" s="9">
        <v>6387.97</v>
      </c>
      <c r="AA28" s="9">
        <v>1032.54</v>
      </c>
      <c r="AB28" s="9">
        <v>1028.8599999999999</v>
      </c>
      <c r="AC28" s="9">
        <v>1024.8800000000001</v>
      </c>
      <c r="AD28" s="9">
        <v>1022.96</v>
      </c>
      <c r="AE28" s="9">
        <v>6251.54</v>
      </c>
    </row>
    <row r="29" spans="1:31" x14ac:dyDescent="0.25">
      <c r="A29" s="4" t="s">
        <v>579</v>
      </c>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spans="1:31" x14ac:dyDescent="0.25">
      <c r="A30" s="4" t="s">
        <v>578</v>
      </c>
      <c r="B30" s="9">
        <v>2738</v>
      </c>
      <c r="C30" s="9">
        <v>2678</v>
      </c>
      <c r="D30" s="9">
        <v>2615</v>
      </c>
      <c r="E30" s="9">
        <v>2543</v>
      </c>
      <c r="F30" s="9">
        <v>2738</v>
      </c>
      <c r="G30" s="9">
        <v>2488</v>
      </c>
      <c r="H30" s="9">
        <v>2491.8200000000002</v>
      </c>
      <c r="I30" s="9">
        <v>2463.71</v>
      </c>
      <c r="J30" s="9">
        <v>2400.75</v>
      </c>
      <c r="K30" s="9">
        <v>2495.15</v>
      </c>
      <c r="L30" s="9">
        <v>2325.4</v>
      </c>
      <c r="M30" s="9">
        <v>2260</v>
      </c>
      <c r="N30" s="9">
        <v>2189.65</v>
      </c>
      <c r="O30" s="9">
        <v>2119.66</v>
      </c>
      <c r="P30" s="9">
        <v>2345.96</v>
      </c>
      <c r="Q30" s="9">
        <v>2093.2399999999998</v>
      </c>
      <c r="R30" s="9">
        <v>2027.13</v>
      </c>
      <c r="S30" s="9">
        <v>1957.02</v>
      </c>
      <c r="T30" s="9">
        <v>1886.58</v>
      </c>
      <c r="U30" s="9">
        <v>2094.16</v>
      </c>
      <c r="V30" s="9">
        <v>1922.18</v>
      </c>
      <c r="W30" s="9">
        <v>1862.79</v>
      </c>
      <c r="X30" s="9">
        <v>1798.72</v>
      </c>
      <c r="Y30" s="9">
        <v>1737.66</v>
      </c>
      <c r="Z30" s="9">
        <v>1887.8</v>
      </c>
      <c r="AA30" s="9">
        <v>1686.83</v>
      </c>
      <c r="AB30" s="9">
        <v>1630.84</v>
      </c>
      <c r="AC30" s="9">
        <v>1570.76</v>
      </c>
      <c r="AD30" s="9">
        <v>1512.94</v>
      </c>
      <c r="AE30" s="9">
        <v>1664.77</v>
      </c>
    </row>
    <row r="31" spans="1:31" x14ac:dyDescent="0.25">
      <c r="A31" s="3" t="s">
        <v>577</v>
      </c>
      <c r="B31" s="9">
        <v>84.18</v>
      </c>
      <c r="C31" s="9">
        <v>146.86000000000001</v>
      </c>
      <c r="D31" s="9">
        <v>147.03</v>
      </c>
      <c r="E31" s="9">
        <v>134.41999999999999</v>
      </c>
      <c r="F31" s="9">
        <v>512.49</v>
      </c>
      <c r="G31" s="9">
        <v>8858.3799999999992</v>
      </c>
      <c r="H31" s="9">
        <v>439.03</v>
      </c>
      <c r="I31" s="9">
        <v>495.71</v>
      </c>
      <c r="J31" s="9">
        <v>480</v>
      </c>
      <c r="K31" s="9">
        <v>10273.120000000001</v>
      </c>
      <c r="L31" s="9">
        <v>473.84</v>
      </c>
      <c r="M31" s="9">
        <v>474.84</v>
      </c>
      <c r="N31" s="9">
        <v>475.84</v>
      </c>
      <c r="O31" s="9">
        <v>476.84</v>
      </c>
      <c r="P31" s="9">
        <v>1964.31</v>
      </c>
      <c r="Q31" s="9">
        <v>477.84</v>
      </c>
      <c r="R31" s="9">
        <v>478.84</v>
      </c>
      <c r="S31" s="9">
        <v>479.84</v>
      </c>
      <c r="T31" s="9">
        <v>480.84</v>
      </c>
      <c r="U31" s="9">
        <v>2104.12</v>
      </c>
      <c r="V31" s="9">
        <v>392.67</v>
      </c>
      <c r="W31" s="9">
        <v>393.47</v>
      </c>
      <c r="X31" s="9">
        <v>394.27</v>
      </c>
      <c r="Y31" s="9">
        <v>395.07</v>
      </c>
      <c r="Z31" s="9">
        <v>1990.17</v>
      </c>
      <c r="AA31" s="9">
        <v>351.09</v>
      </c>
      <c r="AB31" s="9">
        <v>351.79</v>
      </c>
      <c r="AC31" s="9">
        <v>352.49</v>
      </c>
      <c r="AD31" s="9">
        <v>353.19</v>
      </c>
      <c r="AE31" s="9">
        <v>1934.52</v>
      </c>
    </row>
    <row r="32" spans="1:31" x14ac:dyDescent="0.25">
      <c r="A32" s="4" t="s">
        <v>576</v>
      </c>
      <c r="B32" s="9">
        <v>17034.8</v>
      </c>
      <c r="C32" s="9">
        <v>17181.650000000001</v>
      </c>
      <c r="D32" s="9">
        <v>17328.689999999999</v>
      </c>
      <c r="E32" s="9">
        <v>17404.650000000001</v>
      </c>
      <c r="F32" s="9">
        <v>17404.650000000001</v>
      </c>
      <c r="G32" s="9">
        <v>26868.1</v>
      </c>
      <c r="H32" s="9">
        <v>27307.13</v>
      </c>
      <c r="I32" s="9">
        <v>27802.84</v>
      </c>
      <c r="J32" s="9">
        <v>28282.85</v>
      </c>
      <c r="K32" s="9">
        <v>28282.85</v>
      </c>
      <c r="L32" s="9">
        <v>28719.83</v>
      </c>
      <c r="M32" s="9">
        <v>29194.68</v>
      </c>
      <c r="N32" s="9">
        <v>29670.52</v>
      </c>
      <c r="O32" s="9">
        <v>30147.37</v>
      </c>
      <c r="P32" s="9">
        <v>30247.16</v>
      </c>
      <c r="Q32" s="9">
        <v>30625.21</v>
      </c>
      <c r="R32" s="9">
        <v>31104.05</v>
      </c>
      <c r="S32" s="9">
        <v>31583.9</v>
      </c>
      <c r="T32" s="9">
        <v>32064.74</v>
      </c>
      <c r="U32" s="9">
        <v>32351.279999999999</v>
      </c>
      <c r="V32" s="9">
        <v>32457.41</v>
      </c>
      <c r="W32" s="9">
        <v>32850.89</v>
      </c>
      <c r="X32" s="9">
        <v>33245.160000000003</v>
      </c>
      <c r="Y32" s="9">
        <v>33640.239999999998</v>
      </c>
      <c r="Z32" s="9">
        <v>34341.449999999997</v>
      </c>
      <c r="AA32" s="9">
        <v>33991.33</v>
      </c>
      <c r="AB32" s="9">
        <v>34343.120000000003</v>
      </c>
      <c r="AC32" s="9">
        <v>34695.61</v>
      </c>
      <c r="AD32" s="9">
        <v>35048.800000000003</v>
      </c>
      <c r="AE32" s="9">
        <v>36275.97</v>
      </c>
    </row>
    <row r="33" spans="1:31" x14ac:dyDescent="0.25">
      <c r="A33" s="3" t="s">
        <v>575</v>
      </c>
      <c r="B33" s="8" t="s">
        <v>574</v>
      </c>
      <c r="C33" s="8" t="s">
        <v>573</v>
      </c>
      <c r="D33" s="8" t="s">
        <v>572</v>
      </c>
      <c r="E33" s="8" t="s">
        <v>571</v>
      </c>
      <c r="F33" s="8" t="s">
        <v>571</v>
      </c>
      <c r="G33" s="8" t="s">
        <v>570</v>
      </c>
      <c r="H33" s="8" t="s">
        <v>569</v>
      </c>
      <c r="I33" s="8" t="s">
        <v>568</v>
      </c>
      <c r="J33" s="8" t="s">
        <v>567</v>
      </c>
      <c r="K33" s="8" t="s">
        <v>567</v>
      </c>
      <c r="L33" s="8" t="s">
        <v>566</v>
      </c>
      <c r="M33" s="8" t="s">
        <v>565</v>
      </c>
      <c r="N33" s="8" t="s">
        <v>564</v>
      </c>
      <c r="O33" s="8" t="s">
        <v>563</v>
      </c>
      <c r="P33" s="8" t="s">
        <v>562</v>
      </c>
      <c r="Q33" s="8" t="s">
        <v>561</v>
      </c>
      <c r="R33" s="8" t="s">
        <v>560</v>
      </c>
      <c r="S33" s="8" t="s">
        <v>559</v>
      </c>
      <c r="T33" s="8" t="s">
        <v>558</v>
      </c>
      <c r="U33" s="8" t="s">
        <v>557</v>
      </c>
      <c r="V33" s="8" t="s">
        <v>556</v>
      </c>
      <c r="W33" s="8" t="s">
        <v>555</v>
      </c>
      <c r="X33" s="8" t="s">
        <v>554</v>
      </c>
      <c r="Y33" s="8" t="s">
        <v>553</v>
      </c>
      <c r="Z33" s="8" t="s">
        <v>479</v>
      </c>
      <c r="AA33" s="8" t="s">
        <v>552</v>
      </c>
      <c r="AB33" s="8" t="s">
        <v>141</v>
      </c>
      <c r="AC33" s="8" t="s">
        <v>152</v>
      </c>
      <c r="AD33" s="8" t="s">
        <v>118</v>
      </c>
      <c r="AE33" s="8" t="s">
        <v>99</v>
      </c>
    </row>
    <row r="34" spans="1:31" x14ac:dyDescent="0.25">
      <c r="A34" s="3" t="s">
        <v>551</v>
      </c>
      <c r="B34" s="10">
        <v>-60</v>
      </c>
      <c r="C34" s="10">
        <v>-63</v>
      </c>
      <c r="D34" s="10">
        <v>-72</v>
      </c>
      <c r="E34" s="10">
        <v>-55</v>
      </c>
      <c r="F34" s="10">
        <v>-250</v>
      </c>
      <c r="G34" s="10">
        <v>-40.83</v>
      </c>
      <c r="H34" s="10">
        <v>-68.349999999999994</v>
      </c>
      <c r="I34" s="10">
        <v>-70.760000000000005</v>
      </c>
      <c r="J34" s="10">
        <v>-61.71</v>
      </c>
      <c r="K34" s="10">
        <v>-232.13</v>
      </c>
      <c r="L34" s="10">
        <v>-65.400000000000006</v>
      </c>
      <c r="M34" s="10">
        <v>-70.36</v>
      </c>
      <c r="N34" s="10">
        <v>-69.989999999999995</v>
      </c>
      <c r="O34" s="10">
        <v>-59.94</v>
      </c>
      <c r="P34" s="10">
        <v>-254.95</v>
      </c>
      <c r="Q34" s="10">
        <v>-66.11</v>
      </c>
      <c r="R34" s="10">
        <v>-70.11</v>
      </c>
      <c r="S34" s="10">
        <v>-70.44</v>
      </c>
      <c r="T34" s="10">
        <v>-58.57</v>
      </c>
      <c r="U34" s="10">
        <v>-249.74</v>
      </c>
      <c r="V34" s="10">
        <v>-59.39</v>
      </c>
      <c r="W34" s="10">
        <v>-64.069999999999993</v>
      </c>
      <c r="X34" s="10">
        <v>-61.06</v>
      </c>
      <c r="Y34" s="10">
        <v>-50.83</v>
      </c>
      <c r="Z34" s="10">
        <v>-233.57</v>
      </c>
      <c r="AA34" s="10">
        <v>-55.99</v>
      </c>
      <c r="AB34" s="10">
        <v>-60.08</v>
      </c>
      <c r="AC34" s="10">
        <v>-57.82</v>
      </c>
      <c r="AD34" s="10">
        <v>-48.1</v>
      </c>
      <c r="AE34" s="10">
        <v>-229.16</v>
      </c>
    </row>
    <row r="35" spans="1:31" x14ac:dyDescent="0.25">
      <c r="A35" s="4" t="s">
        <v>550</v>
      </c>
      <c r="B35" s="9">
        <v>2678</v>
      </c>
      <c r="C35" s="9">
        <v>2615</v>
      </c>
      <c r="D35" s="9">
        <v>2543</v>
      </c>
      <c r="E35" s="9">
        <v>2488</v>
      </c>
      <c r="F35" s="9">
        <v>2488</v>
      </c>
      <c r="G35" s="9">
        <v>2486.7600000000002</v>
      </c>
      <c r="H35" s="9">
        <v>2429.29</v>
      </c>
      <c r="I35" s="9">
        <v>2401.91</v>
      </c>
      <c r="J35" s="9">
        <v>2347.77</v>
      </c>
      <c r="K35" s="9">
        <v>2347.77</v>
      </c>
      <c r="L35" s="9">
        <v>2260</v>
      </c>
      <c r="M35" s="9">
        <v>2189.65</v>
      </c>
      <c r="N35" s="9">
        <v>2119.66</v>
      </c>
      <c r="O35" s="9">
        <v>2059.7199999999998</v>
      </c>
      <c r="P35" s="9">
        <v>2096.0300000000002</v>
      </c>
      <c r="Q35" s="9">
        <v>2027.13</v>
      </c>
      <c r="R35" s="9">
        <v>1957.02</v>
      </c>
      <c r="S35" s="9">
        <v>1886.58</v>
      </c>
      <c r="T35" s="9">
        <v>1828.01</v>
      </c>
      <c r="U35" s="9">
        <v>1850.43</v>
      </c>
      <c r="V35" s="9">
        <v>1862.79</v>
      </c>
      <c r="W35" s="9">
        <v>1798.72</v>
      </c>
      <c r="X35" s="9">
        <v>1737.66</v>
      </c>
      <c r="Y35" s="9">
        <v>1686.83</v>
      </c>
      <c r="Z35" s="9">
        <v>1664.58</v>
      </c>
      <c r="AA35" s="9">
        <v>1630.84</v>
      </c>
      <c r="AB35" s="9">
        <v>1570.76</v>
      </c>
      <c r="AC35" s="9">
        <v>1512.94</v>
      </c>
      <c r="AD35" s="9">
        <v>1464.84</v>
      </c>
      <c r="AE35" s="9">
        <v>1444.15</v>
      </c>
    </row>
    <row r="36" spans="1:31" x14ac:dyDescent="0.25">
      <c r="A36" s="4" t="s">
        <v>76</v>
      </c>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spans="1:31" x14ac:dyDescent="0.25">
      <c r="A37" s="3" t="s">
        <v>549</v>
      </c>
      <c r="B37" s="9">
        <v>155.83000000000001</v>
      </c>
      <c r="C37" s="9">
        <v>169.14</v>
      </c>
      <c r="D37" s="9">
        <v>164</v>
      </c>
      <c r="E37" s="9">
        <v>157.57</v>
      </c>
      <c r="F37" s="9">
        <v>624.29</v>
      </c>
      <c r="G37" s="9">
        <v>7999.26</v>
      </c>
      <c r="H37" s="9">
        <v>402.08</v>
      </c>
      <c r="I37" s="9">
        <v>455.26</v>
      </c>
      <c r="J37" s="9">
        <v>455.57</v>
      </c>
      <c r="K37" s="9">
        <v>9274.74</v>
      </c>
      <c r="L37" s="9">
        <v>375</v>
      </c>
      <c r="M37" s="9">
        <v>437.5</v>
      </c>
      <c r="N37" s="9">
        <v>425</v>
      </c>
      <c r="O37" s="9">
        <v>412.5</v>
      </c>
      <c r="P37" s="9">
        <v>1770.26</v>
      </c>
      <c r="Q37" s="9">
        <v>383.33</v>
      </c>
      <c r="R37" s="9">
        <v>383.33</v>
      </c>
      <c r="S37" s="9">
        <v>383.33</v>
      </c>
      <c r="T37" s="9">
        <v>383.33</v>
      </c>
      <c r="U37" s="9">
        <v>1837.5</v>
      </c>
      <c r="V37" s="9">
        <v>345.83</v>
      </c>
      <c r="W37" s="9">
        <v>345.83</v>
      </c>
      <c r="X37" s="9">
        <v>345.83</v>
      </c>
      <c r="Y37" s="9">
        <v>345.83</v>
      </c>
      <c r="Z37" s="9">
        <v>1762.5</v>
      </c>
      <c r="AA37" s="9">
        <v>325</v>
      </c>
      <c r="AB37" s="9">
        <v>325</v>
      </c>
      <c r="AC37" s="9">
        <v>325</v>
      </c>
      <c r="AD37" s="9">
        <v>325</v>
      </c>
      <c r="AE37" s="9">
        <v>1720.83</v>
      </c>
    </row>
    <row r="38" spans="1:31" x14ac:dyDescent="0.25">
      <c r="A38" s="4" t="s">
        <v>548</v>
      </c>
      <c r="B38" s="9">
        <v>18637.25</v>
      </c>
      <c r="C38" s="9">
        <v>18806.39</v>
      </c>
      <c r="D38" s="9">
        <v>18970.39</v>
      </c>
      <c r="E38" s="9">
        <v>19127.96</v>
      </c>
      <c r="F38" s="9">
        <v>19127.96</v>
      </c>
      <c r="G38" s="9">
        <v>27486.17</v>
      </c>
      <c r="H38" s="9">
        <v>27888.25</v>
      </c>
      <c r="I38" s="9">
        <v>28343.51</v>
      </c>
      <c r="J38" s="9">
        <v>28799.07</v>
      </c>
      <c r="K38" s="9">
        <v>28799.07</v>
      </c>
      <c r="L38" s="9">
        <v>29278.62</v>
      </c>
      <c r="M38" s="9">
        <v>29716.12</v>
      </c>
      <c r="N38" s="9">
        <v>30141.119999999999</v>
      </c>
      <c r="O38" s="9">
        <v>30553.62</v>
      </c>
      <c r="P38" s="9">
        <v>30569.33</v>
      </c>
      <c r="Q38" s="9">
        <v>29771.5</v>
      </c>
      <c r="R38" s="9">
        <v>30154.83</v>
      </c>
      <c r="S38" s="9">
        <v>30538.17</v>
      </c>
      <c r="T38" s="9">
        <v>30921.5</v>
      </c>
      <c r="U38" s="9">
        <v>32406.83</v>
      </c>
      <c r="V38" s="9">
        <v>31267.33</v>
      </c>
      <c r="W38" s="9">
        <v>31613.17</v>
      </c>
      <c r="X38" s="9">
        <v>31959</v>
      </c>
      <c r="Y38" s="9">
        <v>32304.83</v>
      </c>
      <c r="Z38" s="9">
        <v>34169.33</v>
      </c>
      <c r="AA38" s="9">
        <v>32629.83</v>
      </c>
      <c r="AB38" s="9">
        <v>32954.83</v>
      </c>
      <c r="AC38" s="9">
        <v>33279.83</v>
      </c>
      <c r="AD38" s="9">
        <v>33604.83</v>
      </c>
      <c r="AE38" s="9">
        <v>35890.17</v>
      </c>
    </row>
    <row r="39" spans="1:31" x14ac:dyDescent="0.25">
      <c r="A39" s="3" t="s">
        <v>547</v>
      </c>
      <c r="B39" s="8" t="s">
        <v>546</v>
      </c>
      <c r="C39" s="8" t="s">
        <v>545</v>
      </c>
      <c r="D39" s="8" t="s">
        <v>544</v>
      </c>
      <c r="E39" s="8" t="s">
        <v>535</v>
      </c>
      <c r="F39" s="8" t="s">
        <v>535</v>
      </c>
      <c r="G39" s="8" t="s">
        <v>543</v>
      </c>
      <c r="H39" s="8" t="s">
        <v>542</v>
      </c>
      <c r="I39" s="8" t="s">
        <v>541</v>
      </c>
      <c r="J39" s="8" t="s">
        <v>540</v>
      </c>
      <c r="K39" s="8" t="s">
        <v>540</v>
      </c>
      <c r="L39" s="8" t="s">
        <v>539</v>
      </c>
      <c r="M39" s="8" t="s">
        <v>538</v>
      </c>
      <c r="N39" s="8" t="s">
        <v>537</v>
      </c>
      <c r="O39" s="8" t="s">
        <v>536</v>
      </c>
      <c r="P39" s="8" t="s">
        <v>535</v>
      </c>
      <c r="Q39" s="8" t="s">
        <v>534</v>
      </c>
      <c r="R39" s="8" t="s">
        <v>533</v>
      </c>
      <c r="S39" s="8" t="s">
        <v>532</v>
      </c>
      <c r="T39" s="8" t="s">
        <v>531</v>
      </c>
      <c r="U39" s="8" t="s">
        <v>530</v>
      </c>
      <c r="V39" s="8" t="s">
        <v>529</v>
      </c>
      <c r="W39" s="8" t="s">
        <v>528</v>
      </c>
      <c r="X39" s="8" t="s">
        <v>527</v>
      </c>
      <c r="Y39" s="8" t="s">
        <v>526</v>
      </c>
      <c r="Z39" s="8" t="s">
        <v>525</v>
      </c>
      <c r="AA39" s="8" t="s">
        <v>524</v>
      </c>
      <c r="AB39" s="8" t="s">
        <v>523</v>
      </c>
      <c r="AC39" s="8" t="s">
        <v>522</v>
      </c>
      <c r="AD39" s="8" t="s">
        <v>521</v>
      </c>
      <c r="AE39" s="8" t="s">
        <v>520</v>
      </c>
    </row>
    <row r="40" spans="1:31" x14ac:dyDescent="0.25">
      <c r="A40" s="3" t="s">
        <v>519</v>
      </c>
      <c r="B40" s="9">
        <v>45</v>
      </c>
      <c r="C40" s="9">
        <v>32</v>
      </c>
      <c r="D40" s="9">
        <v>61</v>
      </c>
      <c r="E40" s="9">
        <v>67</v>
      </c>
      <c r="F40" s="9">
        <v>205</v>
      </c>
      <c r="G40" s="9">
        <v>127</v>
      </c>
      <c r="H40" s="9">
        <v>155</v>
      </c>
      <c r="I40" s="9">
        <v>167.68</v>
      </c>
      <c r="J40" s="9">
        <v>154.38999999999999</v>
      </c>
      <c r="K40" s="9">
        <v>606.66999999999996</v>
      </c>
      <c r="L40" s="9">
        <v>163.15</v>
      </c>
      <c r="M40" s="9">
        <v>163.72999999999999</v>
      </c>
      <c r="N40" s="9">
        <v>175.39</v>
      </c>
      <c r="O40" s="9">
        <v>165.96</v>
      </c>
      <c r="P40" s="9">
        <v>660.19</v>
      </c>
      <c r="Q40" s="9">
        <v>173.1</v>
      </c>
      <c r="R40" s="9">
        <v>173.89</v>
      </c>
      <c r="S40" s="9">
        <v>183.67</v>
      </c>
      <c r="T40" s="9">
        <v>170.22</v>
      </c>
      <c r="U40" s="9">
        <v>696.64</v>
      </c>
      <c r="V40" s="9">
        <v>182.88</v>
      </c>
      <c r="W40" s="9">
        <v>176.84</v>
      </c>
      <c r="X40" s="9">
        <v>183.46</v>
      </c>
      <c r="Y40" s="9">
        <v>176.44</v>
      </c>
      <c r="Z40" s="9">
        <v>689.11</v>
      </c>
      <c r="AA40" s="9">
        <v>175.98</v>
      </c>
      <c r="AB40" s="9">
        <v>172.69</v>
      </c>
      <c r="AC40" s="9">
        <v>179.83</v>
      </c>
      <c r="AD40" s="9">
        <v>172.92</v>
      </c>
      <c r="AE40" s="9">
        <v>666.48</v>
      </c>
    </row>
    <row r="41" spans="1:31" x14ac:dyDescent="0.25">
      <c r="A41" s="3" t="s">
        <v>518</v>
      </c>
      <c r="B41" s="8" t="s">
        <v>66</v>
      </c>
      <c r="C41" s="8" t="s">
        <v>66</v>
      </c>
      <c r="D41" s="8" t="s">
        <v>66</v>
      </c>
      <c r="E41" s="8" t="s">
        <v>66</v>
      </c>
      <c r="F41" s="8" t="s">
        <v>66</v>
      </c>
      <c r="G41" s="9">
        <v>2889</v>
      </c>
      <c r="H41" s="9">
        <v>1</v>
      </c>
      <c r="I41" s="10">
        <v>-0.05</v>
      </c>
      <c r="J41" s="8" t="s">
        <v>66</v>
      </c>
      <c r="K41" s="9">
        <v>2886.9</v>
      </c>
      <c r="L41" s="8" t="s">
        <v>66</v>
      </c>
      <c r="M41" s="8" t="s">
        <v>66</v>
      </c>
      <c r="N41" s="8" t="s">
        <v>66</v>
      </c>
      <c r="O41" s="8" t="s">
        <v>66</v>
      </c>
      <c r="P41" s="8" t="s">
        <v>66</v>
      </c>
      <c r="Q41" s="8" t="s">
        <v>66</v>
      </c>
      <c r="R41" s="8" t="s">
        <v>66</v>
      </c>
      <c r="S41" s="8" t="s">
        <v>66</v>
      </c>
      <c r="T41" s="8" t="s">
        <v>66</v>
      </c>
      <c r="U41" s="8" t="s">
        <v>66</v>
      </c>
      <c r="V41" s="8" t="s">
        <v>66</v>
      </c>
      <c r="W41" s="8" t="s">
        <v>66</v>
      </c>
      <c r="X41" s="8" t="s">
        <v>66</v>
      </c>
      <c r="Y41" s="8" t="s">
        <v>66</v>
      </c>
      <c r="Z41" s="8" t="s">
        <v>66</v>
      </c>
      <c r="AA41" s="8" t="s">
        <v>66</v>
      </c>
      <c r="AB41" s="8" t="s">
        <v>66</v>
      </c>
      <c r="AC41" s="8" t="s">
        <v>66</v>
      </c>
      <c r="AD41" s="8" t="s">
        <v>66</v>
      </c>
      <c r="AE41" s="8" t="s">
        <v>66</v>
      </c>
    </row>
    <row r="42" spans="1:31" x14ac:dyDescent="0.25">
      <c r="A42" s="4" t="s">
        <v>517</v>
      </c>
      <c r="B42" s="9">
        <v>45</v>
      </c>
      <c r="C42" s="9">
        <v>32</v>
      </c>
      <c r="D42" s="9">
        <v>61</v>
      </c>
      <c r="E42" s="9">
        <v>67</v>
      </c>
      <c r="F42" s="9">
        <v>205</v>
      </c>
      <c r="G42" s="9">
        <v>3016</v>
      </c>
      <c r="H42" s="9">
        <v>156</v>
      </c>
      <c r="I42" s="9">
        <v>159.51</v>
      </c>
      <c r="J42" s="9">
        <v>155.38999999999999</v>
      </c>
      <c r="K42" s="9">
        <v>3287</v>
      </c>
      <c r="L42" s="9">
        <v>166.11</v>
      </c>
      <c r="M42" s="9">
        <v>162.80000000000001</v>
      </c>
      <c r="N42" s="9">
        <v>178.19</v>
      </c>
      <c r="O42" s="9">
        <v>173.43</v>
      </c>
      <c r="P42" s="9">
        <v>676.81</v>
      </c>
      <c r="Q42" s="9">
        <v>181.11</v>
      </c>
      <c r="R42" s="9">
        <v>180.37</v>
      </c>
      <c r="S42" s="9">
        <v>191.79</v>
      </c>
      <c r="T42" s="9">
        <v>181.92</v>
      </c>
      <c r="U42" s="9">
        <v>700.4</v>
      </c>
      <c r="V42" s="9">
        <v>182.88</v>
      </c>
      <c r="W42" s="9">
        <v>176.84</v>
      </c>
      <c r="X42" s="9">
        <v>183.46</v>
      </c>
      <c r="Y42" s="9">
        <v>176.44</v>
      </c>
      <c r="Z42" s="9">
        <v>669.59</v>
      </c>
      <c r="AA42" s="9">
        <v>175.98</v>
      </c>
      <c r="AB42" s="9">
        <v>172.69</v>
      </c>
      <c r="AC42" s="9">
        <v>179.83</v>
      </c>
      <c r="AD42" s="9">
        <v>172.92</v>
      </c>
      <c r="AE42" s="9">
        <v>636.01</v>
      </c>
    </row>
    <row r="43" spans="1:31" x14ac:dyDescent="0.25">
      <c r="A43" s="4" t="s">
        <v>516</v>
      </c>
      <c r="B43" s="9">
        <v>7581</v>
      </c>
      <c r="C43" s="9">
        <v>7613</v>
      </c>
      <c r="D43" s="9">
        <v>7674</v>
      </c>
      <c r="E43" s="9">
        <v>7741</v>
      </c>
      <c r="F43" s="9">
        <v>7741</v>
      </c>
      <c r="G43" s="9">
        <v>10757</v>
      </c>
      <c r="H43" s="9">
        <v>10913</v>
      </c>
      <c r="I43" s="9">
        <v>11097.75</v>
      </c>
      <c r="J43" s="9">
        <v>11249.68</v>
      </c>
      <c r="K43" s="9">
        <v>11254.79</v>
      </c>
      <c r="L43" s="9">
        <v>11483.97</v>
      </c>
      <c r="M43" s="9">
        <v>11643.78</v>
      </c>
      <c r="N43" s="9">
        <v>11818.05</v>
      </c>
      <c r="O43" s="9">
        <v>11984.81</v>
      </c>
      <c r="P43" s="9">
        <v>11901.79</v>
      </c>
      <c r="Q43" s="9">
        <v>12065.25</v>
      </c>
      <c r="R43" s="9">
        <v>12239.14</v>
      </c>
      <c r="S43" s="9">
        <v>12422.81</v>
      </c>
      <c r="T43" s="9">
        <v>12593.03</v>
      </c>
      <c r="U43" s="9">
        <v>12557.42</v>
      </c>
      <c r="V43" s="9">
        <v>12827.93</v>
      </c>
      <c r="W43" s="9">
        <v>13004.76</v>
      </c>
      <c r="X43" s="9">
        <v>13188.23</v>
      </c>
      <c r="Y43" s="9">
        <v>13364.67</v>
      </c>
      <c r="Z43" s="9">
        <v>13168.89</v>
      </c>
      <c r="AA43" s="9">
        <v>13540.65</v>
      </c>
      <c r="AB43" s="9">
        <v>13713.34</v>
      </c>
      <c r="AC43" s="9">
        <v>13893.16</v>
      </c>
      <c r="AD43" s="9">
        <v>14066.09</v>
      </c>
      <c r="AE43" s="9">
        <v>13761.66</v>
      </c>
    </row>
    <row r="44" spans="1:31" x14ac:dyDescent="0.25">
      <c r="A44" s="4" t="s">
        <v>76</v>
      </c>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row r="45" spans="1:31" x14ac:dyDescent="0.25">
      <c r="A45" s="3" t="s">
        <v>515</v>
      </c>
      <c r="B45" s="10">
        <v>-73.89</v>
      </c>
      <c r="C45" s="10">
        <v>-68.17</v>
      </c>
      <c r="D45" s="10">
        <v>-69.760000000000005</v>
      </c>
      <c r="E45" s="10">
        <v>-62.84</v>
      </c>
      <c r="F45" s="10">
        <v>-274.66000000000003</v>
      </c>
      <c r="G45" s="9">
        <v>73.72</v>
      </c>
      <c r="H45" s="10">
        <v>-72.599999999999994</v>
      </c>
      <c r="I45" s="10">
        <v>-72.2</v>
      </c>
      <c r="J45" s="10">
        <v>-74.36</v>
      </c>
      <c r="K45" s="10">
        <v>-145.46</v>
      </c>
      <c r="L45" s="10">
        <v>-63.35</v>
      </c>
      <c r="M45" s="10">
        <v>-67.010000000000005</v>
      </c>
      <c r="N45" s="10">
        <v>-65.069999999999993</v>
      </c>
      <c r="O45" s="10">
        <v>-66.959999999999994</v>
      </c>
      <c r="P45" s="10">
        <v>-277.05</v>
      </c>
      <c r="Q45" s="10">
        <v>-79.22</v>
      </c>
      <c r="R45" s="10">
        <v>-81.7</v>
      </c>
      <c r="S45" s="10">
        <v>-83.42</v>
      </c>
      <c r="T45" s="10">
        <v>-85.29</v>
      </c>
      <c r="U45" s="10">
        <v>-289.37</v>
      </c>
      <c r="V45" s="10">
        <v>-83.72</v>
      </c>
      <c r="W45" s="10">
        <v>-85.98</v>
      </c>
      <c r="X45" s="10">
        <v>-87.69</v>
      </c>
      <c r="Y45" s="10">
        <v>-89.35</v>
      </c>
      <c r="Z45" s="10">
        <v>-305.61</v>
      </c>
      <c r="AA45" s="10">
        <v>-88.09</v>
      </c>
      <c r="AB45" s="10">
        <v>-89.55</v>
      </c>
      <c r="AC45" s="10">
        <v>-91.05</v>
      </c>
      <c r="AD45" s="10">
        <v>-22.94</v>
      </c>
      <c r="AE45" s="10">
        <v>-241.52</v>
      </c>
    </row>
    <row r="46" spans="1:31" x14ac:dyDescent="0.25">
      <c r="A46" s="4" t="s">
        <v>514</v>
      </c>
      <c r="B46" s="9">
        <v>2299.85</v>
      </c>
      <c r="C46" s="9">
        <v>2253.98</v>
      </c>
      <c r="D46" s="9">
        <v>2184.2199999999998</v>
      </c>
      <c r="E46" s="9">
        <v>2186.9899999999998</v>
      </c>
      <c r="F46" s="9">
        <v>2186.9899999999998</v>
      </c>
      <c r="G46" s="9">
        <v>2176.4899999999998</v>
      </c>
      <c r="H46" s="9">
        <v>2103.88</v>
      </c>
      <c r="I46" s="9">
        <v>2031.68</v>
      </c>
      <c r="J46" s="9">
        <v>1957.32</v>
      </c>
      <c r="K46" s="9">
        <v>1957.32</v>
      </c>
      <c r="L46" s="9">
        <v>1915.32</v>
      </c>
      <c r="M46" s="9">
        <v>1848.31</v>
      </c>
      <c r="N46" s="9">
        <v>1783.24</v>
      </c>
      <c r="O46" s="9">
        <v>1716.29</v>
      </c>
      <c r="P46" s="9">
        <v>1680.27</v>
      </c>
      <c r="Q46" s="9">
        <v>1512.4</v>
      </c>
      <c r="R46" s="9">
        <v>1430.71</v>
      </c>
      <c r="S46" s="9">
        <v>1347.29</v>
      </c>
      <c r="T46" s="9">
        <v>1262</v>
      </c>
      <c r="U46" s="9">
        <v>1390.9</v>
      </c>
      <c r="V46" s="9">
        <v>1178.28</v>
      </c>
      <c r="W46" s="9">
        <v>1092.31</v>
      </c>
      <c r="X46" s="9">
        <v>1004.62</v>
      </c>
      <c r="Y46" s="9">
        <v>915.26</v>
      </c>
      <c r="Z46" s="9">
        <v>1085.29</v>
      </c>
      <c r="AA46" s="9">
        <v>827.17</v>
      </c>
      <c r="AB46" s="9">
        <v>737.62</v>
      </c>
      <c r="AC46" s="9">
        <v>646.57000000000005</v>
      </c>
      <c r="AD46" s="9">
        <v>1228</v>
      </c>
      <c r="AE46" s="9">
        <v>987.39</v>
      </c>
    </row>
    <row r="47" spans="1:31" x14ac:dyDescent="0.25">
      <c r="A47" s="4" t="s">
        <v>76</v>
      </c>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spans="1:31" x14ac:dyDescent="0.25">
      <c r="A48" s="3" t="s">
        <v>513</v>
      </c>
      <c r="B48" s="10">
        <v>-34.46</v>
      </c>
      <c r="C48" s="10">
        <v>-62.65</v>
      </c>
      <c r="D48" s="10">
        <v>-57.19</v>
      </c>
      <c r="E48" s="9">
        <v>17.579999999999998</v>
      </c>
      <c r="F48" s="10">
        <v>-136.72999999999999</v>
      </c>
      <c r="G48" s="9">
        <v>2492.42</v>
      </c>
      <c r="H48" s="9">
        <v>15.37</v>
      </c>
      <c r="I48" s="9">
        <v>10.78</v>
      </c>
      <c r="J48" s="9">
        <v>16.04</v>
      </c>
      <c r="K48" s="9">
        <v>2529.41</v>
      </c>
      <c r="L48" s="9">
        <v>20.82</v>
      </c>
      <c r="M48" s="9">
        <v>10.25</v>
      </c>
      <c r="N48" s="9">
        <v>24.08</v>
      </c>
      <c r="O48" s="9">
        <v>28.91</v>
      </c>
      <c r="P48" s="9">
        <v>75.319999999999993</v>
      </c>
      <c r="Q48" s="10">
        <v>-1.21</v>
      </c>
      <c r="R48" s="10">
        <v>-1.83</v>
      </c>
      <c r="S48" s="10">
        <v>-4.32</v>
      </c>
      <c r="T48" s="9">
        <v>1.72</v>
      </c>
      <c r="U48" s="9">
        <v>57.35</v>
      </c>
      <c r="V48" s="10">
        <v>-10.220000000000001</v>
      </c>
      <c r="W48" s="10">
        <v>-11.95</v>
      </c>
      <c r="X48" s="10">
        <v>-18.28</v>
      </c>
      <c r="Y48" s="10">
        <v>-14.2</v>
      </c>
      <c r="Z48" s="10">
        <v>-2.06</v>
      </c>
      <c r="AA48" s="10">
        <v>-25.46</v>
      </c>
      <c r="AB48" s="10">
        <v>-17.88</v>
      </c>
      <c r="AC48" s="10">
        <v>-23.77</v>
      </c>
      <c r="AD48" s="10">
        <v>-18.350000000000001</v>
      </c>
      <c r="AE48" s="10">
        <v>-70.78</v>
      </c>
    </row>
    <row r="49" spans="1:31" x14ac:dyDescent="0.25">
      <c r="A49" s="3" t="s">
        <v>512</v>
      </c>
      <c r="B49" s="9">
        <v>13335.3</v>
      </c>
      <c r="C49" s="9">
        <v>13268.12</v>
      </c>
      <c r="D49" s="9">
        <v>13204.33</v>
      </c>
      <c r="E49" s="9">
        <v>13222.7</v>
      </c>
      <c r="F49" s="9">
        <v>13222.7</v>
      </c>
      <c r="G49" s="9">
        <v>15869.56</v>
      </c>
      <c r="H49" s="9">
        <v>15885.35</v>
      </c>
      <c r="I49" s="9">
        <v>15896.13</v>
      </c>
      <c r="J49" s="9">
        <v>15912.17</v>
      </c>
      <c r="K49" s="9">
        <v>15912.17</v>
      </c>
      <c r="L49" s="9">
        <v>16056.66</v>
      </c>
      <c r="M49" s="9">
        <v>16066.91</v>
      </c>
      <c r="N49" s="9">
        <v>16090.99</v>
      </c>
      <c r="O49" s="9">
        <v>16119.9</v>
      </c>
      <c r="P49" s="9">
        <v>15987.5</v>
      </c>
      <c r="Q49" s="9">
        <v>15469.23</v>
      </c>
      <c r="R49" s="9">
        <v>15467.4</v>
      </c>
      <c r="S49" s="9">
        <v>15463.08</v>
      </c>
      <c r="T49" s="9">
        <v>15464.8</v>
      </c>
      <c r="U49" s="9">
        <v>15687.95</v>
      </c>
      <c r="V49" s="9">
        <v>15454.58</v>
      </c>
      <c r="W49" s="9">
        <v>15442.63</v>
      </c>
      <c r="X49" s="9">
        <v>15424.35</v>
      </c>
      <c r="Y49" s="9">
        <v>15410.15</v>
      </c>
      <c r="Z49" s="9">
        <v>15685.88</v>
      </c>
      <c r="AA49" s="9">
        <v>15384.68</v>
      </c>
      <c r="AB49" s="9">
        <v>15366.8</v>
      </c>
      <c r="AC49" s="9">
        <v>15343.03</v>
      </c>
      <c r="AD49" s="9">
        <v>15324.68</v>
      </c>
      <c r="AE49" s="9">
        <v>15615.1</v>
      </c>
    </row>
    <row r="50" spans="1:31" x14ac:dyDescent="0.25">
      <c r="A50" s="4" t="s">
        <v>511</v>
      </c>
      <c r="B50" s="9">
        <v>13353.92</v>
      </c>
      <c r="C50" s="9">
        <v>13301.71</v>
      </c>
      <c r="D50" s="9">
        <v>13236.23</v>
      </c>
      <c r="E50" s="9">
        <v>13213.52</v>
      </c>
      <c r="F50" s="9">
        <v>13295.82</v>
      </c>
      <c r="G50" s="9">
        <v>14574.52</v>
      </c>
      <c r="H50" s="9">
        <v>15877.46</v>
      </c>
      <c r="I50" s="9">
        <v>15890.74</v>
      </c>
      <c r="J50" s="9">
        <v>15904.15</v>
      </c>
      <c r="K50" s="9">
        <v>14787.48</v>
      </c>
      <c r="L50" s="9">
        <v>16046.25</v>
      </c>
      <c r="M50" s="9">
        <v>16061.78</v>
      </c>
      <c r="N50" s="9">
        <v>16078.95</v>
      </c>
      <c r="O50" s="9">
        <v>16105.44</v>
      </c>
      <c r="P50" s="9">
        <v>15950.2</v>
      </c>
      <c r="Q50" s="9">
        <v>15469.83</v>
      </c>
      <c r="R50" s="9">
        <v>15468.32</v>
      </c>
      <c r="S50" s="9">
        <v>15465.24</v>
      </c>
      <c r="T50" s="9">
        <v>15463.94</v>
      </c>
      <c r="U50" s="9">
        <v>15659.72</v>
      </c>
      <c r="V50" s="9">
        <v>15459.69</v>
      </c>
      <c r="W50" s="9">
        <v>15448.6</v>
      </c>
      <c r="X50" s="9">
        <v>15433.49</v>
      </c>
      <c r="Y50" s="9">
        <v>15417.25</v>
      </c>
      <c r="Z50" s="9">
        <v>15687.37</v>
      </c>
      <c r="AA50" s="9">
        <v>15397.41</v>
      </c>
      <c r="AB50" s="9">
        <v>15375.74</v>
      </c>
      <c r="AC50" s="9">
        <v>15354.92</v>
      </c>
      <c r="AD50" s="9">
        <v>15333.86</v>
      </c>
      <c r="AE50" s="9">
        <v>15650.96</v>
      </c>
    </row>
    <row r="51" spans="1:31" x14ac:dyDescent="0.25">
      <c r="A51" s="3" t="s">
        <v>510</v>
      </c>
      <c r="B51" s="9">
        <v>84.45</v>
      </c>
      <c r="C51" s="9">
        <v>84.72</v>
      </c>
      <c r="D51" s="9">
        <v>86.85</v>
      </c>
      <c r="E51" s="9">
        <v>86.35</v>
      </c>
      <c r="F51" s="9">
        <v>84.97</v>
      </c>
      <c r="G51" s="9">
        <v>88.51</v>
      </c>
      <c r="H51" s="9">
        <v>88.64</v>
      </c>
      <c r="I51" s="9">
        <v>89.53</v>
      </c>
      <c r="J51" s="9">
        <v>89.99</v>
      </c>
      <c r="K51" s="9">
        <v>92.65</v>
      </c>
      <c r="L51" s="9">
        <v>91.94</v>
      </c>
      <c r="M51" s="9">
        <v>90.38</v>
      </c>
      <c r="N51" s="9">
        <v>91.24</v>
      </c>
      <c r="O51" s="9">
        <v>91.68</v>
      </c>
      <c r="P51" s="9">
        <v>91.3</v>
      </c>
      <c r="Q51" s="9">
        <v>91.04</v>
      </c>
      <c r="R51" s="9">
        <v>87.32</v>
      </c>
      <c r="S51" s="9">
        <v>88.29</v>
      </c>
      <c r="T51" s="9">
        <v>88.44</v>
      </c>
      <c r="U51" s="9">
        <v>93.17</v>
      </c>
      <c r="V51" s="9">
        <v>92.75</v>
      </c>
      <c r="W51" s="9">
        <v>88.96</v>
      </c>
      <c r="X51" s="9">
        <v>89.94</v>
      </c>
      <c r="Y51" s="9">
        <v>90.08</v>
      </c>
      <c r="Z51" s="9">
        <v>95.06</v>
      </c>
      <c r="AA51" s="9">
        <v>94.44</v>
      </c>
      <c r="AB51" s="9">
        <v>90.59</v>
      </c>
      <c r="AC51" s="9">
        <v>91.58</v>
      </c>
      <c r="AD51" s="9">
        <v>91.72</v>
      </c>
      <c r="AE51" s="9">
        <v>96.88</v>
      </c>
    </row>
    <row r="52" spans="1:31" x14ac:dyDescent="0.25">
      <c r="A52" s="4" t="s">
        <v>509</v>
      </c>
      <c r="B52" s="9">
        <v>3206</v>
      </c>
      <c r="C52" s="9">
        <v>3234</v>
      </c>
      <c r="D52" s="9">
        <v>3247</v>
      </c>
      <c r="E52" s="9">
        <v>3235</v>
      </c>
      <c r="F52" s="9">
        <v>12922</v>
      </c>
      <c r="G52" s="9">
        <v>3713.57</v>
      </c>
      <c r="H52" s="9">
        <v>4121.62</v>
      </c>
      <c r="I52" s="9">
        <v>4168.0600000000004</v>
      </c>
      <c r="J52" s="9">
        <v>4193.9799999999996</v>
      </c>
      <c r="K52" s="9">
        <v>16197.23</v>
      </c>
      <c r="L52" s="9">
        <v>4289.41</v>
      </c>
      <c r="M52" s="9">
        <v>4223.2</v>
      </c>
      <c r="N52" s="9">
        <v>4268.4399999999996</v>
      </c>
      <c r="O52" s="9">
        <v>4295.1099999999997</v>
      </c>
      <c r="P52" s="9">
        <v>17076.16</v>
      </c>
      <c r="Q52" s="9">
        <v>4216.6400000000003</v>
      </c>
      <c r="R52" s="9">
        <v>4057.4</v>
      </c>
      <c r="S52" s="9">
        <v>4114.28</v>
      </c>
      <c r="T52" s="9">
        <v>4130.82</v>
      </c>
      <c r="U52" s="9">
        <v>17519.599999999999</v>
      </c>
      <c r="V52" s="9">
        <v>4344.1499999999996</v>
      </c>
      <c r="W52" s="9">
        <v>4181.57</v>
      </c>
      <c r="X52" s="9">
        <v>4241.53</v>
      </c>
      <c r="Y52" s="9">
        <v>4259.78</v>
      </c>
      <c r="Z52" s="9">
        <v>17979.66</v>
      </c>
      <c r="AA52" s="9">
        <v>4480.2299999999996</v>
      </c>
      <c r="AB52" s="9">
        <v>4313.9799999999996</v>
      </c>
      <c r="AC52" s="9">
        <v>4376.84</v>
      </c>
      <c r="AD52" s="9">
        <v>4396.4399999999996</v>
      </c>
      <c r="AE52" s="9">
        <v>18443.41</v>
      </c>
    </row>
    <row r="53" spans="1:31" x14ac:dyDescent="0.25">
      <c r="A53" s="4" t="s">
        <v>76</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row>
    <row r="54" spans="1:31" x14ac:dyDescent="0.25">
      <c r="A54" s="3" t="s">
        <v>508</v>
      </c>
      <c r="B54" s="9">
        <v>12582.46</v>
      </c>
      <c r="C54" s="9">
        <v>12495.68</v>
      </c>
      <c r="D54" s="9">
        <v>12432.24</v>
      </c>
      <c r="E54" s="9">
        <v>12392</v>
      </c>
      <c r="F54" s="9">
        <v>12392</v>
      </c>
      <c r="G54" s="9">
        <v>15042.95</v>
      </c>
      <c r="H54" s="9">
        <v>15068.56</v>
      </c>
      <c r="I54" s="9">
        <v>15095.97</v>
      </c>
      <c r="J54" s="9">
        <v>15127.45</v>
      </c>
      <c r="K54" s="9">
        <v>15127.45</v>
      </c>
      <c r="L54" s="9">
        <v>15295.29</v>
      </c>
      <c r="M54" s="9">
        <v>15306.1</v>
      </c>
      <c r="N54" s="9">
        <v>15333.21</v>
      </c>
      <c r="O54" s="9">
        <v>15364.13</v>
      </c>
      <c r="P54" s="9">
        <v>15239.22</v>
      </c>
      <c r="Q54" s="9">
        <v>14940.18</v>
      </c>
      <c r="R54" s="9">
        <v>14954.21</v>
      </c>
      <c r="S54" s="9">
        <v>14975.05</v>
      </c>
      <c r="T54" s="9">
        <v>14999.55</v>
      </c>
      <c r="U54" s="9">
        <v>15109.79</v>
      </c>
      <c r="V54" s="9">
        <v>15030.99</v>
      </c>
      <c r="W54" s="9">
        <v>15032.9</v>
      </c>
      <c r="X54" s="9">
        <v>15032.36</v>
      </c>
      <c r="Y54" s="9">
        <v>15041.65</v>
      </c>
      <c r="Z54" s="9">
        <v>15223.73</v>
      </c>
      <c r="AA54" s="9">
        <v>15036.15</v>
      </c>
      <c r="AB54" s="9">
        <v>15035.56</v>
      </c>
      <c r="AC54" s="9">
        <v>15032.29</v>
      </c>
      <c r="AD54" s="9">
        <v>15039.35</v>
      </c>
      <c r="AE54" s="9">
        <v>15264.51</v>
      </c>
    </row>
    <row r="55" spans="1:31" x14ac:dyDescent="0.25">
      <c r="A55" s="3" t="s">
        <v>507</v>
      </c>
      <c r="B55" s="9">
        <v>457</v>
      </c>
      <c r="C55" s="9">
        <v>460</v>
      </c>
      <c r="D55" s="9">
        <v>460</v>
      </c>
      <c r="E55" s="9">
        <v>460</v>
      </c>
      <c r="F55" s="9">
        <v>460</v>
      </c>
      <c r="G55" s="9">
        <v>547.41</v>
      </c>
      <c r="H55" s="9">
        <v>506.59</v>
      </c>
      <c r="I55" s="9">
        <v>542.42999999999995</v>
      </c>
      <c r="J55" s="9">
        <v>546.03</v>
      </c>
      <c r="K55" s="9">
        <v>546.03</v>
      </c>
      <c r="L55" s="9">
        <v>565.54999999999995</v>
      </c>
      <c r="M55" s="9">
        <v>572.41999999999996</v>
      </c>
      <c r="N55" s="9">
        <v>577.85</v>
      </c>
      <c r="O55" s="9">
        <v>583.25</v>
      </c>
      <c r="P55" s="9">
        <v>566.87</v>
      </c>
      <c r="Q55" s="9">
        <v>561.71</v>
      </c>
      <c r="R55" s="9">
        <v>564.76</v>
      </c>
      <c r="S55" s="9">
        <v>568.54999999999995</v>
      </c>
      <c r="T55" s="9">
        <v>571.84</v>
      </c>
      <c r="U55" s="9">
        <v>608.29999999999995</v>
      </c>
      <c r="V55" s="9">
        <v>573.87</v>
      </c>
      <c r="W55" s="9">
        <v>576.38</v>
      </c>
      <c r="X55" s="9">
        <v>579.74</v>
      </c>
      <c r="Y55" s="9">
        <v>582.58000000000004</v>
      </c>
      <c r="Z55" s="9">
        <v>630.05999999999995</v>
      </c>
      <c r="AA55" s="9">
        <v>584.15</v>
      </c>
      <c r="AB55" s="9">
        <v>586.27</v>
      </c>
      <c r="AC55" s="9">
        <v>589.29</v>
      </c>
      <c r="AD55" s="9">
        <v>591.79</v>
      </c>
      <c r="AE55" s="9">
        <v>648.62</v>
      </c>
    </row>
    <row r="56" spans="1:31" x14ac:dyDescent="0.25">
      <c r="A56" s="4" t="s">
        <v>506</v>
      </c>
      <c r="B56" s="9">
        <v>13335.3</v>
      </c>
      <c r="C56" s="9">
        <v>13268.12</v>
      </c>
      <c r="D56" s="9">
        <v>13204.33</v>
      </c>
      <c r="E56" s="9">
        <v>13222.7</v>
      </c>
      <c r="F56" s="9">
        <v>13222.7</v>
      </c>
      <c r="G56" s="9">
        <v>15869.56</v>
      </c>
      <c r="H56" s="9">
        <v>15885.35</v>
      </c>
      <c r="I56" s="9">
        <v>15896.13</v>
      </c>
      <c r="J56" s="9">
        <v>15912.17</v>
      </c>
      <c r="K56" s="9">
        <v>15912.17</v>
      </c>
      <c r="L56" s="9">
        <v>16056.66</v>
      </c>
      <c r="M56" s="9">
        <v>16066.91</v>
      </c>
      <c r="N56" s="9">
        <v>16090.99</v>
      </c>
      <c r="O56" s="9">
        <v>16119.9</v>
      </c>
      <c r="P56" s="9">
        <v>15987.5</v>
      </c>
      <c r="Q56" s="9">
        <v>15469.23</v>
      </c>
      <c r="R56" s="9">
        <v>15467.4</v>
      </c>
      <c r="S56" s="9">
        <v>15463.08</v>
      </c>
      <c r="T56" s="9">
        <v>15464.8</v>
      </c>
      <c r="U56" s="9">
        <v>15687.95</v>
      </c>
      <c r="V56" s="9">
        <v>15454.58</v>
      </c>
      <c r="W56" s="9">
        <v>15442.63</v>
      </c>
      <c r="X56" s="9">
        <v>15424.35</v>
      </c>
      <c r="Y56" s="9">
        <v>15410.15</v>
      </c>
      <c r="Z56" s="9">
        <v>15685.88</v>
      </c>
      <c r="AA56" s="9">
        <v>15384.68</v>
      </c>
      <c r="AB56" s="9">
        <v>15366.8</v>
      </c>
      <c r="AC56" s="9">
        <v>15343.03</v>
      </c>
      <c r="AD56" s="9">
        <v>15324.68</v>
      </c>
      <c r="AE56" s="9">
        <v>15615.1</v>
      </c>
    </row>
    <row r="57" spans="1:31" x14ac:dyDescent="0.25">
      <c r="A57" s="4" t="s">
        <v>76</v>
      </c>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spans="1:31" x14ac:dyDescent="0.25">
      <c r="A58" s="4" t="s">
        <v>404</v>
      </c>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spans="1:31" x14ac:dyDescent="0.25">
      <c r="A59" s="4" t="s">
        <v>215</v>
      </c>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row>
    <row r="60" spans="1:31" x14ac:dyDescent="0.25">
      <c r="A60" s="3" t="s">
        <v>505</v>
      </c>
      <c r="B60" s="9">
        <v>7330</v>
      </c>
      <c r="C60" s="9">
        <v>7348</v>
      </c>
      <c r="D60" s="9">
        <v>7395</v>
      </c>
      <c r="E60" s="9">
        <v>7451</v>
      </c>
      <c r="F60" s="9">
        <v>7451</v>
      </c>
      <c r="G60" s="9">
        <v>10267.629999999999</v>
      </c>
      <c r="H60" s="9">
        <v>10376.99</v>
      </c>
      <c r="I60" s="9">
        <v>10502.21</v>
      </c>
      <c r="J60" s="9">
        <v>10614.58</v>
      </c>
      <c r="K60" s="9">
        <v>10614.58</v>
      </c>
      <c r="L60" s="9">
        <v>11156.47</v>
      </c>
      <c r="M60" s="9">
        <v>11269.32</v>
      </c>
      <c r="N60" s="9">
        <v>11402.8</v>
      </c>
      <c r="O60" s="9">
        <v>11533.58</v>
      </c>
      <c r="P60" s="9">
        <v>11056.51</v>
      </c>
      <c r="Q60" s="9">
        <v>11576.59</v>
      </c>
      <c r="R60" s="9">
        <v>11693.63</v>
      </c>
      <c r="S60" s="9">
        <v>11817.89</v>
      </c>
      <c r="T60" s="9">
        <v>11948.67</v>
      </c>
      <c r="U60" s="9">
        <v>11525.25</v>
      </c>
      <c r="V60" s="9">
        <v>11973.13</v>
      </c>
      <c r="W60" s="9">
        <v>12080.56</v>
      </c>
      <c r="X60" s="9">
        <v>12185.8</v>
      </c>
      <c r="Y60" s="9">
        <v>12291.21</v>
      </c>
      <c r="Z60" s="9">
        <v>11888.49</v>
      </c>
      <c r="AA60" s="9">
        <v>12386.87</v>
      </c>
      <c r="AB60" s="9">
        <v>12491.59</v>
      </c>
      <c r="AC60" s="9">
        <v>12594.25</v>
      </c>
      <c r="AD60" s="9">
        <v>12698.22</v>
      </c>
      <c r="AE60" s="9">
        <v>12296.4</v>
      </c>
    </row>
    <row r="61" spans="1:31" x14ac:dyDescent="0.25">
      <c r="A61" s="3" t="s">
        <v>504</v>
      </c>
      <c r="B61" s="9">
        <v>459</v>
      </c>
      <c r="C61" s="9">
        <v>458</v>
      </c>
      <c r="D61" s="9">
        <v>456</v>
      </c>
      <c r="E61" s="9">
        <v>452</v>
      </c>
      <c r="F61" s="9">
        <v>452</v>
      </c>
      <c r="G61" s="9">
        <v>580.36</v>
      </c>
      <c r="H61" s="9">
        <v>582.04999999999995</v>
      </c>
      <c r="I61" s="9">
        <v>570.62</v>
      </c>
      <c r="J61" s="9">
        <v>571.41</v>
      </c>
      <c r="K61" s="9">
        <v>571.41</v>
      </c>
      <c r="L61" s="9">
        <v>588.97</v>
      </c>
      <c r="M61" s="9">
        <v>592.62</v>
      </c>
      <c r="N61" s="9">
        <v>595.32000000000005</v>
      </c>
      <c r="O61" s="9">
        <v>598.27</v>
      </c>
      <c r="P61" s="9">
        <v>581.17999999999995</v>
      </c>
      <c r="Q61" s="9">
        <v>686.66</v>
      </c>
      <c r="R61" s="9">
        <v>688.35</v>
      </c>
      <c r="S61" s="9">
        <v>692.32</v>
      </c>
      <c r="T61" s="9">
        <v>695.84</v>
      </c>
      <c r="U61" s="9">
        <v>614.83000000000004</v>
      </c>
      <c r="V61" s="9">
        <v>682.94</v>
      </c>
      <c r="W61" s="9">
        <v>683.25</v>
      </c>
      <c r="X61" s="9">
        <v>684.59</v>
      </c>
      <c r="Y61" s="9">
        <v>686.49</v>
      </c>
      <c r="Z61" s="9">
        <v>620.98</v>
      </c>
      <c r="AA61" s="9">
        <v>687.1</v>
      </c>
      <c r="AB61" s="9">
        <v>687.92</v>
      </c>
      <c r="AC61" s="9">
        <v>689.76</v>
      </c>
      <c r="AD61" s="9">
        <v>691.64</v>
      </c>
      <c r="AE61" s="9">
        <v>640.04999999999995</v>
      </c>
    </row>
    <row r="62" spans="1:31" x14ac:dyDescent="0.25">
      <c r="A62" s="4" t="s">
        <v>503</v>
      </c>
      <c r="B62" s="9">
        <v>7789</v>
      </c>
      <c r="C62" s="9">
        <v>7806</v>
      </c>
      <c r="D62" s="9">
        <v>7851</v>
      </c>
      <c r="E62" s="9">
        <v>7903</v>
      </c>
      <c r="F62" s="9">
        <v>7903</v>
      </c>
      <c r="G62" s="9">
        <v>11298.97</v>
      </c>
      <c r="H62" s="9">
        <v>10973.6</v>
      </c>
      <c r="I62" s="9">
        <v>11084.79</v>
      </c>
      <c r="J62" s="9">
        <v>11198.03</v>
      </c>
      <c r="K62" s="9">
        <v>11552.45</v>
      </c>
      <c r="L62" s="9">
        <v>11768.6</v>
      </c>
      <c r="M62" s="9">
        <v>11885.71</v>
      </c>
      <c r="N62" s="9">
        <v>12022.34</v>
      </c>
      <c r="O62" s="9">
        <v>12156.56</v>
      </c>
      <c r="P62" s="9">
        <v>11650.8</v>
      </c>
      <c r="Q62" s="9">
        <v>12263.25</v>
      </c>
      <c r="R62" s="9">
        <v>12381.98</v>
      </c>
      <c r="S62" s="9">
        <v>12510.2</v>
      </c>
      <c r="T62" s="9">
        <v>12644.51</v>
      </c>
      <c r="U62" s="9">
        <v>12140.08</v>
      </c>
      <c r="V62" s="9">
        <v>12656.07</v>
      </c>
      <c r="W62" s="9">
        <v>12763.81</v>
      </c>
      <c r="X62" s="9">
        <v>12870.39</v>
      </c>
      <c r="Y62" s="9">
        <v>12977.71</v>
      </c>
      <c r="Z62" s="9">
        <v>12509.47</v>
      </c>
      <c r="AA62" s="9">
        <v>13073.97</v>
      </c>
      <c r="AB62" s="9">
        <v>13179.51</v>
      </c>
      <c r="AC62" s="9">
        <v>13284.01</v>
      </c>
      <c r="AD62" s="9">
        <v>13389.85</v>
      </c>
      <c r="AE62" s="9">
        <v>12936.45</v>
      </c>
    </row>
    <row r="63" spans="1:31" x14ac:dyDescent="0.25">
      <c r="A63" s="3" t="s">
        <v>502</v>
      </c>
      <c r="B63" s="9">
        <v>4845</v>
      </c>
      <c r="C63" s="9">
        <v>5112</v>
      </c>
      <c r="D63" s="9">
        <v>5391</v>
      </c>
      <c r="E63" s="9">
        <v>5727</v>
      </c>
      <c r="F63" s="9">
        <v>5727</v>
      </c>
      <c r="G63" s="9">
        <v>6006</v>
      </c>
      <c r="H63" s="9">
        <v>6208</v>
      </c>
      <c r="I63" s="9">
        <v>6400.19</v>
      </c>
      <c r="J63" s="9">
        <v>6635.66</v>
      </c>
      <c r="K63" s="9">
        <v>6635.66</v>
      </c>
      <c r="L63" s="9">
        <v>6811.75</v>
      </c>
      <c r="M63" s="9">
        <v>6996.51</v>
      </c>
      <c r="N63" s="9">
        <v>7185.67</v>
      </c>
      <c r="O63" s="9">
        <v>7398.22</v>
      </c>
      <c r="P63" s="9">
        <v>7441.25</v>
      </c>
      <c r="Q63" s="9">
        <v>7495.17</v>
      </c>
      <c r="R63" s="9">
        <v>7655.84</v>
      </c>
      <c r="S63" s="9">
        <v>7819.74</v>
      </c>
      <c r="T63" s="9">
        <v>7993.47</v>
      </c>
      <c r="U63" s="9">
        <v>8172.4</v>
      </c>
      <c r="V63" s="9">
        <v>7963.46</v>
      </c>
      <c r="W63" s="9">
        <v>8089.96</v>
      </c>
      <c r="X63" s="9">
        <v>8217.0400000000009</v>
      </c>
      <c r="Y63" s="9">
        <v>8341.2099999999991</v>
      </c>
      <c r="Z63" s="9">
        <v>8700.33</v>
      </c>
      <c r="AA63" s="9">
        <v>8445.73</v>
      </c>
      <c r="AB63" s="9">
        <v>8550.27</v>
      </c>
      <c r="AC63" s="9">
        <v>8655.17</v>
      </c>
      <c r="AD63" s="9">
        <v>8757.2999999999993</v>
      </c>
      <c r="AE63" s="9">
        <v>9189.5300000000007</v>
      </c>
    </row>
    <row r="64" spans="1:31" x14ac:dyDescent="0.25">
      <c r="A64" s="4" t="s">
        <v>501</v>
      </c>
      <c r="B64" s="9">
        <v>12426</v>
      </c>
      <c r="C64" s="9">
        <v>12725</v>
      </c>
      <c r="D64" s="9">
        <v>13065</v>
      </c>
      <c r="E64" s="9">
        <v>13630</v>
      </c>
      <c r="F64" s="9">
        <v>13630</v>
      </c>
      <c r="G64" s="9">
        <v>16763</v>
      </c>
      <c r="H64" s="9">
        <v>17121</v>
      </c>
      <c r="I64" s="9">
        <v>17399.060000000001</v>
      </c>
      <c r="J64" s="9">
        <v>17765.43</v>
      </c>
      <c r="K64" s="9">
        <v>18040.560000000001</v>
      </c>
      <c r="L64" s="9">
        <v>18419.07</v>
      </c>
      <c r="M64" s="9">
        <v>18736.330000000002</v>
      </c>
      <c r="N64" s="9">
        <v>19073.990000000002</v>
      </c>
      <c r="O64" s="9">
        <v>19427.96</v>
      </c>
      <c r="P64" s="9">
        <v>19120.38</v>
      </c>
      <c r="Q64" s="9">
        <v>19574.439999999999</v>
      </c>
      <c r="R64" s="9">
        <v>19866.150000000001</v>
      </c>
      <c r="S64" s="9">
        <v>20165.41</v>
      </c>
      <c r="T64" s="9">
        <v>20456.13</v>
      </c>
      <c r="U64" s="9">
        <v>20364.84</v>
      </c>
      <c r="V64" s="9">
        <v>20595</v>
      </c>
      <c r="W64" s="9">
        <v>20838.810000000001</v>
      </c>
      <c r="X64" s="9">
        <v>21082.47</v>
      </c>
      <c r="Y64" s="9">
        <v>21323.040000000001</v>
      </c>
      <c r="Z64" s="9">
        <v>21388.080000000002</v>
      </c>
      <c r="AA64" s="9">
        <v>21533.02</v>
      </c>
      <c r="AB64" s="9">
        <v>21749.98</v>
      </c>
      <c r="AC64" s="9">
        <v>21966.61</v>
      </c>
      <c r="AD64" s="9">
        <v>22180.79</v>
      </c>
      <c r="AE64" s="9">
        <v>22352.57</v>
      </c>
    </row>
    <row r="65" spans="1:31" x14ac:dyDescent="0.25">
      <c r="A65" s="4" t="s">
        <v>500</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spans="1:31" x14ac:dyDescent="0.25">
      <c r="A66" s="3" t="s">
        <v>499</v>
      </c>
      <c r="B66" s="10">
        <v>-216.25</v>
      </c>
      <c r="C66" s="10">
        <v>-211.3</v>
      </c>
      <c r="D66" s="10">
        <v>-211.79</v>
      </c>
      <c r="E66" s="10">
        <v>-215.19</v>
      </c>
      <c r="F66" s="10">
        <v>-854.52</v>
      </c>
      <c r="G66" s="9">
        <v>297.79000000000002</v>
      </c>
      <c r="H66" s="9">
        <v>143.85</v>
      </c>
      <c r="I66" s="10">
        <v>-171.46</v>
      </c>
      <c r="J66" s="10">
        <v>-176.06</v>
      </c>
      <c r="K66" s="9">
        <v>94.12</v>
      </c>
      <c r="L66" s="10">
        <v>-181.2</v>
      </c>
      <c r="M66" s="10">
        <v>-177.46</v>
      </c>
      <c r="N66" s="10">
        <v>-179</v>
      </c>
      <c r="O66" s="10">
        <v>-183.24</v>
      </c>
      <c r="P66" s="10">
        <v>-681.73</v>
      </c>
      <c r="Q66" s="10">
        <v>-175.97</v>
      </c>
      <c r="R66" s="10">
        <v>-172.58</v>
      </c>
      <c r="S66" s="10">
        <v>-174.29</v>
      </c>
      <c r="T66" s="10">
        <v>-178.2</v>
      </c>
      <c r="U66" s="10">
        <v>-672.17</v>
      </c>
      <c r="V66" s="10">
        <v>-172.47</v>
      </c>
      <c r="W66" s="10">
        <v>-169.33</v>
      </c>
      <c r="X66" s="10">
        <v>-171</v>
      </c>
      <c r="Y66" s="10">
        <v>-174.32</v>
      </c>
      <c r="Z66" s="10">
        <v>-670.96</v>
      </c>
      <c r="AA66" s="10">
        <v>-169.73</v>
      </c>
      <c r="AB66" s="10">
        <v>-166.41</v>
      </c>
      <c r="AC66" s="10">
        <v>-167.91</v>
      </c>
      <c r="AD66" s="10">
        <v>-170.73</v>
      </c>
      <c r="AE66" s="10">
        <v>-669.45</v>
      </c>
    </row>
    <row r="67" spans="1:31" x14ac:dyDescent="0.25">
      <c r="A67" s="4" t="s">
        <v>498</v>
      </c>
      <c r="B67" s="9">
        <v>5985.06</v>
      </c>
      <c r="C67" s="9">
        <v>5773.76</v>
      </c>
      <c r="D67" s="9">
        <v>5561.97</v>
      </c>
      <c r="E67" s="9">
        <v>5346.79</v>
      </c>
      <c r="F67" s="9">
        <v>5346.79</v>
      </c>
      <c r="G67" s="9">
        <v>5663.32</v>
      </c>
      <c r="H67" s="9">
        <v>5817.18</v>
      </c>
      <c r="I67" s="9">
        <v>5645.72</v>
      </c>
      <c r="J67" s="9">
        <v>5469.65</v>
      </c>
      <c r="K67" s="9">
        <v>5469.65</v>
      </c>
      <c r="L67" s="9">
        <v>5824.15</v>
      </c>
      <c r="M67" s="9">
        <v>5646.68</v>
      </c>
      <c r="N67" s="9">
        <v>5467.69</v>
      </c>
      <c r="O67" s="9">
        <v>5284.45</v>
      </c>
      <c r="P67" s="9">
        <v>4787.92</v>
      </c>
      <c r="Q67" s="9">
        <v>5108.4799999999996</v>
      </c>
      <c r="R67" s="9">
        <v>4935.8999999999996</v>
      </c>
      <c r="S67" s="9">
        <v>4761.6099999999997</v>
      </c>
      <c r="T67" s="9">
        <v>4583.41</v>
      </c>
      <c r="U67" s="9">
        <v>4115.75</v>
      </c>
      <c r="V67" s="9">
        <v>4410.9399999999996</v>
      </c>
      <c r="W67" s="9">
        <v>4241.6099999999997</v>
      </c>
      <c r="X67" s="9">
        <v>4070.61</v>
      </c>
      <c r="Y67" s="9">
        <v>3896.29</v>
      </c>
      <c r="Z67" s="9">
        <v>3444.79</v>
      </c>
      <c r="AA67" s="9">
        <v>3726.56</v>
      </c>
      <c r="AB67" s="9">
        <v>3560.15</v>
      </c>
      <c r="AC67" s="9">
        <v>3392.24</v>
      </c>
      <c r="AD67" s="9">
        <v>3221.51</v>
      </c>
      <c r="AE67" s="9">
        <v>2775.34</v>
      </c>
    </row>
    <row r="68" spans="1:31" x14ac:dyDescent="0.25">
      <c r="A68" s="4" t="s">
        <v>76</v>
      </c>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row>
  </sheetData>
  <mergeCells count="1">
    <mergeCell ref="A1:D1"/>
  </mergeCell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254D-6412-439C-9507-D17A9B43CC05}">
  <dimension ref="A1:AE101"/>
  <sheetViews>
    <sheetView workbookViewId="0">
      <selection sqref="A1:D1"/>
    </sheetView>
  </sheetViews>
  <sheetFormatPr defaultRowHeight="15" x14ac:dyDescent="0.25"/>
  <cols>
    <col min="1" max="1" width="48.5703125" customWidth="1"/>
    <col min="2" max="5" width="18.42578125" customWidth="1"/>
    <col min="6" max="6" width="20.5703125" customWidth="1"/>
    <col min="7" max="8" width="18.42578125" customWidth="1"/>
    <col min="9" max="10" width="18" customWidth="1"/>
    <col min="11" max="11" width="17.5703125" customWidth="1"/>
    <col min="12" max="15" width="18" customWidth="1"/>
    <col min="16" max="16" width="17.5703125" customWidth="1"/>
    <col min="17" max="20" width="18" customWidth="1"/>
    <col min="21" max="21" width="17.5703125" customWidth="1"/>
    <col min="22" max="25" width="18" customWidth="1"/>
    <col min="26" max="26" width="17.5703125" customWidth="1"/>
    <col min="27" max="30" width="18" customWidth="1"/>
    <col min="31" max="31" width="17.5703125" customWidth="1"/>
  </cols>
  <sheetData>
    <row r="1" spans="1:31" ht="39.950000000000003" customHeight="1" x14ac:dyDescent="0.25">
      <c r="A1" s="40"/>
      <c r="B1" s="40"/>
      <c r="C1" s="40"/>
      <c r="D1" s="40"/>
    </row>
    <row r="2" spans="1:31" ht="30" customHeight="1" x14ac:dyDescent="0.3">
      <c r="A2" s="1" t="s">
        <v>497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19</v>
      </c>
      <c r="C15" s="7">
        <v>19</v>
      </c>
      <c r="D15" s="7">
        <v>19</v>
      </c>
      <c r="E15" s="7">
        <v>19</v>
      </c>
      <c r="F15" s="7">
        <v>20</v>
      </c>
      <c r="G15" s="7">
        <v>20</v>
      </c>
      <c r="H15" s="7">
        <v>20</v>
      </c>
      <c r="I15" s="8" t="s">
        <v>40</v>
      </c>
      <c r="J15" s="8" t="s">
        <v>40</v>
      </c>
      <c r="K15" s="8" t="s">
        <v>40</v>
      </c>
      <c r="L15" s="8" t="s">
        <v>41</v>
      </c>
      <c r="M15" s="8" t="s">
        <v>41</v>
      </c>
      <c r="N15" s="8" t="s">
        <v>42</v>
      </c>
      <c r="O15" s="8" t="s">
        <v>42</v>
      </c>
      <c r="P15" s="8" t="s">
        <v>40</v>
      </c>
      <c r="Q15" s="8" t="s">
        <v>43</v>
      </c>
      <c r="R15" s="8" t="s">
        <v>43</v>
      </c>
      <c r="S15" s="8" t="s">
        <v>43</v>
      </c>
      <c r="T15" s="8" t="s">
        <v>43</v>
      </c>
      <c r="U15" s="8" t="s">
        <v>44</v>
      </c>
      <c r="V15" s="8" t="s">
        <v>45</v>
      </c>
      <c r="W15" s="8" t="s">
        <v>45</v>
      </c>
      <c r="X15" s="8" t="s">
        <v>45</v>
      </c>
      <c r="Y15" s="8" t="s">
        <v>45</v>
      </c>
      <c r="Z15" s="8" t="s">
        <v>46</v>
      </c>
      <c r="AA15" s="8" t="s">
        <v>45</v>
      </c>
      <c r="AB15" s="8" t="s">
        <v>45</v>
      </c>
      <c r="AC15" s="8" t="s">
        <v>45</v>
      </c>
      <c r="AD15" s="8" t="s">
        <v>45</v>
      </c>
      <c r="AE15" s="8" t="s">
        <v>46</v>
      </c>
    </row>
    <row r="16" spans="1:31" x14ac:dyDescent="0.25">
      <c r="A16" s="4" t="s">
        <v>496</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25">
      <c r="A17" s="3" t="s">
        <v>495</v>
      </c>
      <c r="B17" s="9">
        <v>125937</v>
      </c>
      <c r="C17" s="9">
        <v>125744</v>
      </c>
      <c r="D17" s="9">
        <v>125895</v>
      </c>
      <c r="E17" s="9">
        <v>125913</v>
      </c>
      <c r="F17" s="9">
        <v>125937</v>
      </c>
      <c r="G17" s="9">
        <v>126705</v>
      </c>
      <c r="H17" s="9">
        <v>126499</v>
      </c>
      <c r="I17" s="9">
        <v>126642.48</v>
      </c>
      <c r="J17" s="9">
        <v>126862.01</v>
      </c>
      <c r="K17" s="9">
        <v>126705</v>
      </c>
      <c r="L17" s="9">
        <v>127620.66</v>
      </c>
      <c r="M17" s="9">
        <v>127566.47</v>
      </c>
      <c r="N17" s="9">
        <v>127744.51</v>
      </c>
      <c r="O17" s="9">
        <v>127901.62</v>
      </c>
      <c r="P17" s="9">
        <v>127664.17</v>
      </c>
      <c r="Q17" s="9">
        <v>128612.39</v>
      </c>
      <c r="R17" s="9">
        <v>128461.25</v>
      </c>
      <c r="S17" s="9">
        <v>128618.55</v>
      </c>
      <c r="T17" s="9">
        <v>128719.58</v>
      </c>
      <c r="U17" s="9">
        <v>128915.63</v>
      </c>
      <c r="V17" s="9">
        <v>129652.11</v>
      </c>
      <c r="W17" s="9">
        <v>129474.49</v>
      </c>
      <c r="X17" s="9">
        <v>129569.1</v>
      </c>
      <c r="Y17" s="9">
        <v>129704.4</v>
      </c>
      <c r="Z17" s="9">
        <v>130150.35</v>
      </c>
      <c r="AA17" s="9">
        <v>130417.85</v>
      </c>
      <c r="AB17" s="9">
        <v>130207.43</v>
      </c>
      <c r="AC17" s="9">
        <v>130265.07</v>
      </c>
      <c r="AD17" s="9">
        <v>130364.62</v>
      </c>
      <c r="AE17" s="9">
        <v>131162.53</v>
      </c>
    </row>
    <row r="18" spans="1:31" x14ac:dyDescent="0.25">
      <c r="A18" s="3" t="s">
        <v>494</v>
      </c>
      <c r="B18" s="9">
        <v>4474</v>
      </c>
      <c r="C18" s="9">
        <v>4834</v>
      </c>
      <c r="D18" s="9">
        <v>4663</v>
      </c>
      <c r="E18" s="9">
        <v>5813</v>
      </c>
      <c r="F18" s="9">
        <v>19784</v>
      </c>
      <c r="G18" s="9">
        <v>4669.62</v>
      </c>
      <c r="H18" s="9">
        <v>4722.79</v>
      </c>
      <c r="I18" s="9">
        <v>4832.1099999999997</v>
      </c>
      <c r="J18" s="9">
        <v>5556.91</v>
      </c>
      <c r="K18" s="9">
        <v>19781.419999999998</v>
      </c>
      <c r="L18" s="9">
        <v>4553.54</v>
      </c>
      <c r="M18" s="9">
        <v>4668.47</v>
      </c>
      <c r="N18" s="9">
        <v>4623.03</v>
      </c>
      <c r="O18" s="9">
        <v>5383.42</v>
      </c>
      <c r="P18" s="9">
        <v>19955.98</v>
      </c>
      <c r="Q18" s="9">
        <v>4478.1899999999996</v>
      </c>
      <c r="R18" s="9">
        <v>4613.3900000000003</v>
      </c>
      <c r="S18" s="9">
        <v>4506.6499999999996</v>
      </c>
      <c r="T18" s="9">
        <v>5292.52</v>
      </c>
      <c r="U18" s="9">
        <v>20016.72</v>
      </c>
      <c r="V18" s="9">
        <v>4382.1400000000003</v>
      </c>
      <c r="W18" s="9">
        <v>4417.62</v>
      </c>
      <c r="X18" s="9">
        <v>4521.3100000000004</v>
      </c>
      <c r="Y18" s="9">
        <v>5133.2700000000004</v>
      </c>
      <c r="Z18" s="9">
        <v>20126.11</v>
      </c>
      <c r="AA18" s="9">
        <v>4369.2700000000004</v>
      </c>
      <c r="AB18" s="9">
        <v>4395.9399999999996</v>
      </c>
      <c r="AC18" s="9">
        <v>4501.45</v>
      </c>
      <c r="AD18" s="9">
        <v>5107.33</v>
      </c>
      <c r="AE18" s="9">
        <v>20275.73</v>
      </c>
    </row>
    <row r="19" spans="1:31" x14ac:dyDescent="0.25">
      <c r="A19" s="3" t="s">
        <v>493</v>
      </c>
      <c r="B19" s="8" t="s">
        <v>298</v>
      </c>
      <c r="C19" s="8" t="s">
        <v>491</v>
      </c>
      <c r="D19" s="8" t="s">
        <v>298</v>
      </c>
      <c r="E19" s="8" t="s">
        <v>492</v>
      </c>
      <c r="F19" s="8" t="s">
        <v>297</v>
      </c>
      <c r="G19" s="8" t="s">
        <v>300</v>
      </c>
      <c r="H19" s="8" t="s">
        <v>296</v>
      </c>
      <c r="I19" s="8" t="s">
        <v>295</v>
      </c>
      <c r="J19" s="8" t="s">
        <v>491</v>
      </c>
      <c r="K19" s="8" t="s">
        <v>292</v>
      </c>
      <c r="L19" s="8" t="s">
        <v>292</v>
      </c>
      <c r="M19" s="8" t="s">
        <v>293</v>
      </c>
      <c r="N19" s="8" t="s">
        <v>294</v>
      </c>
      <c r="O19" s="8" t="s">
        <v>52</v>
      </c>
      <c r="P19" s="8" t="s">
        <v>52</v>
      </c>
      <c r="Q19" s="8" t="s">
        <v>292</v>
      </c>
      <c r="R19" s="8" t="s">
        <v>54</v>
      </c>
      <c r="S19" s="8" t="s">
        <v>294</v>
      </c>
      <c r="T19" s="8" t="s">
        <v>295</v>
      </c>
      <c r="U19" s="8" t="s">
        <v>52</v>
      </c>
      <c r="V19" s="8" t="s">
        <v>52</v>
      </c>
      <c r="W19" s="8" t="s">
        <v>53</v>
      </c>
      <c r="X19" s="8" t="s">
        <v>293</v>
      </c>
      <c r="Y19" s="8" t="s">
        <v>293</v>
      </c>
      <c r="Z19" s="8" t="s">
        <v>292</v>
      </c>
      <c r="AA19" s="8" t="s">
        <v>52</v>
      </c>
      <c r="AB19" s="8" t="s">
        <v>53</v>
      </c>
      <c r="AC19" s="8" t="s">
        <v>293</v>
      </c>
      <c r="AD19" s="8" t="s">
        <v>293</v>
      </c>
      <c r="AE19" s="8" t="s">
        <v>292</v>
      </c>
    </row>
    <row r="20" spans="1:31" x14ac:dyDescent="0.25">
      <c r="A20" s="3" t="s">
        <v>490</v>
      </c>
      <c r="B20" s="9">
        <v>4643.51</v>
      </c>
      <c r="C20" s="9">
        <v>4680.49</v>
      </c>
      <c r="D20" s="9">
        <v>4645.8599999999997</v>
      </c>
      <c r="E20" s="9">
        <v>5001.84</v>
      </c>
      <c r="F20" s="9">
        <v>18948.150000000001</v>
      </c>
      <c r="G20" s="9">
        <v>4789.3500000000004</v>
      </c>
      <c r="H20" s="9">
        <v>4505.3599999999997</v>
      </c>
      <c r="I20" s="9">
        <v>4579.1099999999997</v>
      </c>
      <c r="J20" s="9">
        <v>4726.3100000000004</v>
      </c>
      <c r="K20" s="9">
        <v>18600.099999999999</v>
      </c>
      <c r="L20" s="9">
        <v>4656.9399999999996</v>
      </c>
      <c r="M20" s="9">
        <v>4472.3599999999997</v>
      </c>
      <c r="N20" s="9">
        <v>4545.7</v>
      </c>
      <c r="O20" s="9">
        <v>4642.8999999999996</v>
      </c>
      <c r="P20" s="9">
        <v>18667.98</v>
      </c>
      <c r="Q20" s="9">
        <v>4705.7299999999996</v>
      </c>
      <c r="R20" s="9">
        <v>4450.7299999999996</v>
      </c>
      <c r="S20" s="9">
        <v>4528.99</v>
      </c>
      <c r="T20" s="9">
        <v>4610.88</v>
      </c>
      <c r="U20" s="9">
        <v>18899.13</v>
      </c>
      <c r="V20" s="9">
        <v>4661.1499999999996</v>
      </c>
      <c r="W20" s="9">
        <v>4384.37</v>
      </c>
      <c r="X20" s="9">
        <v>4511.42</v>
      </c>
      <c r="Y20" s="9">
        <v>4521.04</v>
      </c>
      <c r="Z20" s="9">
        <v>19128.05</v>
      </c>
      <c r="AA20" s="9">
        <v>4677.12</v>
      </c>
      <c r="AB20" s="9">
        <v>4398.84</v>
      </c>
      <c r="AC20" s="9">
        <v>4525.96</v>
      </c>
      <c r="AD20" s="9">
        <v>4535.74</v>
      </c>
      <c r="AE20" s="9">
        <v>19372.18</v>
      </c>
    </row>
    <row r="21" spans="1:31" x14ac:dyDescent="0.25">
      <c r="A21" s="4" t="s">
        <v>489</v>
      </c>
      <c r="B21" s="10">
        <v>-159</v>
      </c>
      <c r="C21" s="9">
        <v>155</v>
      </c>
      <c r="D21" s="9">
        <v>36</v>
      </c>
      <c r="E21" s="9">
        <v>829</v>
      </c>
      <c r="F21" s="9">
        <v>861</v>
      </c>
      <c r="G21" s="10">
        <v>-196</v>
      </c>
      <c r="H21" s="9">
        <v>188</v>
      </c>
      <c r="I21" s="9">
        <v>203.14</v>
      </c>
      <c r="J21" s="9">
        <v>803.58</v>
      </c>
      <c r="K21" s="9">
        <v>1019.82</v>
      </c>
      <c r="L21" s="10">
        <v>-38.11</v>
      </c>
      <c r="M21" s="9">
        <v>184.45</v>
      </c>
      <c r="N21" s="9">
        <v>113.62</v>
      </c>
      <c r="O21" s="9">
        <v>777.66</v>
      </c>
      <c r="P21" s="9">
        <v>1240.55</v>
      </c>
      <c r="Q21" s="10">
        <v>-136.33000000000001</v>
      </c>
      <c r="R21" s="9">
        <v>168.69</v>
      </c>
      <c r="S21" s="9">
        <v>23.37</v>
      </c>
      <c r="T21" s="9">
        <v>663.37</v>
      </c>
      <c r="U21" s="9">
        <v>1103.8499999999999</v>
      </c>
      <c r="V21" s="10">
        <v>-149.53</v>
      </c>
      <c r="W21" s="9">
        <v>108.52</v>
      </c>
      <c r="X21" s="9">
        <v>39.880000000000003</v>
      </c>
      <c r="Y21" s="9">
        <v>654.55999999999995</v>
      </c>
      <c r="Z21" s="9">
        <v>1068.77</v>
      </c>
      <c r="AA21" s="10">
        <v>-178.02</v>
      </c>
      <c r="AB21" s="9">
        <v>74.790000000000006</v>
      </c>
      <c r="AC21" s="9">
        <v>7.69</v>
      </c>
      <c r="AD21" s="9">
        <v>618.79999999999995</v>
      </c>
      <c r="AE21" s="9">
        <v>979.75</v>
      </c>
    </row>
    <row r="22" spans="1:31" x14ac:dyDescent="0.25">
      <c r="A22" s="3" t="s">
        <v>488</v>
      </c>
      <c r="B22" s="10">
        <v>-34</v>
      </c>
      <c r="C22" s="10">
        <v>-4</v>
      </c>
      <c r="D22" s="10">
        <v>-18</v>
      </c>
      <c r="E22" s="10">
        <v>-37</v>
      </c>
      <c r="F22" s="10">
        <v>-93</v>
      </c>
      <c r="G22" s="10">
        <v>-10</v>
      </c>
      <c r="H22" s="10">
        <v>-68</v>
      </c>
      <c r="I22" s="10">
        <v>-102</v>
      </c>
      <c r="J22" s="8" t="s">
        <v>66</v>
      </c>
      <c r="K22" s="10">
        <v>-80.75</v>
      </c>
      <c r="L22" s="8" t="s">
        <v>66</v>
      </c>
      <c r="M22" s="8" t="s">
        <v>66</v>
      </c>
      <c r="N22" s="8" t="s">
        <v>66</v>
      </c>
      <c r="O22" s="8" t="s">
        <v>66</v>
      </c>
      <c r="P22" s="8" t="s">
        <v>66</v>
      </c>
      <c r="Q22" s="8" t="s">
        <v>66</v>
      </c>
      <c r="R22" s="8" t="s">
        <v>66</v>
      </c>
      <c r="S22" s="8" t="s">
        <v>66</v>
      </c>
      <c r="T22" s="8" t="s">
        <v>66</v>
      </c>
      <c r="U22" s="8" t="s">
        <v>66</v>
      </c>
      <c r="V22" s="8" t="s">
        <v>66</v>
      </c>
      <c r="W22" s="8" t="s">
        <v>66</v>
      </c>
      <c r="X22" s="8" t="s">
        <v>66</v>
      </c>
      <c r="Y22" s="8" t="s">
        <v>66</v>
      </c>
      <c r="Z22" s="8" t="s">
        <v>66</v>
      </c>
      <c r="AA22" s="8" t="s">
        <v>66</v>
      </c>
      <c r="AB22" s="8" t="s">
        <v>66</v>
      </c>
      <c r="AC22" s="8" t="s">
        <v>66</v>
      </c>
      <c r="AD22" s="8" t="s">
        <v>66</v>
      </c>
      <c r="AE22" s="8" t="s">
        <v>66</v>
      </c>
    </row>
    <row r="23" spans="1:31" x14ac:dyDescent="0.25">
      <c r="A23" s="4" t="s">
        <v>487</v>
      </c>
      <c r="B23" s="10">
        <v>-193</v>
      </c>
      <c r="C23" s="9">
        <v>151</v>
      </c>
      <c r="D23" s="9">
        <v>18</v>
      </c>
      <c r="E23" s="9">
        <v>792</v>
      </c>
      <c r="F23" s="9">
        <v>768</v>
      </c>
      <c r="G23" s="10">
        <v>-206</v>
      </c>
      <c r="H23" s="9">
        <v>120</v>
      </c>
      <c r="I23" s="9">
        <v>219.53</v>
      </c>
      <c r="J23" s="9">
        <v>802.17</v>
      </c>
      <c r="K23" s="9">
        <v>963.77</v>
      </c>
      <c r="L23" s="10">
        <v>-54.19</v>
      </c>
      <c r="M23" s="9">
        <v>178.05</v>
      </c>
      <c r="N23" s="9">
        <v>157.11000000000001</v>
      </c>
      <c r="O23" s="9">
        <v>800.05</v>
      </c>
      <c r="P23" s="9">
        <v>1202.81</v>
      </c>
      <c r="Q23" s="10">
        <v>-151.13999999999999</v>
      </c>
      <c r="R23" s="9">
        <v>157.30000000000001</v>
      </c>
      <c r="S23" s="9">
        <v>101.03</v>
      </c>
      <c r="T23" s="9">
        <v>711.32</v>
      </c>
      <c r="U23" s="9">
        <v>1065.95</v>
      </c>
      <c r="V23" s="10">
        <v>-177.63</v>
      </c>
      <c r="W23" s="9">
        <v>94.61</v>
      </c>
      <c r="X23" s="9">
        <v>135.30000000000001</v>
      </c>
      <c r="Y23" s="9">
        <v>713.45</v>
      </c>
      <c r="Z23" s="9">
        <v>1012.18</v>
      </c>
      <c r="AA23" s="10">
        <v>-210.42</v>
      </c>
      <c r="AB23" s="9">
        <v>57.63</v>
      </c>
      <c r="AC23" s="9">
        <v>99.56</v>
      </c>
      <c r="AD23" s="9">
        <v>674.84</v>
      </c>
      <c r="AE23" s="9">
        <v>921.16</v>
      </c>
    </row>
    <row r="24" spans="1:31" x14ac:dyDescent="0.25">
      <c r="A24" s="4" t="s">
        <v>486</v>
      </c>
      <c r="B24" s="9">
        <v>125744</v>
      </c>
      <c r="C24" s="9">
        <v>125895</v>
      </c>
      <c r="D24" s="9">
        <v>125913</v>
      </c>
      <c r="E24" s="9">
        <v>126705</v>
      </c>
      <c r="F24" s="9">
        <v>126705</v>
      </c>
      <c r="G24" s="9">
        <v>126499</v>
      </c>
      <c r="H24" s="9">
        <v>126619</v>
      </c>
      <c r="I24" s="9">
        <v>126862.01</v>
      </c>
      <c r="J24" s="9">
        <v>127664.17</v>
      </c>
      <c r="K24" s="9">
        <v>127664.17</v>
      </c>
      <c r="L24" s="9">
        <v>127566.47</v>
      </c>
      <c r="M24" s="9">
        <v>127744.51</v>
      </c>
      <c r="N24" s="9">
        <v>127901.62</v>
      </c>
      <c r="O24" s="9">
        <v>128701.67</v>
      </c>
      <c r="P24" s="9">
        <v>128866.99</v>
      </c>
      <c r="Q24" s="9">
        <v>128461.25</v>
      </c>
      <c r="R24" s="9">
        <v>128618.55</v>
      </c>
      <c r="S24" s="9">
        <v>128719.58</v>
      </c>
      <c r="T24" s="9">
        <v>129430.9</v>
      </c>
      <c r="U24" s="9">
        <v>129954.59</v>
      </c>
      <c r="V24" s="9">
        <v>129474.49</v>
      </c>
      <c r="W24" s="9">
        <v>129569.1</v>
      </c>
      <c r="X24" s="9">
        <v>129704.4</v>
      </c>
      <c r="Y24" s="9">
        <v>130417.85</v>
      </c>
      <c r="Z24" s="9">
        <v>131162.53</v>
      </c>
      <c r="AA24" s="9">
        <v>130207.43</v>
      </c>
      <c r="AB24" s="9">
        <v>130265.07</v>
      </c>
      <c r="AC24" s="9">
        <v>130364.62</v>
      </c>
      <c r="AD24" s="9">
        <v>131039.46</v>
      </c>
      <c r="AE24" s="9">
        <v>132083.69</v>
      </c>
    </row>
    <row r="25" spans="1:31" x14ac:dyDescent="0.25">
      <c r="A25" s="3" t="s">
        <v>485</v>
      </c>
      <c r="B25" s="9">
        <v>125840.5</v>
      </c>
      <c r="C25" s="9">
        <v>125819.5</v>
      </c>
      <c r="D25" s="9">
        <v>125904</v>
      </c>
      <c r="E25" s="9">
        <v>126309</v>
      </c>
      <c r="F25" s="9">
        <v>126321</v>
      </c>
      <c r="G25" s="9">
        <v>126602</v>
      </c>
      <c r="H25" s="9">
        <v>126559</v>
      </c>
      <c r="I25" s="9">
        <v>126752.24</v>
      </c>
      <c r="J25" s="9">
        <v>127263.09</v>
      </c>
      <c r="K25" s="9">
        <v>127046.53</v>
      </c>
      <c r="L25" s="9">
        <v>127593.56</v>
      </c>
      <c r="M25" s="9">
        <v>127655.49</v>
      </c>
      <c r="N25" s="9">
        <v>127823.07</v>
      </c>
      <c r="O25" s="9">
        <v>128301.65</v>
      </c>
      <c r="P25" s="9">
        <v>128213.84</v>
      </c>
      <c r="Q25" s="9">
        <v>128536.82</v>
      </c>
      <c r="R25" s="9">
        <v>128539.9</v>
      </c>
      <c r="S25" s="9">
        <v>128669.07</v>
      </c>
      <c r="T25" s="9">
        <v>129075.24</v>
      </c>
      <c r="U25" s="9">
        <v>129387.28</v>
      </c>
      <c r="V25" s="9">
        <v>129563.3</v>
      </c>
      <c r="W25" s="9">
        <v>129521.8</v>
      </c>
      <c r="X25" s="9">
        <v>129636.75</v>
      </c>
      <c r="Y25" s="9">
        <v>130061.13</v>
      </c>
      <c r="Z25" s="9">
        <v>130618.27</v>
      </c>
      <c r="AA25" s="9">
        <v>130312.64</v>
      </c>
      <c r="AB25" s="9">
        <v>130236.25</v>
      </c>
      <c r="AC25" s="9">
        <v>130314.84</v>
      </c>
      <c r="AD25" s="9">
        <v>130702.04</v>
      </c>
      <c r="AE25" s="9">
        <v>131585.96</v>
      </c>
    </row>
    <row r="26" spans="1:31" x14ac:dyDescent="0.25">
      <c r="A26" s="3" t="s">
        <v>484</v>
      </c>
      <c r="B26" s="9">
        <v>46.92</v>
      </c>
      <c r="C26" s="9">
        <v>47.03</v>
      </c>
      <c r="D26" s="9">
        <v>46.89</v>
      </c>
      <c r="E26" s="9">
        <v>46.58</v>
      </c>
      <c r="F26" s="9">
        <v>46.89</v>
      </c>
      <c r="G26" s="9">
        <v>45.33</v>
      </c>
      <c r="H26" s="9">
        <v>45.63</v>
      </c>
      <c r="I26" s="9">
        <v>46.53</v>
      </c>
      <c r="J26" s="9">
        <v>46.59</v>
      </c>
      <c r="K26" s="9">
        <v>46</v>
      </c>
      <c r="L26" s="9">
        <v>46.28</v>
      </c>
      <c r="M26" s="9">
        <v>46.3</v>
      </c>
      <c r="N26" s="9">
        <v>46.67</v>
      </c>
      <c r="O26" s="9">
        <v>46.71</v>
      </c>
      <c r="P26" s="9">
        <v>45.96</v>
      </c>
      <c r="Q26" s="9">
        <v>45.83</v>
      </c>
      <c r="R26" s="9">
        <v>45.83</v>
      </c>
      <c r="S26" s="9">
        <v>46.27</v>
      </c>
      <c r="T26" s="9">
        <v>46.29</v>
      </c>
      <c r="U26" s="9">
        <v>46.25</v>
      </c>
      <c r="V26" s="9">
        <v>45.63</v>
      </c>
      <c r="W26" s="9">
        <v>45.48</v>
      </c>
      <c r="X26" s="9">
        <v>46.04</v>
      </c>
      <c r="Y26" s="9">
        <v>46.11</v>
      </c>
      <c r="Z26" s="9">
        <v>46.19</v>
      </c>
      <c r="AA26" s="9">
        <v>45.61</v>
      </c>
      <c r="AB26" s="9">
        <v>45.46</v>
      </c>
      <c r="AC26" s="9">
        <v>46.02</v>
      </c>
      <c r="AD26" s="9">
        <v>46.09</v>
      </c>
      <c r="AE26" s="9">
        <v>46.16</v>
      </c>
    </row>
    <row r="27" spans="1:31" x14ac:dyDescent="0.25">
      <c r="A27" s="4" t="s">
        <v>483</v>
      </c>
      <c r="B27" s="9">
        <v>17714.150000000001</v>
      </c>
      <c r="C27" s="9">
        <v>17764.38</v>
      </c>
      <c r="D27" s="9">
        <v>17756.25</v>
      </c>
      <c r="E27" s="9">
        <v>17649.43</v>
      </c>
      <c r="F27" s="9">
        <v>70884.210000000006</v>
      </c>
      <c r="G27" s="9">
        <v>17215.560000000001</v>
      </c>
      <c r="H27" s="9">
        <v>17324.73</v>
      </c>
      <c r="I27" s="9">
        <v>17565.080000000002</v>
      </c>
      <c r="J27" s="9">
        <v>17660.22</v>
      </c>
      <c r="K27" s="9">
        <v>69902.11</v>
      </c>
      <c r="L27" s="9">
        <v>17542.62</v>
      </c>
      <c r="M27" s="9">
        <v>17564.78</v>
      </c>
      <c r="N27" s="9">
        <v>17740.05</v>
      </c>
      <c r="O27" s="9">
        <v>17827.87</v>
      </c>
      <c r="P27" s="9">
        <v>70624.41</v>
      </c>
      <c r="Q27" s="9">
        <v>17677.95</v>
      </c>
      <c r="R27" s="9">
        <v>17683.18</v>
      </c>
      <c r="S27" s="9">
        <v>17867.16</v>
      </c>
      <c r="T27" s="9">
        <v>17933.419999999998</v>
      </c>
      <c r="U27" s="9">
        <v>71351.39</v>
      </c>
      <c r="V27" s="9">
        <v>17757.46</v>
      </c>
      <c r="W27" s="9">
        <v>17697.43</v>
      </c>
      <c r="X27" s="9">
        <v>17929.02</v>
      </c>
      <c r="Y27" s="9">
        <v>18017.78</v>
      </c>
      <c r="Z27" s="9">
        <v>71995.820000000007</v>
      </c>
      <c r="AA27" s="9">
        <v>17859.38</v>
      </c>
      <c r="AB27" s="9">
        <v>17795.810000000001</v>
      </c>
      <c r="AC27" s="9">
        <v>18024.330000000002</v>
      </c>
      <c r="AD27" s="9">
        <v>18107.71</v>
      </c>
      <c r="AE27" s="9">
        <v>72664.600000000006</v>
      </c>
    </row>
    <row r="28" spans="1:31" x14ac:dyDescent="0.25">
      <c r="A28" s="4" t="s">
        <v>482</v>
      </c>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25">
      <c r="A29" s="3" t="s">
        <v>481</v>
      </c>
      <c r="B29" s="8" t="s">
        <v>480</v>
      </c>
      <c r="C29" s="8" t="s">
        <v>81</v>
      </c>
      <c r="D29" s="8" t="s">
        <v>94</v>
      </c>
      <c r="E29" s="8" t="s">
        <v>479</v>
      </c>
      <c r="F29" s="8" t="s">
        <v>478</v>
      </c>
      <c r="G29" s="8" t="s">
        <v>79</v>
      </c>
      <c r="H29" s="8" t="s">
        <v>369</v>
      </c>
      <c r="I29" s="8" t="s">
        <v>473</v>
      </c>
      <c r="J29" s="8" t="s">
        <v>477</v>
      </c>
      <c r="K29" s="8" t="s">
        <v>476</v>
      </c>
      <c r="L29" s="8" t="s">
        <v>475</v>
      </c>
      <c r="M29" s="8" t="s">
        <v>474</v>
      </c>
      <c r="N29" s="8" t="s">
        <v>473</v>
      </c>
      <c r="O29" s="8" t="s">
        <v>80</v>
      </c>
      <c r="P29" s="8" t="s">
        <v>472</v>
      </c>
      <c r="Q29" s="8" t="s">
        <v>471</v>
      </c>
      <c r="R29" s="8" t="s">
        <v>470</v>
      </c>
      <c r="S29" s="8" t="s">
        <v>469</v>
      </c>
      <c r="T29" s="8" t="s">
        <v>147</v>
      </c>
      <c r="U29" s="8" t="s">
        <v>468</v>
      </c>
      <c r="V29" s="8" t="s">
        <v>464</v>
      </c>
      <c r="W29" s="8" t="s">
        <v>467</v>
      </c>
      <c r="X29" s="8" t="s">
        <v>466</v>
      </c>
      <c r="Y29" s="8" t="s">
        <v>120</v>
      </c>
      <c r="Z29" s="8" t="s">
        <v>465</v>
      </c>
      <c r="AA29" s="8" t="s">
        <v>464</v>
      </c>
      <c r="AB29" s="8" t="s">
        <v>463</v>
      </c>
      <c r="AC29" s="8" t="s">
        <v>462</v>
      </c>
      <c r="AD29" s="8" t="s">
        <v>117</v>
      </c>
      <c r="AE29" s="8" t="s">
        <v>461</v>
      </c>
    </row>
    <row r="30" spans="1:31" x14ac:dyDescent="0.25">
      <c r="A30" s="4" t="s">
        <v>460</v>
      </c>
      <c r="B30" s="9">
        <v>3417.08</v>
      </c>
      <c r="C30" s="9">
        <v>4441.3900000000003</v>
      </c>
      <c r="D30" s="9">
        <v>4058.83</v>
      </c>
      <c r="E30" s="9">
        <v>5494.95</v>
      </c>
      <c r="F30" s="9">
        <v>17412.25</v>
      </c>
      <c r="G30" s="9">
        <v>3684.98</v>
      </c>
      <c r="H30" s="9">
        <v>3371.08</v>
      </c>
      <c r="I30" s="9">
        <v>3537.73</v>
      </c>
      <c r="J30" s="9">
        <v>5024.08</v>
      </c>
      <c r="K30" s="9">
        <v>15617.87</v>
      </c>
      <c r="L30" s="9">
        <v>3738.76</v>
      </c>
      <c r="M30" s="9">
        <v>3653.07</v>
      </c>
      <c r="N30" s="9">
        <v>3600.34</v>
      </c>
      <c r="O30" s="9">
        <v>4983.7</v>
      </c>
      <c r="P30" s="9">
        <v>15974.76</v>
      </c>
      <c r="Q30" s="9">
        <v>3791.41</v>
      </c>
      <c r="R30" s="9">
        <v>3761.95</v>
      </c>
      <c r="S30" s="9">
        <v>3550.84</v>
      </c>
      <c r="T30" s="9">
        <v>4958.67</v>
      </c>
      <c r="U30" s="9">
        <v>16212.3</v>
      </c>
      <c r="V30" s="9">
        <v>4096.58</v>
      </c>
      <c r="W30" s="9">
        <v>3765.11</v>
      </c>
      <c r="X30" s="9">
        <v>3596.61</v>
      </c>
      <c r="Y30" s="9">
        <v>5058.59</v>
      </c>
      <c r="Z30" s="9">
        <v>16550.43</v>
      </c>
      <c r="AA30" s="9">
        <v>4115.28</v>
      </c>
      <c r="AB30" s="9">
        <v>3778.26</v>
      </c>
      <c r="AC30" s="9">
        <v>3613.43</v>
      </c>
      <c r="AD30" s="9">
        <v>5078.3500000000004</v>
      </c>
      <c r="AE30" s="9">
        <v>16687.86</v>
      </c>
    </row>
    <row r="31" spans="1:31" x14ac:dyDescent="0.25">
      <c r="A31" s="3" t="s">
        <v>459</v>
      </c>
      <c r="B31" s="9">
        <v>4474</v>
      </c>
      <c r="C31" s="9">
        <v>4834</v>
      </c>
      <c r="D31" s="9">
        <v>4663</v>
      </c>
      <c r="E31" s="9">
        <v>5813</v>
      </c>
      <c r="F31" s="9">
        <v>19784</v>
      </c>
      <c r="G31" s="9">
        <v>4669.62</v>
      </c>
      <c r="H31" s="9">
        <v>4722.79</v>
      </c>
      <c r="I31" s="9">
        <v>4832.1099999999997</v>
      </c>
      <c r="J31" s="9">
        <v>5556.91</v>
      </c>
      <c r="K31" s="9">
        <v>19781.419999999998</v>
      </c>
      <c r="L31" s="9">
        <v>4553.54</v>
      </c>
      <c r="M31" s="9">
        <v>4668.47</v>
      </c>
      <c r="N31" s="9">
        <v>4623.03</v>
      </c>
      <c r="O31" s="9">
        <v>5383.42</v>
      </c>
      <c r="P31" s="9">
        <v>19955.98</v>
      </c>
      <c r="Q31" s="9">
        <v>4478.1899999999996</v>
      </c>
      <c r="R31" s="9">
        <v>4613.3900000000003</v>
      </c>
      <c r="S31" s="9">
        <v>4506.6499999999996</v>
      </c>
      <c r="T31" s="9">
        <v>5292.52</v>
      </c>
      <c r="U31" s="9">
        <v>20016.72</v>
      </c>
      <c r="V31" s="9">
        <v>4382.1400000000003</v>
      </c>
      <c r="W31" s="9">
        <v>4417.62</v>
      </c>
      <c r="X31" s="9">
        <v>4521.3100000000004</v>
      </c>
      <c r="Y31" s="9">
        <v>5133.2700000000004</v>
      </c>
      <c r="Z31" s="9">
        <v>20126.11</v>
      </c>
      <c r="AA31" s="9">
        <v>4369.2700000000004</v>
      </c>
      <c r="AB31" s="9">
        <v>4395.9399999999996</v>
      </c>
      <c r="AC31" s="9">
        <v>4501.45</v>
      </c>
      <c r="AD31" s="9">
        <v>5107.33</v>
      </c>
      <c r="AE31" s="9">
        <v>20275.73</v>
      </c>
    </row>
    <row r="32" spans="1:31" x14ac:dyDescent="0.25">
      <c r="A32" s="4" t="s">
        <v>458</v>
      </c>
      <c r="B32" s="9">
        <v>7875.97</v>
      </c>
      <c r="C32" s="9">
        <v>9265.23</v>
      </c>
      <c r="D32" s="9">
        <v>8719.83</v>
      </c>
      <c r="E32" s="9">
        <v>11298.37</v>
      </c>
      <c r="F32" s="9">
        <v>37159.410000000003</v>
      </c>
      <c r="G32" s="9">
        <v>8340.5499999999993</v>
      </c>
      <c r="H32" s="9">
        <v>8134.79</v>
      </c>
      <c r="I32" s="9">
        <v>8361.67</v>
      </c>
      <c r="J32" s="9">
        <v>10582.33</v>
      </c>
      <c r="K32" s="9">
        <v>35419.339999999997</v>
      </c>
      <c r="L32" s="9">
        <v>8325.42</v>
      </c>
      <c r="M32" s="9">
        <v>8432.44</v>
      </c>
      <c r="N32" s="9">
        <v>8185.08</v>
      </c>
      <c r="O32" s="9">
        <v>10295.1</v>
      </c>
      <c r="P32" s="9">
        <v>35952.44</v>
      </c>
      <c r="Q32" s="9">
        <v>8207.92</v>
      </c>
      <c r="R32" s="9">
        <v>8426.66</v>
      </c>
      <c r="S32" s="9">
        <v>7851.96</v>
      </c>
      <c r="T32" s="9">
        <v>10034.5</v>
      </c>
      <c r="U32" s="9">
        <v>36266.31</v>
      </c>
      <c r="V32" s="9">
        <v>8461.8700000000008</v>
      </c>
      <c r="W32" s="9">
        <v>8156.09</v>
      </c>
      <c r="X32" s="9">
        <v>7827.73</v>
      </c>
      <c r="Y32" s="9">
        <v>9826.32</v>
      </c>
      <c r="Z32" s="9">
        <v>36794.51</v>
      </c>
      <c r="AA32" s="9">
        <v>8451.0400000000009</v>
      </c>
      <c r="AB32" s="9">
        <v>8141.52</v>
      </c>
      <c r="AC32" s="9">
        <v>7817.16</v>
      </c>
      <c r="AD32" s="9">
        <v>9811.0300000000007</v>
      </c>
      <c r="AE32" s="9">
        <v>37103.17</v>
      </c>
    </row>
    <row r="33" spans="1:31" x14ac:dyDescent="0.25">
      <c r="A33" s="4" t="s">
        <v>76</v>
      </c>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spans="1:31" x14ac:dyDescent="0.25">
      <c r="A34" s="4" t="s">
        <v>457</v>
      </c>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spans="1:31" x14ac:dyDescent="0.25">
      <c r="A35" s="3" t="s">
        <v>456</v>
      </c>
      <c r="B35" s="9">
        <v>20138</v>
      </c>
      <c r="C35" s="9">
        <v>20230</v>
      </c>
      <c r="D35" s="9">
        <v>20241</v>
      </c>
      <c r="E35" s="9">
        <v>20206</v>
      </c>
      <c r="F35" s="9">
        <v>20138</v>
      </c>
      <c r="G35" s="9">
        <v>20225</v>
      </c>
      <c r="H35" s="9">
        <v>20299</v>
      </c>
      <c r="I35" s="9">
        <v>19983.02</v>
      </c>
      <c r="J35" s="9">
        <v>19987.48</v>
      </c>
      <c r="K35" s="9">
        <v>19841</v>
      </c>
      <c r="L35" s="9">
        <v>19967.25</v>
      </c>
      <c r="M35" s="9">
        <v>20057.68</v>
      </c>
      <c r="N35" s="9">
        <v>20103.240000000002</v>
      </c>
      <c r="O35" s="9">
        <v>20106.990000000002</v>
      </c>
      <c r="P35" s="9">
        <v>20020.82</v>
      </c>
      <c r="Q35" s="9">
        <v>20311.04</v>
      </c>
      <c r="R35" s="9">
        <v>20369.009999999998</v>
      </c>
      <c r="S35" s="9">
        <v>20387.939999999999</v>
      </c>
      <c r="T35" s="9">
        <v>20362.599999999999</v>
      </c>
      <c r="U35" s="9">
        <v>20225.77</v>
      </c>
      <c r="V35" s="9">
        <v>20131.3</v>
      </c>
      <c r="W35" s="9">
        <v>20161.66</v>
      </c>
      <c r="X35" s="9">
        <v>20166.03</v>
      </c>
      <c r="Y35" s="9">
        <v>20141.34</v>
      </c>
      <c r="Z35" s="9">
        <v>20214.560000000001</v>
      </c>
      <c r="AA35" s="9">
        <v>20137.32</v>
      </c>
      <c r="AB35" s="9">
        <v>20116.87</v>
      </c>
      <c r="AC35" s="9">
        <v>20101.689999999999</v>
      </c>
      <c r="AD35" s="9">
        <v>20103.48</v>
      </c>
      <c r="AE35" s="9">
        <v>20277.48</v>
      </c>
    </row>
    <row r="36" spans="1:31" x14ac:dyDescent="0.25">
      <c r="A36" s="3" t="s">
        <v>455</v>
      </c>
      <c r="B36" s="9">
        <v>2284.4299999999998</v>
      </c>
      <c r="C36" s="9">
        <v>2308.34</v>
      </c>
      <c r="D36" s="9">
        <v>2334.2600000000002</v>
      </c>
      <c r="E36" s="9">
        <v>2361.04</v>
      </c>
      <c r="F36" s="9">
        <v>9460.1299999999992</v>
      </c>
      <c r="G36" s="9">
        <v>2207.34</v>
      </c>
      <c r="H36" s="9">
        <v>2271.17</v>
      </c>
      <c r="I36" s="9">
        <v>2258.65</v>
      </c>
      <c r="J36" s="9">
        <v>2316.1799999999998</v>
      </c>
      <c r="K36" s="9">
        <v>9061.23</v>
      </c>
      <c r="L36" s="9">
        <v>2237.2800000000002</v>
      </c>
      <c r="M36" s="9">
        <v>2286.4899999999998</v>
      </c>
      <c r="N36" s="9">
        <v>2272.3200000000002</v>
      </c>
      <c r="O36" s="9">
        <v>2325.0500000000002</v>
      </c>
      <c r="P36" s="9">
        <v>8996.19</v>
      </c>
      <c r="Q36" s="9">
        <v>2305.84</v>
      </c>
      <c r="R36" s="9">
        <v>2353.3200000000002</v>
      </c>
      <c r="S36" s="9">
        <v>2323.3000000000002</v>
      </c>
      <c r="T36" s="9">
        <v>2396.4499999999998</v>
      </c>
      <c r="U36" s="9">
        <v>8999.9699999999993</v>
      </c>
      <c r="V36" s="9">
        <v>2247.5500000000002</v>
      </c>
      <c r="W36" s="9">
        <v>2309.09</v>
      </c>
      <c r="X36" s="9">
        <v>2258.89</v>
      </c>
      <c r="Y36" s="9">
        <v>2340.5700000000002</v>
      </c>
      <c r="Z36" s="9">
        <v>8816.8700000000008</v>
      </c>
      <c r="AA36" s="9">
        <v>2185.41</v>
      </c>
      <c r="AB36" s="9">
        <v>2271.85</v>
      </c>
      <c r="AC36" s="9">
        <v>2271.98</v>
      </c>
      <c r="AD36" s="9">
        <v>2352.46</v>
      </c>
      <c r="AE36" s="9">
        <v>8754.75</v>
      </c>
    </row>
    <row r="37" spans="1:31" x14ac:dyDescent="0.25">
      <c r="A37" s="3" t="s">
        <v>454</v>
      </c>
      <c r="B37" s="8" t="s">
        <v>119</v>
      </c>
      <c r="C37" s="8" t="s">
        <v>146</v>
      </c>
      <c r="D37" s="8" t="s">
        <v>112</v>
      </c>
      <c r="E37" s="8" t="s">
        <v>453</v>
      </c>
      <c r="F37" s="8" t="s">
        <v>80</v>
      </c>
      <c r="G37" s="8" t="s">
        <v>114</v>
      </c>
      <c r="H37" s="8" t="s">
        <v>115</v>
      </c>
      <c r="I37" s="8" t="s">
        <v>154</v>
      </c>
      <c r="J37" s="8" t="s">
        <v>151</v>
      </c>
      <c r="K37" s="8" t="s">
        <v>116</v>
      </c>
      <c r="L37" s="8" t="s">
        <v>115</v>
      </c>
      <c r="M37" s="8" t="s">
        <v>117</v>
      </c>
      <c r="N37" s="8" t="s">
        <v>154</v>
      </c>
      <c r="O37" s="8" t="s">
        <v>144</v>
      </c>
      <c r="P37" s="8" t="s">
        <v>150</v>
      </c>
      <c r="Q37" s="8" t="s">
        <v>150</v>
      </c>
      <c r="R37" s="8" t="s">
        <v>452</v>
      </c>
      <c r="S37" s="8" t="s">
        <v>151</v>
      </c>
      <c r="T37" s="8" t="s">
        <v>144</v>
      </c>
      <c r="U37" s="8" t="s">
        <v>450</v>
      </c>
      <c r="V37" s="8" t="s">
        <v>150</v>
      </c>
      <c r="W37" s="8" t="s">
        <v>452</v>
      </c>
      <c r="X37" s="8" t="s">
        <v>154</v>
      </c>
      <c r="Y37" s="8" t="s">
        <v>149</v>
      </c>
      <c r="Z37" s="8" t="s">
        <v>451</v>
      </c>
      <c r="AA37" s="8" t="s">
        <v>450</v>
      </c>
      <c r="AB37" s="8" t="s">
        <v>152</v>
      </c>
      <c r="AC37" s="8" t="s">
        <v>121</v>
      </c>
      <c r="AD37" s="8" t="s">
        <v>148</v>
      </c>
      <c r="AE37" s="8" t="s">
        <v>115</v>
      </c>
    </row>
    <row r="38" spans="1:31" x14ac:dyDescent="0.25">
      <c r="A38" s="3" t="s">
        <v>449</v>
      </c>
      <c r="B38" s="9">
        <v>2021.43</v>
      </c>
      <c r="C38" s="9">
        <v>2268.34</v>
      </c>
      <c r="D38" s="9">
        <v>2289.2600000000002</v>
      </c>
      <c r="E38" s="9">
        <v>2254.04</v>
      </c>
      <c r="F38" s="9">
        <v>9134.1299999999992</v>
      </c>
      <c r="G38" s="9">
        <v>2118.7399999999998</v>
      </c>
      <c r="H38" s="9">
        <v>2223.09</v>
      </c>
      <c r="I38" s="9">
        <v>2255.7399999999998</v>
      </c>
      <c r="J38" s="9">
        <v>2285.96</v>
      </c>
      <c r="K38" s="9">
        <v>8883.52</v>
      </c>
      <c r="L38" s="9">
        <v>2140.5700000000002</v>
      </c>
      <c r="M38" s="9">
        <v>2236.29</v>
      </c>
      <c r="N38" s="9">
        <v>2259.27</v>
      </c>
      <c r="O38" s="9">
        <v>2292.77</v>
      </c>
      <c r="P38" s="9">
        <v>8838.18</v>
      </c>
      <c r="Q38" s="9">
        <v>2242.09</v>
      </c>
      <c r="R38" s="9">
        <v>2329.87</v>
      </c>
      <c r="S38" s="9">
        <v>2338</v>
      </c>
      <c r="T38" s="9">
        <v>2341.48</v>
      </c>
      <c r="U38" s="9">
        <v>8896.2199999999993</v>
      </c>
      <c r="V38" s="9">
        <v>2217.19</v>
      </c>
      <c r="W38" s="9">
        <v>2304.73</v>
      </c>
      <c r="X38" s="9">
        <v>2283.58</v>
      </c>
      <c r="Y38" s="9">
        <v>2344.59</v>
      </c>
      <c r="Z38" s="9">
        <v>8784.24</v>
      </c>
      <c r="AA38" s="9">
        <v>2205.86</v>
      </c>
      <c r="AB38" s="9">
        <v>2287.0300000000002</v>
      </c>
      <c r="AC38" s="9">
        <v>2270.19</v>
      </c>
      <c r="AD38" s="9">
        <v>2334.0100000000002</v>
      </c>
      <c r="AE38" s="9">
        <v>8737.68</v>
      </c>
    </row>
    <row r="39" spans="1:31" x14ac:dyDescent="0.25">
      <c r="A39" s="4" t="s">
        <v>448</v>
      </c>
      <c r="B39" s="9">
        <v>94</v>
      </c>
      <c r="C39" s="9">
        <v>22</v>
      </c>
      <c r="D39" s="10">
        <v>-34</v>
      </c>
      <c r="E39" s="9">
        <v>22</v>
      </c>
      <c r="F39" s="9">
        <v>104</v>
      </c>
      <c r="G39" s="9">
        <v>80</v>
      </c>
      <c r="H39" s="9">
        <v>35</v>
      </c>
      <c r="I39" s="9">
        <v>4.47</v>
      </c>
      <c r="J39" s="9">
        <v>33.340000000000003</v>
      </c>
      <c r="K39" s="9">
        <v>183.09</v>
      </c>
      <c r="L39" s="9">
        <v>105.5</v>
      </c>
      <c r="M39" s="9">
        <v>53.16</v>
      </c>
      <c r="N39" s="9">
        <v>4.37</v>
      </c>
      <c r="O39" s="9">
        <v>32.68</v>
      </c>
      <c r="P39" s="9">
        <v>174.29</v>
      </c>
      <c r="Q39" s="9">
        <v>57.97</v>
      </c>
      <c r="R39" s="9">
        <v>18.93</v>
      </c>
      <c r="S39" s="10">
        <v>-25.34</v>
      </c>
      <c r="T39" s="9">
        <v>41.65</v>
      </c>
      <c r="U39" s="9">
        <v>108.61</v>
      </c>
      <c r="V39" s="9">
        <v>30.37</v>
      </c>
      <c r="W39" s="9">
        <v>4.3600000000000003</v>
      </c>
      <c r="X39" s="10">
        <v>-24.69</v>
      </c>
      <c r="Y39" s="10">
        <v>-4.0199999999999996</v>
      </c>
      <c r="Z39" s="9">
        <v>62.92</v>
      </c>
      <c r="AA39" s="10">
        <v>-20.440000000000001</v>
      </c>
      <c r="AB39" s="10">
        <v>-15.18</v>
      </c>
      <c r="AC39" s="9">
        <v>1.79</v>
      </c>
      <c r="AD39" s="9">
        <v>18.45</v>
      </c>
      <c r="AE39" s="9">
        <v>46.18</v>
      </c>
    </row>
    <row r="40" spans="1:31" x14ac:dyDescent="0.25">
      <c r="A40" s="3" t="s">
        <v>447</v>
      </c>
      <c r="B40" s="10">
        <v>-2.25</v>
      </c>
      <c r="C40" s="10">
        <v>-7.17</v>
      </c>
      <c r="D40" s="10">
        <v>-0.83</v>
      </c>
      <c r="E40" s="10">
        <v>-1.83</v>
      </c>
      <c r="F40" s="10">
        <v>-17</v>
      </c>
      <c r="G40" s="10">
        <v>-1.33</v>
      </c>
      <c r="H40" s="10">
        <v>-1</v>
      </c>
      <c r="I40" s="8" t="s">
        <v>66</v>
      </c>
      <c r="J40" s="8" t="s">
        <v>66</v>
      </c>
      <c r="K40" s="10">
        <v>-3.6</v>
      </c>
      <c r="L40" s="8" t="s">
        <v>66</v>
      </c>
      <c r="M40" s="8" t="s">
        <v>66</v>
      </c>
      <c r="N40" s="8" t="s">
        <v>66</v>
      </c>
      <c r="O40" s="8" t="s">
        <v>66</v>
      </c>
      <c r="P40" s="8" t="s">
        <v>66</v>
      </c>
      <c r="Q40" s="8" t="s">
        <v>66</v>
      </c>
      <c r="R40" s="8" t="s">
        <v>66</v>
      </c>
      <c r="S40" s="8" t="s">
        <v>66</v>
      </c>
      <c r="T40" s="8" t="s">
        <v>66</v>
      </c>
      <c r="U40" s="8" t="s">
        <v>66</v>
      </c>
      <c r="V40" s="8" t="s">
        <v>66</v>
      </c>
      <c r="W40" s="8" t="s">
        <v>66</v>
      </c>
      <c r="X40" s="8" t="s">
        <v>66</v>
      </c>
      <c r="Y40" s="8" t="s">
        <v>66</v>
      </c>
      <c r="Z40" s="8" t="s">
        <v>66</v>
      </c>
      <c r="AA40" s="8" t="s">
        <v>66</v>
      </c>
      <c r="AB40" s="8" t="s">
        <v>66</v>
      </c>
      <c r="AC40" s="8" t="s">
        <v>66</v>
      </c>
      <c r="AD40" s="8" t="s">
        <v>66</v>
      </c>
      <c r="AE40" s="8" t="s">
        <v>66</v>
      </c>
    </row>
    <row r="41" spans="1:31" x14ac:dyDescent="0.25">
      <c r="A41" s="4" t="s">
        <v>446</v>
      </c>
      <c r="B41" s="9">
        <v>92</v>
      </c>
      <c r="C41" s="9">
        <v>11</v>
      </c>
      <c r="D41" s="10">
        <v>-35</v>
      </c>
      <c r="E41" s="9">
        <v>19</v>
      </c>
      <c r="F41" s="9">
        <v>87</v>
      </c>
      <c r="G41" s="9">
        <v>94.86</v>
      </c>
      <c r="H41" s="9">
        <v>35</v>
      </c>
      <c r="I41" s="9">
        <v>4.47</v>
      </c>
      <c r="J41" s="9">
        <v>33.340000000000003</v>
      </c>
      <c r="K41" s="9">
        <v>181.46</v>
      </c>
      <c r="L41" s="9">
        <v>105.5</v>
      </c>
      <c r="M41" s="9">
        <v>53.16</v>
      </c>
      <c r="N41" s="9">
        <v>4.37</v>
      </c>
      <c r="O41" s="9">
        <v>32.68</v>
      </c>
      <c r="P41" s="9">
        <v>174.29</v>
      </c>
      <c r="Q41" s="9">
        <v>57.97</v>
      </c>
      <c r="R41" s="9">
        <v>18.93</v>
      </c>
      <c r="S41" s="10">
        <v>-25.34</v>
      </c>
      <c r="T41" s="9">
        <v>41.65</v>
      </c>
      <c r="U41" s="9">
        <v>108.61</v>
      </c>
      <c r="V41" s="9">
        <v>30.37</v>
      </c>
      <c r="W41" s="9">
        <v>4.3600000000000003</v>
      </c>
      <c r="X41" s="10">
        <v>-24.69</v>
      </c>
      <c r="Y41" s="10">
        <v>-4.0199999999999996</v>
      </c>
      <c r="Z41" s="9">
        <v>62.92</v>
      </c>
      <c r="AA41" s="10">
        <v>-20.440000000000001</v>
      </c>
      <c r="AB41" s="10">
        <v>-15.18</v>
      </c>
      <c r="AC41" s="9">
        <v>1.79</v>
      </c>
      <c r="AD41" s="9">
        <v>18.45</v>
      </c>
      <c r="AE41" s="9">
        <v>46.18</v>
      </c>
    </row>
    <row r="42" spans="1:31" x14ac:dyDescent="0.25">
      <c r="A42" s="4" t="s">
        <v>445</v>
      </c>
      <c r="B42" s="9">
        <v>20230</v>
      </c>
      <c r="C42" s="9">
        <v>20241</v>
      </c>
      <c r="D42" s="9">
        <v>20206</v>
      </c>
      <c r="E42" s="9">
        <v>20225</v>
      </c>
      <c r="F42" s="9">
        <v>20225</v>
      </c>
      <c r="G42" s="9">
        <v>20299</v>
      </c>
      <c r="H42" s="9">
        <v>20334</v>
      </c>
      <c r="I42" s="9">
        <v>19987.48</v>
      </c>
      <c r="J42" s="9">
        <v>20020.82</v>
      </c>
      <c r="K42" s="9">
        <v>20020.82</v>
      </c>
      <c r="L42" s="9">
        <v>20057.68</v>
      </c>
      <c r="M42" s="9">
        <v>20103.240000000002</v>
      </c>
      <c r="N42" s="9">
        <v>20106.990000000002</v>
      </c>
      <c r="O42" s="9">
        <v>20135</v>
      </c>
      <c r="P42" s="9">
        <v>20179.27</v>
      </c>
      <c r="Q42" s="9">
        <v>20369.009999999998</v>
      </c>
      <c r="R42" s="9">
        <v>20387.939999999999</v>
      </c>
      <c r="S42" s="9">
        <v>20362.599999999999</v>
      </c>
      <c r="T42" s="9">
        <v>20404.25</v>
      </c>
      <c r="U42" s="9">
        <v>20334.38</v>
      </c>
      <c r="V42" s="9">
        <v>20161.66</v>
      </c>
      <c r="W42" s="9">
        <v>20166.03</v>
      </c>
      <c r="X42" s="9">
        <v>20141.34</v>
      </c>
      <c r="Y42" s="9">
        <v>20137.32</v>
      </c>
      <c r="Z42" s="9">
        <v>20277.48</v>
      </c>
      <c r="AA42" s="9">
        <v>20116.87</v>
      </c>
      <c r="AB42" s="9">
        <v>20101.689999999999</v>
      </c>
      <c r="AC42" s="9">
        <v>20103.48</v>
      </c>
      <c r="AD42" s="9">
        <v>20121.93</v>
      </c>
      <c r="AE42" s="9">
        <v>20323.66</v>
      </c>
    </row>
    <row r="43" spans="1:31" x14ac:dyDescent="0.25">
      <c r="A43" s="3" t="s">
        <v>444</v>
      </c>
      <c r="B43" s="9">
        <v>20184</v>
      </c>
      <c r="C43" s="9">
        <v>20235.5</v>
      </c>
      <c r="D43" s="9">
        <v>20223.5</v>
      </c>
      <c r="E43" s="9">
        <v>20215.5</v>
      </c>
      <c r="F43" s="9">
        <v>20181.5</v>
      </c>
      <c r="G43" s="9">
        <v>20262</v>
      </c>
      <c r="H43" s="9">
        <v>20316.5</v>
      </c>
      <c r="I43" s="9">
        <v>19985.25</v>
      </c>
      <c r="J43" s="9">
        <v>20004.150000000001</v>
      </c>
      <c r="K43" s="9">
        <v>19943.54</v>
      </c>
      <c r="L43" s="9">
        <v>20012.46</v>
      </c>
      <c r="M43" s="9">
        <v>20080.46</v>
      </c>
      <c r="N43" s="9">
        <v>20105.11</v>
      </c>
      <c r="O43" s="9">
        <v>20120.990000000002</v>
      </c>
      <c r="P43" s="9">
        <v>20105.75</v>
      </c>
      <c r="Q43" s="9">
        <v>20340.02</v>
      </c>
      <c r="R43" s="9">
        <v>20378.47</v>
      </c>
      <c r="S43" s="9">
        <v>20375.27</v>
      </c>
      <c r="T43" s="9">
        <v>20383.419999999998</v>
      </c>
      <c r="U43" s="9">
        <v>20284.490000000002</v>
      </c>
      <c r="V43" s="9">
        <v>20146.48</v>
      </c>
      <c r="W43" s="9">
        <v>20163.849999999999</v>
      </c>
      <c r="X43" s="9">
        <v>20153.68</v>
      </c>
      <c r="Y43" s="9">
        <v>20139.330000000002</v>
      </c>
      <c r="Z43" s="9">
        <v>20251.36</v>
      </c>
      <c r="AA43" s="9">
        <v>20127.09</v>
      </c>
      <c r="AB43" s="9">
        <v>20109.28</v>
      </c>
      <c r="AC43" s="9">
        <v>20102.59</v>
      </c>
      <c r="AD43" s="9">
        <v>20112.71</v>
      </c>
      <c r="AE43" s="9">
        <v>20293.490000000002</v>
      </c>
    </row>
    <row r="44" spans="1:31" x14ac:dyDescent="0.25">
      <c r="A44" s="3" t="s">
        <v>443</v>
      </c>
      <c r="B44" s="9">
        <v>31.92</v>
      </c>
      <c r="C44" s="9">
        <v>32.56</v>
      </c>
      <c r="D44" s="9">
        <v>32.700000000000003</v>
      </c>
      <c r="E44" s="9">
        <v>32.9</v>
      </c>
      <c r="F44" s="9">
        <v>32.520000000000003</v>
      </c>
      <c r="G44" s="9">
        <v>33.31</v>
      </c>
      <c r="H44" s="9">
        <v>33.369999999999997</v>
      </c>
      <c r="I44" s="9">
        <v>32.880000000000003</v>
      </c>
      <c r="J44" s="9">
        <v>33.21</v>
      </c>
      <c r="K44" s="9">
        <v>32.880000000000003</v>
      </c>
      <c r="L44" s="9">
        <v>33.79</v>
      </c>
      <c r="M44" s="9">
        <v>33.880000000000003</v>
      </c>
      <c r="N44" s="9">
        <v>33.94</v>
      </c>
      <c r="O44" s="9">
        <v>34.26</v>
      </c>
      <c r="P44" s="9">
        <v>33.47</v>
      </c>
      <c r="Q44" s="9">
        <v>33.17</v>
      </c>
      <c r="R44" s="9">
        <v>33.229999999999997</v>
      </c>
      <c r="S44" s="9">
        <v>33.090000000000003</v>
      </c>
      <c r="T44" s="9">
        <v>33.299999999999997</v>
      </c>
      <c r="U44" s="9">
        <v>33.4</v>
      </c>
      <c r="V44" s="9">
        <v>33.22</v>
      </c>
      <c r="W44" s="9">
        <v>33.29</v>
      </c>
      <c r="X44" s="9">
        <v>33.15</v>
      </c>
      <c r="Y44" s="9">
        <v>33.35</v>
      </c>
      <c r="Z44" s="9">
        <v>33.69</v>
      </c>
      <c r="AA44" s="9">
        <v>33.28</v>
      </c>
      <c r="AB44" s="9">
        <v>33.35</v>
      </c>
      <c r="AC44" s="9">
        <v>33.200000000000003</v>
      </c>
      <c r="AD44" s="9">
        <v>33.409999999999997</v>
      </c>
      <c r="AE44" s="9">
        <v>33.97</v>
      </c>
    </row>
    <row r="45" spans="1:31" x14ac:dyDescent="0.25">
      <c r="A45" s="4" t="s">
        <v>442</v>
      </c>
      <c r="B45" s="9">
        <v>1810.82</v>
      </c>
      <c r="C45" s="9">
        <v>1855.63</v>
      </c>
      <c r="D45" s="9">
        <v>1867.77</v>
      </c>
      <c r="E45" s="9">
        <v>1886.7</v>
      </c>
      <c r="F45" s="9">
        <v>7420.92</v>
      </c>
      <c r="G45" s="9">
        <v>1921.05</v>
      </c>
      <c r="H45" s="9">
        <v>1933.62</v>
      </c>
      <c r="I45" s="9">
        <v>1960.84</v>
      </c>
      <c r="J45" s="9">
        <v>1981.71</v>
      </c>
      <c r="K45" s="9">
        <v>7822.89</v>
      </c>
      <c r="L45" s="9">
        <v>2011.7</v>
      </c>
      <c r="M45" s="9">
        <v>2023.48</v>
      </c>
      <c r="N45" s="9">
        <v>2031.79</v>
      </c>
      <c r="O45" s="9">
        <v>2051.04</v>
      </c>
      <c r="P45" s="9">
        <v>8031.76</v>
      </c>
      <c r="Q45" s="9">
        <v>2031.02</v>
      </c>
      <c r="R45" s="9">
        <v>2037.98</v>
      </c>
      <c r="S45" s="9">
        <v>2034.23</v>
      </c>
      <c r="T45" s="9">
        <v>2046.21</v>
      </c>
      <c r="U45" s="9">
        <v>8113.05</v>
      </c>
      <c r="V45" s="9">
        <v>2056.85</v>
      </c>
      <c r="W45" s="9">
        <v>2062.23</v>
      </c>
      <c r="X45" s="9">
        <v>2056.96</v>
      </c>
      <c r="Y45" s="9">
        <v>2067.48</v>
      </c>
      <c r="Z45" s="9">
        <v>8230.6</v>
      </c>
      <c r="AA45" s="9">
        <v>2075.1</v>
      </c>
      <c r="AB45" s="9">
        <v>2076.41</v>
      </c>
      <c r="AC45" s="9">
        <v>2070.09</v>
      </c>
      <c r="AD45" s="9">
        <v>2081.11</v>
      </c>
      <c r="AE45" s="9">
        <v>8326.33</v>
      </c>
    </row>
    <row r="46" spans="1:31" x14ac:dyDescent="0.25">
      <c r="A46" s="4" t="s">
        <v>441</v>
      </c>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spans="1:31" x14ac:dyDescent="0.25">
      <c r="A47" s="3" t="s">
        <v>440</v>
      </c>
      <c r="B47" s="9">
        <v>146075</v>
      </c>
      <c r="C47" s="9">
        <v>145974</v>
      </c>
      <c r="D47" s="9">
        <v>146136</v>
      </c>
      <c r="E47" s="9">
        <v>146119</v>
      </c>
      <c r="F47" s="9">
        <v>146075</v>
      </c>
      <c r="G47" s="9">
        <v>146930</v>
      </c>
      <c r="H47" s="9">
        <v>146798</v>
      </c>
      <c r="I47" s="9">
        <v>146988.28</v>
      </c>
      <c r="J47" s="9">
        <v>147106.68</v>
      </c>
      <c r="K47" s="9">
        <v>146842</v>
      </c>
      <c r="L47" s="9">
        <v>147825.06</v>
      </c>
      <c r="M47" s="9">
        <v>147802.84</v>
      </c>
      <c r="N47" s="9">
        <v>148014.12</v>
      </c>
      <c r="O47" s="9">
        <v>148107.94</v>
      </c>
      <c r="P47" s="9">
        <v>147935.35</v>
      </c>
      <c r="Q47" s="9">
        <v>148758.72</v>
      </c>
      <c r="R47" s="9">
        <v>148601.63</v>
      </c>
      <c r="S47" s="9">
        <v>148747.97</v>
      </c>
      <c r="T47" s="9">
        <v>148716.16</v>
      </c>
      <c r="U47" s="9">
        <v>149246.43</v>
      </c>
      <c r="V47" s="9">
        <v>149191.76999999999</v>
      </c>
      <c r="W47" s="9">
        <v>148942.19</v>
      </c>
      <c r="X47" s="9">
        <v>148980.5</v>
      </c>
      <c r="Y47" s="9">
        <v>148965.32</v>
      </c>
      <c r="Z47" s="9">
        <v>150609.84</v>
      </c>
      <c r="AA47" s="9">
        <v>149576.94</v>
      </c>
      <c r="AB47" s="9">
        <v>149247.57</v>
      </c>
      <c r="AC47" s="9">
        <v>149229.85999999999</v>
      </c>
      <c r="AD47" s="9">
        <v>149206.45000000001</v>
      </c>
      <c r="AE47" s="9">
        <v>151659.85</v>
      </c>
    </row>
    <row r="48" spans="1:31" x14ac:dyDescent="0.25">
      <c r="A48" s="3" t="s">
        <v>439</v>
      </c>
      <c r="B48" s="9">
        <v>6768.95</v>
      </c>
      <c r="C48" s="9">
        <v>7143.82</v>
      </c>
      <c r="D48" s="9">
        <v>7016.12</v>
      </c>
      <c r="E48" s="9">
        <v>8191.88</v>
      </c>
      <c r="F48" s="9">
        <v>29269.279999999999</v>
      </c>
      <c r="G48" s="9">
        <v>6882.35</v>
      </c>
      <c r="H48" s="9">
        <v>7030.94</v>
      </c>
      <c r="I48" s="9">
        <v>7121.23</v>
      </c>
      <c r="J48" s="9">
        <v>7900.79</v>
      </c>
      <c r="K48" s="9">
        <v>28945.439999999999</v>
      </c>
      <c r="L48" s="9">
        <v>6796.15</v>
      </c>
      <c r="M48" s="9">
        <v>7009.86</v>
      </c>
      <c r="N48" s="9">
        <v>6898.48</v>
      </c>
      <c r="O48" s="9">
        <v>7724.33</v>
      </c>
      <c r="P48" s="9">
        <v>29065.68</v>
      </c>
      <c r="Q48" s="9">
        <v>6784.03</v>
      </c>
      <c r="R48" s="9">
        <v>6966.71</v>
      </c>
      <c r="S48" s="9">
        <v>6829.95</v>
      </c>
      <c r="T48" s="9">
        <v>7688.97</v>
      </c>
      <c r="U48" s="9">
        <v>29138</v>
      </c>
      <c r="V48" s="9">
        <v>6629.7</v>
      </c>
      <c r="W48" s="9">
        <v>6726.71</v>
      </c>
      <c r="X48" s="9">
        <v>6780.2</v>
      </c>
      <c r="Y48" s="9">
        <v>7473.84</v>
      </c>
      <c r="Z48" s="9">
        <v>29156.97</v>
      </c>
      <c r="AA48" s="9">
        <v>6554.68</v>
      </c>
      <c r="AB48" s="9">
        <v>6667.8</v>
      </c>
      <c r="AC48" s="9">
        <v>6773.43</v>
      </c>
      <c r="AD48" s="9">
        <v>7459.79</v>
      </c>
      <c r="AE48" s="9">
        <v>29291.09</v>
      </c>
    </row>
    <row r="49" spans="1:31" x14ac:dyDescent="0.25">
      <c r="A49" s="3" t="s">
        <v>438</v>
      </c>
      <c r="B49" s="8" t="s">
        <v>184</v>
      </c>
      <c r="C49" s="8" t="s">
        <v>185</v>
      </c>
      <c r="D49" s="8" t="s">
        <v>436</v>
      </c>
      <c r="E49" s="8" t="s">
        <v>437</v>
      </c>
      <c r="F49" s="8" t="s">
        <v>436</v>
      </c>
      <c r="G49" s="8" t="s">
        <v>172</v>
      </c>
      <c r="H49" s="8" t="s">
        <v>183</v>
      </c>
      <c r="I49" s="8" t="s">
        <v>184</v>
      </c>
      <c r="J49" s="8" t="s">
        <v>185</v>
      </c>
      <c r="K49" s="8" t="s">
        <v>171</v>
      </c>
      <c r="L49" s="8" t="s">
        <v>184</v>
      </c>
      <c r="M49" s="8" t="s">
        <v>178</v>
      </c>
      <c r="N49" s="8" t="s">
        <v>175</v>
      </c>
      <c r="O49" s="8" t="s">
        <v>184</v>
      </c>
      <c r="P49" s="8" t="s">
        <v>175</v>
      </c>
      <c r="Q49" s="8" t="s">
        <v>184</v>
      </c>
      <c r="R49" s="8" t="s">
        <v>179</v>
      </c>
      <c r="S49" s="8" t="s">
        <v>183</v>
      </c>
      <c r="T49" s="8" t="s">
        <v>175</v>
      </c>
      <c r="U49" s="8" t="s">
        <v>175</v>
      </c>
      <c r="V49" s="8" t="s">
        <v>183</v>
      </c>
      <c r="W49" s="8" t="s">
        <v>177</v>
      </c>
      <c r="X49" s="8" t="s">
        <v>179</v>
      </c>
      <c r="Y49" s="8" t="s">
        <v>178</v>
      </c>
      <c r="Z49" s="8" t="s">
        <v>183</v>
      </c>
      <c r="AA49" s="8" t="s">
        <v>183</v>
      </c>
      <c r="AB49" s="8" t="s">
        <v>382</v>
      </c>
      <c r="AC49" s="8" t="s">
        <v>179</v>
      </c>
      <c r="AD49" s="8" t="s">
        <v>178</v>
      </c>
      <c r="AE49" s="8" t="s">
        <v>175</v>
      </c>
    </row>
    <row r="50" spans="1:31" x14ac:dyDescent="0.25">
      <c r="A50" s="3" t="s">
        <v>435</v>
      </c>
      <c r="B50" s="9">
        <v>6833.95</v>
      </c>
      <c r="C50" s="9">
        <v>6966.82</v>
      </c>
      <c r="D50" s="9">
        <v>7014.12</v>
      </c>
      <c r="E50" s="9">
        <v>7340.88</v>
      </c>
      <c r="F50" s="9">
        <v>28304.28</v>
      </c>
      <c r="G50" s="9">
        <v>6980.83</v>
      </c>
      <c r="H50" s="9">
        <v>6788.83</v>
      </c>
      <c r="I50" s="9">
        <v>6889.35</v>
      </c>
      <c r="J50" s="9">
        <v>7038.36</v>
      </c>
      <c r="K50" s="9">
        <v>27697.37</v>
      </c>
      <c r="L50" s="9">
        <v>6910.81</v>
      </c>
      <c r="M50" s="9">
        <v>6791.34</v>
      </c>
      <c r="N50" s="9">
        <v>6864.86</v>
      </c>
      <c r="O50" s="9">
        <v>6940.14</v>
      </c>
      <c r="P50" s="9">
        <v>27679.06</v>
      </c>
      <c r="Q50" s="9">
        <v>6948.46</v>
      </c>
      <c r="R50" s="9">
        <v>6779.87</v>
      </c>
      <c r="S50" s="9">
        <v>6867.08</v>
      </c>
      <c r="T50" s="9">
        <v>6949.52</v>
      </c>
      <c r="U50" s="9">
        <v>27900.080000000002</v>
      </c>
      <c r="V50" s="9">
        <v>6879.27</v>
      </c>
      <c r="W50" s="9">
        <v>6688.41</v>
      </c>
      <c r="X50" s="9">
        <v>6795.38</v>
      </c>
      <c r="Y50" s="9">
        <v>6862.23</v>
      </c>
      <c r="Z50" s="9">
        <v>28032.12</v>
      </c>
      <c r="AA50" s="9">
        <v>6884.05</v>
      </c>
      <c r="AB50" s="9">
        <v>6685.5</v>
      </c>
      <c r="AC50" s="9">
        <v>6796.83</v>
      </c>
      <c r="AD50" s="9">
        <v>6866.72</v>
      </c>
      <c r="AE50" s="9">
        <v>28264.17</v>
      </c>
    </row>
    <row r="51" spans="1:31" x14ac:dyDescent="0.25">
      <c r="A51" s="4" t="s">
        <v>434</v>
      </c>
      <c r="B51" s="10">
        <v>-65</v>
      </c>
      <c r="C51" s="9">
        <v>177</v>
      </c>
      <c r="D51" s="9">
        <v>2</v>
      </c>
      <c r="E51" s="9">
        <v>851</v>
      </c>
      <c r="F51" s="9">
        <v>965</v>
      </c>
      <c r="G51" s="10">
        <v>-116</v>
      </c>
      <c r="H51" s="9">
        <v>223</v>
      </c>
      <c r="I51" s="9">
        <v>217.56</v>
      </c>
      <c r="J51" s="9">
        <v>809.17</v>
      </c>
      <c r="K51" s="9">
        <v>1162.95</v>
      </c>
      <c r="L51" s="10">
        <v>-52.34</v>
      </c>
      <c r="M51" s="9">
        <v>199.49</v>
      </c>
      <c r="N51" s="9">
        <v>87.56</v>
      </c>
      <c r="O51" s="9">
        <v>730.9</v>
      </c>
      <c r="P51" s="9">
        <v>1249.51</v>
      </c>
      <c r="Q51" s="10">
        <v>-157.1</v>
      </c>
      <c r="R51" s="9">
        <v>146.34</v>
      </c>
      <c r="S51" s="10">
        <v>-31.81</v>
      </c>
      <c r="T51" s="9">
        <v>675.52</v>
      </c>
      <c r="U51" s="9">
        <v>1109.2</v>
      </c>
      <c r="V51" s="10">
        <v>-249.57</v>
      </c>
      <c r="W51" s="9">
        <v>38.31</v>
      </c>
      <c r="X51" s="10">
        <v>-15.18</v>
      </c>
      <c r="Y51" s="9">
        <v>611.62</v>
      </c>
      <c r="Z51" s="9">
        <v>1039.73</v>
      </c>
      <c r="AA51" s="10">
        <v>-329.37</v>
      </c>
      <c r="AB51" s="10">
        <v>-17.71</v>
      </c>
      <c r="AC51" s="10">
        <v>-23.41</v>
      </c>
      <c r="AD51" s="9">
        <v>593.07000000000005</v>
      </c>
      <c r="AE51" s="9">
        <v>953.97</v>
      </c>
    </row>
    <row r="52" spans="1:31" x14ac:dyDescent="0.25">
      <c r="A52" s="3" t="s">
        <v>433</v>
      </c>
      <c r="B52" s="10">
        <v>-36</v>
      </c>
      <c r="C52" s="10">
        <v>-15</v>
      </c>
      <c r="D52" s="10">
        <v>-19</v>
      </c>
      <c r="E52" s="10">
        <v>-40</v>
      </c>
      <c r="F52" s="10">
        <v>-110</v>
      </c>
      <c r="G52" s="10">
        <v>-16</v>
      </c>
      <c r="H52" s="10">
        <v>-68</v>
      </c>
      <c r="I52" s="10">
        <v>-542.5</v>
      </c>
      <c r="J52" s="8" t="s">
        <v>66</v>
      </c>
      <c r="K52" s="10">
        <v>-85.1</v>
      </c>
      <c r="L52" s="8" t="s">
        <v>66</v>
      </c>
      <c r="M52" s="8" t="s">
        <v>66</v>
      </c>
      <c r="N52" s="8" t="s">
        <v>66</v>
      </c>
      <c r="O52" s="8" t="s">
        <v>66</v>
      </c>
      <c r="P52" s="8" t="s">
        <v>66</v>
      </c>
      <c r="Q52" s="8" t="s">
        <v>66</v>
      </c>
      <c r="R52" s="8" t="s">
        <v>66</v>
      </c>
      <c r="S52" s="8" t="s">
        <v>66</v>
      </c>
      <c r="T52" s="8" t="s">
        <v>66</v>
      </c>
      <c r="U52" s="8" t="s">
        <v>66</v>
      </c>
      <c r="V52" s="8" t="s">
        <v>66</v>
      </c>
      <c r="W52" s="8" t="s">
        <v>66</v>
      </c>
      <c r="X52" s="8" t="s">
        <v>66</v>
      </c>
      <c r="Y52" s="8" t="s">
        <v>66</v>
      </c>
      <c r="Z52" s="8" t="s">
        <v>66</v>
      </c>
      <c r="AA52" s="8" t="s">
        <v>66</v>
      </c>
      <c r="AB52" s="8" t="s">
        <v>66</v>
      </c>
      <c r="AC52" s="8" t="s">
        <v>66</v>
      </c>
      <c r="AD52" s="8" t="s">
        <v>66</v>
      </c>
      <c r="AE52" s="8" t="s">
        <v>66</v>
      </c>
    </row>
    <row r="53" spans="1:31" x14ac:dyDescent="0.25">
      <c r="A53" s="4" t="s">
        <v>432</v>
      </c>
      <c r="B53" s="10">
        <v>-101</v>
      </c>
      <c r="C53" s="9">
        <v>162</v>
      </c>
      <c r="D53" s="10">
        <v>-17</v>
      </c>
      <c r="E53" s="9">
        <v>811</v>
      </c>
      <c r="F53" s="9">
        <v>855</v>
      </c>
      <c r="G53" s="10">
        <v>-132</v>
      </c>
      <c r="H53" s="9">
        <v>155</v>
      </c>
      <c r="I53" s="9">
        <v>118.4</v>
      </c>
      <c r="J53" s="9">
        <v>828.67</v>
      </c>
      <c r="K53" s="9">
        <v>1093.3499999999999</v>
      </c>
      <c r="L53" s="10">
        <v>-22.22</v>
      </c>
      <c r="M53" s="9">
        <v>211.29</v>
      </c>
      <c r="N53" s="9">
        <v>93.82</v>
      </c>
      <c r="O53" s="9">
        <v>766.55</v>
      </c>
      <c r="P53" s="9">
        <v>1288.71</v>
      </c>
      <c r="Q53" s="10">
        <v>-157.1</v>
      </c>
      <c r="R53" s="9">
        <v>146.34</v>
      </c>
      <c r="S53" s="10">
        <v>-31.81</v>
      </c>
      <c r="T53" s="9">
        <v>675.52</v>
      </c>
      <c r="U53" s="9">
        <v>1136.4100000000001</v>
      </c>
      <c r="V53" s="10">
        <v>-249.57</v>
      </c>
      <c r="W53" s="9">
        <v>38.31</v>
      </c>
      <c r="X53" s="10">
        <v>-15.18</v>
      </c>
      <c r="Y53" s="9">
        <v>611.62</v>
      </c>
      <c r="Z53" s="9">
        <v>1050.01</v>
      </c>
      <c r="AA53" s="10">
        <v>-329.37</v>
      </c>
      <c r="AB53" s="10">
        <v>-17.71</v>
      </c>
      <c r="AC53" s="10">
        <v>-23.41</v>
      </c>
      <c r="AD53" s="9">
        <v>593.07000000000005</v>
      </c>
      <c r="AE53" s="9">
        <v>946.79</v>
      </c>
    </row>
    <row r="54" spans="1:31" x14ac:dyDescent="0.25">
      <c r="A54" s="4" t="s">
        <v>431</v>
      </c>
      <c r="B54" s="9">
        <v>145974</v>
      </c>
      <c r="C54" s="9">
        <v>146136</v>
      </c>
      <c r="D54" s="9">
        <v>146119</v>
      </c>
      <c r="E54" s="9">
        <v>146930</v>
      </c>
      <c r="F54" s="9">
        <v>146930</v>
      </c>
      <c r="G54" s="9">
        <v>146798</v>
      </c>
      <c r="H54" s="9">
        <v>146953</v>
      </c>
      <c r="I54" s="9">
        <v>147106.68</v>
      </c>
      <c r="J54" s="9">
        <v>147935.35</v>
      </c>
      <c r="K54" s="9">
        <v>147935.35</v>
      </c>
      <c r="L54" s="9">
        <v>147802.84</v>
      </c>
      <c r="M54" s="9">
        <v>148014.12</v>
      </c>
      <c r="N54" s="9">
        <v>148107.94</v>
      </c>
      <c r="O54" s="9">
        <v>148874.48000000001</v>
      </c>
      <c r="P54" s="9">
        <v>149224.06</v>
      </c>
      <c r="Q54" s="9">
        <v>148601.63</v>
      </c>
      <c r="R54" s="9">
        <v>148747.97</v>
      </c>
      <c r="S54" s="9">
        <v>148716.16</v>
      </c>
      <c r="T54" s="9">
        <v>149391.67999999999</v>
      </c>
      <c r="U54" s="9">
        <v>150426.18</v>
      </c>
      <c r="V54" s="9">
        <v>148942.19</v>
      </c>
      <c r="W54" s="9">
        <v>148980.5</v>
      </c>
      <c r="X54" s="9">
        <v>148965.32</v>
      </c>
      <c r="Y54" s="9">
        <v>149576.94</v>
      </c>
      <c r="Z54" s="9">
        <v>151659.85</v>
      </c>
      <c r="AA54" s="9">
        <v>149247.57</v>
      </c>
      <c r="AB54" s="9">
        <v>149229.85999999999</v>
      </c>
      <c r="AC54" s="9">
        <v>149206.45000000001</v>
      </c>
      <c r="AD54" s="9">
        <v>149799.51999999999</v>
      </c>
      <c r="AE54" s="9">
        <v>152606.64000000001</v>
      </c>
    </row>
    <row r="55" spans="1:31" x14ac:dyDescent="0.25">
      <c r="A55" s="3" t="s">
        <v>430</v>
      </c>
      <c r="B55" s="9">
        <v>146024.5</v>
      </c>
      <c r="C55" s="9">
        <v>146055</v>
      </c>
      <c r="D55" s="9">
        <v>146127.5</v>
      </c>
      <c r="E55" s="9">
        <v>146524.5</v>
      </c>
      <c r="F55" s="9">
        <v>146502.5</v>
      </c>
      <c r="G55" s="9">
        <v>146864</v>
      </c>
      <c r="H55" s="9">
        <v>146875.5</v>
      </c>
      <c r="I55" s="9">
        <v>147047.48000000001</v>
      </c>
      <c r="J55" s="9">
        <v>147521.01</v>
      </c>
      <c r="K55" s="9">
        <v>147293.60999999999</v>
      </c>
      <c r="L55" s="9">
        <v>147813.95000000001</v>
      </c>
      <c r="M55" s="9">
        <v>147908.48000000001</v>
      </c>
      <c r="N55" s="9">
        <v>148061.03</v>
      </c>
      <c r="O55" s="9">
        <v>148491.21</v>
      </c>
      <c r="P55" s="9">
        <v>148532.82</v>
      </c>
      <c r="Q55" s="9">
        <v>148680.18</v>
      </c>
      <c r="R55" s="9">
        <v>148674.79999999999</v>
      </c>
      <c r="S55" s="9">
        <v>148732.07</v>
      </c>
      <c r="T55" s="9">
        <v>149053.92000000001</v>
      </c>
      <c r="U55" s="9">
        <v>149833.12</v>
      </c>
      <c r="V55" s="9">
        <v>149066.98000000001</v>
      </c>
      <c r="W55" s="9">
        <v>148961.34</v>
      </c>
      <c r="X55" s="9">
        <v>148972.91</v>
      </c>
      <c r="Y55" s="9">
        <v>149271.13</v>
      </c>
      <c r="Z55" s="9">
        <v>151105.97</v>
      </c>
      <c r="AA55" s="9">
        <v>149412.25</v>
      </c>
      <c r="AB55" s="9">
        <v>149238.71</v>
      </c>
      <c r="AC55" s="9">
        <v>149218.15</v>
      </c>
      <c r="AD55" s="9">
        <v>149502.99</v>
      </c>
      <c r="AE55" s="9">
        <v>152093.87</v>
      </c>
    </row>
    <row r="56" spans="1:31" x14ac:dyDescent="0.25">
      <c r="A56" s="3" t="s">
        <v>429</v>
      </c>
      <c r="B56" s="9">
        <v>44.57</v>
      </c>
      <c r="C56" s="9">
        <v>44.78</v>
      </c>
      <c r="D56" s="9">
        <v>44.76</v>
      </c>
      <c r="E56" s="9">
        <v>45.29</v>
      </c>
      <c r="F56" s="9">
        <v>45.49</v>
      </c>
      <c r="G56" s="9">
        <v>44.39</v>
      </c>
      <c r="H56" s="9">
        <v>44.74</v>
      </c>
      <c r="I56" s="9">
        <v>45.01</v>
      </c>
      <c r="J56" s="9">
        <v>45.14</v>
      </c>
      <c r="K56" s="9">
        <v>44.76</v>
      </c>
      <c r="L56" s="9">
        <v>45.22</v>
      </c>
      <c r="M56" s="9">
        <v>45.3</v>
      </c>
      <c r="N56" s="9">
        <v>45.62</v>
      </c>
      <c r="O56" s="9">
        <v>45.82</v>
      </c>
      <c r="P56" s="9">
        <v>44.81</v>
      </c>
      <c r="Q56" s="9">
        <v>46.22</v>
      </c>
      <c r="R56" s="9">
        <v>46.29</v>
      </c>
      <c r="S56" s="9">
        <v>46.63</v>
      </c>
      <c r="T56" s="9">
        <v>46.92</v>
      </c>
      <c r="U56" s="9">
        <v>44.89</v>
      </c>
      <c r="V56" s="9">
        <v>46.29</v>
      </c>
      <c r="W56" s="9">
        <v>46.03</v>
      </c>
      <c r="X56" s="9">
        <v>46.46</v>
      </c>
      <c r="Y56" s="9">
        <v>47.03</v>
      </c>
      <c r="Z56" s="9">
        <v>44.59</v>
      </c>
      <c r="AA56" s="9">
        <v>46.61</v>
      </c>
      <c r="AB56" s="9">
        <v>46.3</v>
      </c>
      <c r="AC56" s="9">
        <v>46.73</v>
      </c>
      <c r="AD56" s="9">
        <v>47.32</v>
      </c>
      <c r="AE56" s="9">
        <v>44.68</v>
      </c>
    </row>
    <row r="57" spans="1:31" x14ac:dyDescent="0.25">
      <c r="A57" s="4" t="s">
        <v>428</v>
      </c>
      <c r="B57" s="9">
        <v>19524.98</v>
      </c>
      <c r="C57" s="9">
        <v>19620.009999999998</v>
      </c>
      <c r="D57" s="9">
        <v>19624.02</v>
      </c>
      <c r="E57" s="9">
        <v>19536.13</v>
      </c>
      <c r="F57" s="9">
        <v>79555.320000000007</v>
      </c>
      <c r="G57" s="9">
        <v>19511.5</v>
      </c>
      <c r="H57" s="9">
        <v>19666.32</v>
      </c>
      <c r="I57" s="9">
        <v>19812.38</v>
      </c>
      <c r="J57" s="9">
        <v>19945.53</v>
      </c>
      <c r="K57" s="9">
        <v>78977.37</v>
      </c>
      <c r="L57" s="9">
        <v>19985.21</v>
      </c>
      <c r="M57" s="9">
        <v>20051.62</v>
      </c>
      <c r="N57" s="9">
        <v>20207.87</v>
      </c>
      <c r="O57" s="9">
        <v>20362.25</v>
      </c>
      <c r="P57" s="9">
        <v>79895.3</v>
      </c>
      <c r="Q57" s="9">
        <v>20442.13</v>
      </c>
      <c r="R57" s="9">
        <v>20512.189999999999</v>
      </c>
      <c r="S57" s="9">
        <v>20665.72</v>
      </c>
      <c r="T57" s="9">
        <v>20835.87</v>
      </c>
      <c r="U57" s="9">
        <v>80876.070000000007</v>
      </c>
      <c r="V57" s="9">
        <v>20510.259999999998</v>
      </c>
      <c r="W57" s="9">
        <v>20474.98</v>
      </c>
      <c r="X57" s="9">
        <v>20643.16</v>
      </c>
      <c r="Y57" s="9">
        <v>20889.759999999998</v>
      </c>
      <c r="Z57" s="9">
        <v>81161.13</v>
      </c>
      <c r="AA57" s="9">
        <v>20726.37</v>
      </c>
      <c r="AB57" s="9">
        <v>20667.2</v>
      </c>
      <c r="AC57" s="9">
        <v>20829.21</v>
      </c>
      <c r="AD57" s="9">
        <v>21076.43</v>
      </c>
      <c r="AE57" s="9">
        <v>81977.41</v>
      </c>
    </row>
    <row r="58" spans="1:31" x14ac:dyDescent="0.25">
      <c r="A58" s="4" t="s">
        <v>427</v>
      </c>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spans="1:31" x14ac:dyDescent="0.25">
      <c r="A59" s="3" t="s">
        <v>240</v>
      </c>
      <c r="B59" s="9">
        <v>17199</v>
      </c>
      <c r="C59" s="9">
        <v>17369</v>
      </c>
      <c r="D59" s="9">
        <v>17441</v>
      </c>
      <c r="E59" s="9">
        <v>17373</v>
      </c>
      <c r="F59" s="9">
        <v>69382</v>
      </c>
      <c r="G59" s="9">
        <v>17151.759999999998</v>
      </c>
      <c r="H59" s="9">
        <v>17296.89</v>
      </c>
      <c r="I59" s="9">
        <v>17390.38</v>
      </c>
      <c r="J59" s="9">
        <v>17493.12</v>
      </c>
      <c r="K59" s="9">
        <v>69336.429999999993</v>
      </c>
      <c r="L59" s="9">
        <v>17398.87</v>
      </c>
      <c r="M59" s="9">
        <v>17504.36</v>
      </c>
      <c r="N59" s="9">
        <v>17602.830000000002</v>
      </c>
      <c r="O59" s="9">
        <v>17699.97</v>
      </c>
      <c r="P59" s="9">
        <v>70276.33</v>
      </c>
      <c r="Q59" s="9">
        <v>17480.09</v>
      </c>
      <c r="R59" s="9">
        <v>17625.02</v>
      </c>
      <c r="S59" s="9">
        <v>17725.560000000001</v>
      </c>
      <c r="T59" s="9">
        <v>17816.32</v>
      </c>
      <c r="U59" s="9">
        <v>71311.929999999993</v>
      </c>
      <c r="V59" s="9">
        <v>17606.75</v>
      </c>
      <c r="W59" s="9">
        <v>17728.14</v>
      </c>
      <c r="X59" s="9">
        <v>17807.099999999999</v>
      </c>
      <c r="Y59" s="9">
        <v>17937.62</v>
      </c>
      <c r="Z59" s="9">
        <v>72361.27</v>
      </c>
      <c r="AA59" s="9">
        <v>17729.32</v>
      </c>
      <c r="AB59" s="9">
        <v>17844.54</v>
      </c>
      <c r="AC59" s="9">
        <v>17920.509999999998</v>
      </c>
      <c r="AD59" s="9">
        <v>18049.14</v>
      </c>
      <c r="AE59" s="9">
        <v>73182.59</v>
      </c>
    </row>
    <row r="60" spans="1:31" x14ac:dyDescent="0.25">
      <c r="A60" s="3" t="s">
        <v>426</v>
      </c>
      <c r="B60" s="9">
        <v>3565</v>
      </c>
      <c r="C60" s="9">
        <v>3579</v>
      </c>
      <c r="D60" s="9">
        <v>3588</v>
      </c>
      <c r="E60" s="9">
        <v>3589</v>
      </c>
      <c r="F60" s="9">
        <v>14321</v>
      </c>
      <c r="G60" s="9">
        <v>3541.58</v>
      </c>
      <c r="H60" s="9">
        <v>3544.35</v>
      </c>
      <c r="I60" s="9">
        <v>3569.7</v>
      </c>
      <c r="J60" s="9">
        <v>3581.78</v>
      </c>
      <c r="K60" s="9">
        <v>14255.95</v>
      </c>
      <c r="L60" s="9">
        <v>3583.86</v>
      </c>
      <c r="M60" s="9">
        <v>3578.18</v>
      </c>
      <c r="N60" s="9">
        <v>3605.67</v>
      </c>
      <c r="O60" s="9">
        <v>3636.55</v>
      </c>
      <c r="P60" s="9">
        <v>14408.88</v>
      </c>
      <c r="Q60" s="9">
        <v>3605.43</v>
      </c>
      <c r="R60" s="9">
        <v>3564.62</v>
      </c>
      <c r="S60" s="9">
        <v>3587.2</v>
      </c>
      <c r="T60" s="9">
        <v>3616.2</v>
      </c>
      <c r="U60" s="9">
        <v>14499.75</v>
      </c>
      <c r="V60" s="9">
        <v>3589.07</v>
      </c>
      <c r="W60" s="9">
        <v>3480.94</v>
      </c>
      <c r="X60" s="9">
        <v>3515.2</v>
      </c>
      <c r="Y60" s="9">
        <v>3566.91</v>
      </c>
      <c r="Z60" s="9">
        <v>14579.67</v>
      </c>
      <c r="AA60" s="9">
        <v>3604.72</v>
      </c>
      <c r="AB60" s="9">
        <v>3477.18</v>
      </c>
      <c r="AC60" s="9">
        <v>3509.98</v>
      </c>
      <c r="AD60" s="9">
        <v>3567.54</v>
      </c>
      <c r="AE60" s="9">
        <v>14715.58</v>
      </c>
    </row>
    <row r="61" spans="1:31" x14ac:dyDescent="0.25">
      <c r="A61" s="4" t="s">
        <v>425</v>
      </c>
      <c r="B61" s="9">
        <v>20764</v>
      </c>
      <c r="C61" s="9">
        <v>20948</v>
      </c>
      <c r="D61" s="9">
        <v>21029</v>
      </c>
      <c r="E61" s="9">
        <v>20962</v>
      </c>
      <c r="F61" s="9">
        <v>83703</v>
      </c>
      <c r="G61" s="9">
        <v>20677.98</v>
      </c>
      <c r="H61" s="9">
        <v>20823.16</v>
      </c>
      <c r="I61" s="9">
        <v>20957.96</v>
      </c>
      <c r="J61" s="9">
        <v>21067.45</v>
      </c>
      <c r="K61" s="9">
        <v>83532.34</v>
      </c>
      <c r="L61" s="9">
        <v>20966.39</v>
      </c>
      <c r="M61" s="9">
        <v>21081.17</v>
      </c>
      <c r="N61" s="9">
        <v>21223.11</v>
      </c>
      <c r="O61" s="9">
        <v>21339.22</v>
      </c>
      <c r="P61" s="9">
        <v>84669.94</v>
      </c>
      <c r="Q61" s="9">
        <v>21151.73</v>
      </c>
      <c r="R61" s="9">
        <v>21261.83</v>
      </c>
      <c r="S61" s="9">
        <v>21390.83</v>
      </c>
      <c r="T61" s="9">
        <v>21497.96</v>
      </c>
      <c r="U61" s="9">
        <v>85906.9</v>
      </c>
      <c r="V61" s="9">
        <v>21356.11</v>
      </c>
      <c r="W61" s="9">
        <v>21402.14</v>
      </c>
      <c r="X61" s="9">
        <v>21525.46</v>
      </c>
      <c r="Y61" s="9">
        <v>21671.77</v>
      </c>
      <c r="Z61" s="9">
        <v>87090.93</v>
      </c>
      <c r="AA61" s="9">
        <v>21541.5</v>
      </c>
      <c r="AB61" s="9">
        <v>21569.35</v>
      </c>
      <c r="AC61" s="9">
        <v>21688.79</v>
      </c>
      <c r="AD61" s="9">
        <v>21837.41</v>
      </c>
      <c r="AE61" s="9">
        <v>88117.71</v>
      </c>
    </row>
    <row r="62" spans="1:31" x14ac:dyDescent="0.25">
      <c r="A62" s="3" t="s">
        <v>424</v>
      </c>
      <c r="B62" s="9">
        <v>4532</v>
      </c>
      <c r="C62" s="9">
        <v>5369</v>
      </c>
      <c r="D62" s="9">
        <v>4766</v>
      </c>
      <c r="E62" s="9">
        <v>7112</v>
      </c>
      <c r="F62" s="9">
        <v>21779</v>
      </c>
      <c r="G62" s="9">
        <v>4824</v>
      </c>
      <c r="H62" s="9">
        <v>4178</v>
      </c>
      <c r="I62" s="9">
        <v>4778.46</v>
      </c>
      <c r="J62" s="9">
        <v>6978.87</v>
      </c>
      <c r="K62" s="9">
        <v>21481.4</v>
      </c>
      <c r="L62" s="9">
        <v>5045.6400000000003</v>
      </c>
      <c r="M62" s="9">
        <v>5066.07</v>
      </c>
      <c r="N62" s="9">
        <v>4824.3999999999996</v>
      </c>
      <c r="O62" s="9">
        <v>7190.74</v>
      </c>
      <c r="P62" s="9">
        <v>22419.81</v>
      </c>
      <c r="Q62" s="9">
        <v>5277.6</v>
      </c>
      <c r="R62" s="9">
        <v>5284.66</v>
      </c>
      <c r="S62" s="9">
        <v>4929.8999999999996</v>
      </c>
      <c r="T62" s="9">
        <v>7508.37</v>
      </c>
      <c r="U62" s="9">
        <v>23249.09</v>
      </c>
      <c r="V62" s="9">
        <v>5309</v>
      </c>
      <c r="W62" s="9">
        <v>4707.6499999999996</v>
      </c>
      <c r="X62" s="9">
        <v>4782.18</v>
      </c>
      <c r="Y62" s="9">
        <v>7030.12</v>
      </c>
      <c r="Z62" s="9">
        <v>23109.25</v>
      </c>
      <c r="AA62" s="9">
        <v>5398.91</v>
      </c>
      <c r="AB62" s="9">
        <v>4786.25</v>
      </c>
      <c r="AC62" s="9">
        <v>4859.58</v>
      </c>
      <c r="AD62" s="9">
        <v>7150.06</v>
      </c>
      <c r="AE62" s="9">
        <v>23550.12</v>
      </c>
    </row>
    <row r="63" spans="1:31" x14ac:dyDescent="0.25">
      <c r="A63" s="3" t="s">
        <v>423</v>
      </c>
      <c r="B63" s="9">
        <v>866</v>
      </c>
      <c r="C63" s="9">
        <v>886</v>
      </c>
      <c r="D63" s="9">
        <v>853</v>
      </c>
      <c r="E63" s="9">
        <v>1086</v>
      </c>
      <c r="F63" s="9">
        <v>3691</v>
      </c>
      <c r="G63" s="9">
        <v>857</v>
      </c>
      <c r="H63" s="9">
        <v>846</v>
      </c>
      <c r="I63" s="9">
        <v>849.03</v>
      </c>
      <c r="J63" s="9">
        <v>1070.3699999999999</v>
      </c>
      <c r="K63" s="9">
        <v>3547.68</v>
      </c>
      <c r="L63" s="9">
        <v>960.61</v>
      </c>
      <c r="M63" s="9">
        <v>883.45</v>
      </c>
      <c r="N63" s="9">
        <v>866.54</v>
      </c>
      <c r="O63" s="9">
        <v>1074.1500000000001</v>
      </c>
      <c r="P63" s="9">
        <v>3700.47</v>
      </c>
      <c r="Q63" s="9">
        <v>935.27</v>
      </c>
      <c r="R63" s="9">
        <v>943.22</v>
      </c>
      <c r="S63" s="9">
        <v>891.82</v>
      </c>
      <c r="T63" s="9">
        <v>1139.5999999999999</v>
      </c>
      <c r="U63" s="9">
        <v>3936.23</v>
      </c>
      <c r="V63" s="9">
        <v>940.35</v>
      </c>
      <c r="W63" s="9">
        <v>914.03</v>
      </c>
      <c r="X63" s="9">
        <v>876.71</v>
      </c>
      <c r="Y63" s="9">
        <v>1058.21</v>
      </c>
      <c r="Z63" s="9">
        <v>3947.48</v>
      </c>
      <c r="AA63" s="9">
        <v>956.46</v>
      </c>
      <c r="AB63" s="9">
        <v>928.28</v>
      </c>
      <c r="AC63" s="9">
        <v>890.93</v>
      </c>
      <c r="AD63" s="9">
        <v>1076.5999999999999</v>
      </c>
      <c r="AE63" s="9">
        <v>4018.7</v>
      </c>
    </row>
    <row r="64" spans="1:31" x14ac:dyDescent="0.25">
      <c r="A64" s="4" t="s">
        <v>393</v>
      </c>
      <c r="B64" s="9">
        <v>5398</v>
      </c>
      <c r="C64" s="9">
        <v>6255</v>
      </c>
      <c r="D64" s="9">
        <v>5619</v>
      </c>
      <c r="E64" s="9">
        <v>8198</v>
      </c>
      <c r="F64" s="9">
        <v>25470</v>
      </c>
      <c r="G64" s="9">
        <v>5681</v>
      </c>
      <c r="H64" s="9">
        <v>5024</v>
      </c>
      <c r="I64" s="9">
        <v>5444.78</v>
      </c>
      <c r="J64" s="9">
        <v>7798.8</v>
      </c>
      <c r="K64" s="9">
        <v>23942.47</v>
      </c>
      <c r="L64" s="9">
        <v>5909.46</v>
      </c>
      <c r="M64" s="9">
        <v>5441.35</v>
      </c>
      <c r="N64" s="9">
        <v>5551.61</v>
      </c>
      <c r="O64" s="9">
        <v>7926.31</v>
      </c>
      <c r="P64" s="9">
        <v>24821.18</v>
      </c>
      <c r="Q64" s="9">
        <v>6063.63</v>
      </c>
      <c r="R64" s="9">
        <v>5735.04</v>
      </c>
      <c r="S64" s="9">
        <v>5643.93</v>
      </c>
      <c r="T64" s="9">
        <v>8158.98</v>
      </c>
      <c r="U64" s="9">
        <v>25342.68</v>
      </c>
      <c r="V64" s="9">
        <v>6123.01</v>
      </c>
      <c r="W64" s="9">
        <v>5460.13</v>
      </c>
      <c r="X64" s="9">
        <v>5526.68</v>
      </c>
      <c r="Y64" s="9">
        <v>7893.21</v>
      </c>
      <c r="Z64" s="9">
        <v>25100.87</v>
      </c>
      <c r="AA64" s="9">
        <v>6212.16</v>
      </c>
      <c r="AB64" s="9">
        <v>5537.56</v>
      </c>
      <c r="AC64" s="9">
        <v>5603.24</v>
      </c>
      <c r="AD64" s="9">
        <v>8006.64</v>
      </c>
      <c r="AE64" s="9">
        <v>25426.3</v>
      </c>
    </row>
    <row r="65" spans="1:31" x14ac:dyDescent="0.25">
      <c r="A65" s="3" t="s">
        <v>422</v>
      </c>
      <c r="B65" s="9">
        <v>1014</v>
      </c>
      <c r="C65" s="9">
        <v>1021</v>
      </c>
      <c r="D65" s="9">
        <v>996</v>
      </c>
      <c r="E65" s="9">
        <v>1085</v>
      </c>
      <c r="F65" s="9">
        <v>4116</v>
      </c>
      <c r="G65" s="9">
        <v>1038.97</v>
      </c>
      <c r="H65" s="9">
        <v>1119.58</v>
      </c>
      <c r="I65" s="9">
        <v>922.33</v>
      </c>
      <c r="J65" s="9">
        <v>1100.83</v>
      </c>
      <c r="K65" s="9">
        <v>4015.76</v>
      </c>
      <c r="L65" s="9">
        <v>821.88</v>
      </c>
      <c r="M65" s="9">
        <v>800.08</v>
      </c>
      <c r="N65" s="9">
        <v>808.37</v>
      </c>
      <c r="O65" s="9">
        <v>863.19</v>
      </c>
      <c r="P65" s="9">
        <v>3727.36</v>
      </c>
      <c r="Q65" s="9">
        <v>707.06</v>
      </c>
      <c r="R65" s="9">
        <v>682.5</v>
      </c>
      <c r="S65" s="9">
        <v>673.18</v>
      </c>
      <c r="T65" s="9">
        <v>727.59</v>
      </c>
      <c r="U65" s="9">
        <v>3818.82</v>
      </c>
      <c r="V65" s="9">
        <v>1065.05</v>
      </c>
      <c r="W65" s="9">
        <v>1044.6300000000001</v>
      </c>
      <c r="X65" s="9">
        <v>1018.72</v>
      </c>
      <c r="Y65" s="9">
        <v>1102.53</v>
      </c>
      <c r="Z65" s="9">
        <v>4479.07</v>
      </c>
      <c r="AA65" s="9">
        <v>1070.33</v>
      </c>
      <c r="AB65" s="9">
        <v>1050.25</v>
      </c>
      <c r="AC65" s="9">
        <v>1023.9</v>
      </c>
      <c r="AD65" s="9">
        <v>1108.17</v>
      </c>
      <c r="AE65" s="9">
        <v>4584.2</v>
      </c>
    </row>
    <row r="66" spans="1:31" x14ac:dyDescent="0.25">
      <c r="A66" s="4" t="s">
        <v>421</v>
      </c>
      <c r="B66" s="9">
        <v>26162</v>
      </c>
      <c r="C66" s="9">
        <v>27203</v>
      </c>
      <c r="D66" s="9">
        <v>27644</v>
      </c>
      <c r="E66" s="9">
        <v>30245</v>
      </c>
      <c r="F66" s="9">
        <v>113289</v>
      </c>
      <c r="G66" s="9">
        <v>26795.17</v>
      </c>
      <c r="H66" s="9">
        <v>26373.57</v>
      </c>
      <c r="I66" s="9">
        <v>26957.3</v>
      </c>
      <c r="J66" s="9">
        <v>29477.29</v>
      </c>
      <c r="K66" s="9">
        <v>107243.87</v>
      </c>
      <c r="L66" s="9">
        <v>27265.71</v>
      </c>
      <c r="M66" s="9">
        <v>26761.88</v>
      </c>
      <c r="N66" s="9">
        <v>27171.66</v>
      </c>
      <c r="O66" s="9">
        <v>29625.26</v>
      </c>
      <c r="P66" s="9">
        <v>111518.32</v>
      </c>
      <c r="Q66" s="9">
        <v>27595.64</v>
      </c>
      <c r="R66" s="9">
        <v>27092.99</v>
      </c>
      <c r="S66" s="9">
        <v>27407.11</v>
      </c>
      <c r="T66" s="9">
        <v>29877.86</v>
      </c>
      <c r="U66" s="9">
        <v>113619.36</v>
      </c>
      <c r="V66" s="9">
        <v>28051.05</v>
      </c>
      <c r="W66" s="9">
        <v>27457.98</v>
      </c>
      <c r="X66" s="9">
        <v>27668.44</v>
      </c>
      <c r="Y66" s="9">
        <v>30308.34</v>
      </c>
      <c r="Z66" s="9">
        <v>115274.02</v>
      </c>
      <c r="AA66" s="9">
        <v>28334.42</v>
      </c>
      <c r="AB66" s="9">
        <v>27711.45</v>
      </c>
      <c r="AC66" s="9">
        <v>27917.54</v>
      </c>
      <c r="AD66" s="9">
        <v>30601.41</v>
      </c>
      <c r="AE66" s="9">
        <v>116617.9</v>
      </c>
    </row>
    <row r="67" spans="1:31" x14ac:dyDescent="0.25">
      <c r="A67" s="3" t="s">
        <v>420</v>
      </c>
      <c r="B67" s="9">
        <v>3210.93</v>
      </c>
      <c r="C67" s="9">
        <v>3160.09</v>
      </c>
      <c r="D67" s="9">
        <v>3212.48</v>
      </c>
      <c r="E67" s="9">
        <v>3244.45</v>
      </c>
      <c r="F67" s="9">
        <v>12827.95</v>
      </c>
      <c r="G67" s="9">
        <v>3089.19</v>
      </c>
      <c r="H67" s="9">
        <v>3000.26</v>
      </c>
      <c r="I67" s="9">
        <v>3073.35</v>
      </c>
      <c r="J67" s="9">
        <v>3086.94</v>
      </c>
      <c r="K67" s="9">
        <v>12249.74</v>
      </c>
      <c r="L67" s="9">
        <v>2888.09</v>
      </c>
      <c r="M67" s="9">
        <v>2749.41</v>
      </c>
      <c r="N67" s="9">
        <v>2843.48</v>
      </c>
      <c r="O67" s="9">
        <v>2836.24</v>
      </c>
      <c r="P67" s="9">
        <v>12394.17</v>
      </c>
      <c r="Q67" s="9">
        <v>3183.77</v>
      </c>
      <c r="R67" s="9">
        <v>2893.76</v>
      </c>
      <c r="S67" s="9">
        <v>3072.83</v>
      </c>
      <c r="T67" s="9">
        <v>3046.89</v>
      </c>
      <c r="U67" s="9">
        <v>12611.84</v>
      </c>
      <c r="V67" s="9">
        <v>3239.98</v>
      </c>
      <c r="W67" s="9">
        <v>2947.8</v>
      </c>
      <c r="X67" s="9">
        <v>3128.14</v>
      </c>
      <c r="Y67" s="9">
        <v>3101.29</v>
      </c>
      <c r="Z67" s="9">
        <v>12829.89</v>
      </c>
      <c r="AA67" s="9">
        <v>3297.46</v>
      </c>
      <c r="AB67" s="9">
        <v>3003.21</v>
      </c>
      <c r="AC67" s="9">
        <v>3184.97</v>
      </c>
      <c r="AD67" s="9">
        <v>3157.44</v>
      </c>
      <c r="AE67" s="9">
        <v>13048.86</v>
      </c>
    </row>
    <row r="68" spans="1:31" x14ac:dyDescent="0.25">
      <c r="A68" s="3" t="s">
        <v>419</v>
      </c>
      <c r="B68" s="9">
        <v>6106</v>
      </c>
      <c r="C68" s="9">
        <v>7007</v>
      </c>
      <c r="D68" s="9">
        <v>6483</v>
      </c>
      <c r="E68" s="9">
        <v>9380</v>
      </c>
      <c r="F68" s="9">
        <v>28976</v>
      </c>
      <c r="G68" s="9">
        <v>6506</v>
      </c>
      <c r="H68" s="9">
        <v>5859</v>
      </c>
      <c r="I68" s="9">
        <v>6275.72</v>
      </c>
      <c r="J68" s="9">
        <v>9075.89</v>
      </c>
      <c r="K68" s="9">
        <v>27919.360000000001</v>
      </c>
      <c r="L68" s="9">
        <v>6758.31</v>
      </c>
      <c r="M68" s="9">
        <v>6405.62</v>
      </c>
      <c r="N68" s="9">
        <v>6371.7</v>
      </c>
      <c r="O68" s="9">
        <v>9168.09</v>
      </c>
      <c r="P68" s="9">
        <v>28679.86</v>
      </c>
      <c r="Q68" s="9">
        <v>7110.58</v>
      </c>
      <c r="R68" s="9">
        <v>7116.03</v>
      </c>
      <c r="S68" s="9">
        <v>6466.26</v>
      </c>
      <c r="T68" s="9">
        <v>9626.7999999999993</v>
      </c>
      <c r="U68" s="9">
        <v>29310.17</v>
      </c>
      <c r="V68" s="9">
        <v>7009.84</v>
      </c>
      <c r="W68" s="9">
        <v>6298.56</v>
      </c>
      <c r="X68" s="9">
        <v>6067.17</v>
      </c>
      <c r="Y68" s="9">
        <v>8693.5300000000007</v>
      </c>
      <c r="Z68" s="9">
        <v>28932.91</v>
      </c>
      <c r="AA68" s="9">
        <v>7087.52</v>
      </c>
      <c r="AB68" s="9">
        <v>6368.52</v>
      </c>
      <c r="AC68" s="9">
        <v>6129.95</v>
      </c>
      <c r="AD68" s="9">
        <v>8790.5300000000007</v>
      </c>
      <c r="AE68" s="9">
        <v>29344.02</v>
      </c>
    </row>
    <row r="69" spans="1:31" x14ac:dyDescent="0.25">
      <c r="A69" s="4" t="s">
        <v>418</v>
      </c>
      <c r="B69" s="9">
        <v>9316.93</v>
      </c>
      <c r="C69" s="9">
        <v>10167.09</v>
      </c>
      <c r="D69" s="9">
        <v>9695.48</v>
      </c>
      <c r="E69" s="9">
        <v>12624.45</v>
      </c>
      <c r="F69" s="9">
        <v>41803.949999999997</v>
      </c>
      <c r="G69" s="9">
        <v>9594.5300000000007</v>
      </c>
      <c r="H69" s="9">
        <v>8860.59</v>
      </c>
      <c r="I69" s="9">
        <v>9147.74</v>
      </c>
      <c r="J69" s="9">
        <v>12017.31</v>
      </c>
      <c r="K69" s="9">
        <v>39620.17</v>
      </c>
      <c r="L69" s="9">
        <v>9699.67</v>
      </c>
      <c r="M69" s="9">
        <v>9086.5</v>
      </c>
      <c r="N69" s="9">
        <v>8918.26</v>
      </c>
      <c r="O69" s="9">
        <v>11329.35</v>
      </c>
      <c r="P69" s="9">
        <v>40442.44</v>
      </c>
      <c r="Q69" s="9">
        <v>10474.43</v>
      </c>
      <c r="R69" s="9">
        <v>9527.31</v>
      </c>
      <c r="S69" s="9">
        <v>9381.8700000000008</v>
      </c>
      <c r="T69" s="9">
        <v>12402.47</v>
      </c>
      <c r="U69" s="9">
        <v>41315.01</v>
      </c>
      <c r="V69" s="9">
        <v>10663.39</v>
      </c>
      <c r="W69" s="9">
        <v>9727.26</v>
      </c>
      <c r="X69" s="9">
        <v>9582.25</v>
      </c>
      <c r="Y69" s="9">
        <v>12662.25</v>
      </c>
      <c r="Z69" s="9">
        <v>42066.58</v>
      </c>
      <c r="AA69" s="9">
        <v>10904.53</v>
      </c>
      <c r="AB69" s="9">
        <v>9950.24</v>
      </c>
      <c r="AC69" s="9">
        <v>9794.44</v>
      </c>
      <c r="AD69" s="9">
        <v>12954.88</v>
      </c>
      <c r="AE69" s="9">
        <v>42813.22</v>
      </c>
    </row>
    <row r="70" spans="1:31" x14ac:dyDescent="0.25">
      <c r="A70" s="3" t="s">
        <v>417</v>
      </c>
      <c r="B70" s="9">
        <v>5909.67</v>
      </c>
      <c r="C70" s="9">
        <v>5927.56</v>
      </c>
      <c r="D70" s="9">
        <v>5942.31</v>
      </c>
      <c r="E70" s="9">
        <v>6570.73</v>
      </c>
      <c r="F70" s="9">
        <v>24350.28</v>
      </c>
      <c r="G70" s="9">
        <v>6004.12</v>
      </c>
      <c r="H70" s="9">
        <v>5760.29</v>
      </c>
      <c r="I70" s="9">
        <v>6304.06</v>
      </c>
      <c r="J70" s="9">
        <v>7002.2</v>
      </c>
      <c r="K70" s="9">
        <v>25070.67</v>
      </c>
      <c r="L70" s="9">
        <v>5901.96</v>
      </c>
      <c r="M70" s="9">
        <v>5194.46</v>
      </c>
      <c r="N70" s="9">
        <v>5916.08</v>
      </c>
      <c r="O70" s="9">
        <v>6596.14</v>
      </c>
      <c r="P70" s="9">
        <v>25424.62</v>
      </c>
      <c r="Q70" s="9">
        <v>5924.78</v>
      </c>
      <c r="R70" s="9">
        <v>5211.24</v>
      </c>
      <c r="S70" s="9">
        <v>5937.43</v>
      </c>
      <c r="T70" s="9">
        <v>6620.11</v>
      </c>
      <c r="U70" s="9">
        <v>25998.73</v>
      </c>
      <c r="V70" s="9">
        <v>5942.65</v>
      </c>
      <c r="W70" s="9">
        <v>5224.1400000000003</v>
      </c>
      <c r="X70" s="9">
        <v>5955.36</v>
      </c>
      <c r="Y70" s="9">
        <v>6641.65</v>
      </c>
      <c r="Z70" s="9">
        <v>26548.080000000002</v>
      </c>
      <c r="AA70" s="9">
        <v>5959.31</v>
      </c>
      <c r="AB70" s="9">
        <v>5236.05</v>
      </c>
      <c r="AC70" s="9">
        <v>5972.55</v>
      </c>
      <c r="AD70" s="9">
        <v>6662.96</v>
      </c>
      <c r="AE70" s="9">
        <v>27092.22</v>
      </c>
    </row>
    <row r="71" spans="1:31" x14ac:dyDescent="0.25">
      <c r="A71" s="4" t="s">
        <v>416</v>
      </c>
      <c r="B71" s="9">
        <v>15417.51</v>
      </c>
      <c r="C71" s="9">
        <v>16284.16</v>
      </c>
      <c r="D71" s="9">
        <v>15827.32</v>
      </c>
      <c r="E71" s="9">
        <v>19386.18</v>
      </c>
      <c r="F71" s="9">
        <v>66915.17</v>
      </c>
      <c r="G71" s="9">
        <v>15783.76</v>
      </c>
      <c r="H71" s="9">
        <v>14812.15</v>
      </c>
      <c r="I71" s="9">
        <v>15716.18</v>
      </c>
      <c r="J71" s="9">
        <v>19285.02</v>
      </c>
      <c r="K71" s="9">
        <v>65597.11</v>
      </c>
      <c r="L71" s="9">
        <v>16138.25</v>
      </c>
      <c r="M71" s="9">
        <v>14598.04</v>
      </c>
      <c r="N71" s="9">
        <v>15185.62</v>
      </c>
      <c r="O71" s="9">
        <v>18767.310000000001</v>
      </c>
      <c r="P71" s="9">
        <v>67594.78</v>
      </c>
      <c r="Q71" s="9">
        <v>16399.21</v>
      </c>
      <c r="R71" s="9">
        <v>14738.55</v>
      </c>
      <c r="S71" s="9">
        <v>15319.29</v>
      </c>
      <c r="T71" s="9">
        <v>19022.580000000002</v>
      </c>
      <c r="U71" s="9">
        <v>69227.53</v>
      </c>
      <c r="V71" s="9">
        <v>16606.04</v>
      </c>
      <c r="W71" s="9">
        <v>14951.4</v>
      </c>
      <c r="X71" s="9">
        <v>15537.61</v>
      </c>
      <c r="Y71" s="9">
        <v>19303.900000000001</v>
      </c>
      <c r="Z71" s="9">
        <v>70940.509999999995</v>
      </c>
      <c r="AA71" s="9">
        <v>16863.84</v>
      </c>
      <c r="AB71" s="9">
        <v>15186.29</v>
      </c>
      <c r="AC71" s="9">
        <v>15766.99</v>
      </c>
      <c r="AD71" s="9">
        <v>19617.84</v>
      </c>
      <c r="AE71" s="9">
        <v>72661.83</v>
      </c>
    </row>
    <row r="72" spans="1:31" x14ac:dyDescent="0.25">
      <c r="A72" s="3" t="s">
        <v>415</v>
      </c>
      <c r="B72" s="9">
        <v>2776.65</v>
      </c>
      <c r="C72" s="9">
        <v>2797.68</v>
      </c>
      <c r="D72" s="9">
        <v>2808.54</v>
      </c>
      <c r="E72" s="9">
        <v>2758.9</v>
      </c>
      <c r="F72" s="9">
        <v>11141.77</v>
      </c>
      <c r="G72" s="9">
        <v>2911.68</v>
      </c>
      <c r="H72" s="9">
        <v>2858.66</v>
      </c>
      <c r="I72" s="9">
        <v>2867.16</v>
      </c>
      <c r="J72" s="9">
        <v>2865.03</v>
      </c>
      <c r="K72" s="9">
        <v>11565.36</v>
      </c>
      <c r="L72" s="8" t="s">
        <v>66</v>
      </c>
      <c r="M72" s="8" t="s">
        <v>66</v>
      </c>
      <c r="N72" s="8" t="s">
        <v>66</v>
      </c>
      <c r="O72" s="8" t="s">
        <v>66</v>
      </c>
      <c r="P72" s="9">
        <v>11589.92</v>
      </c>
      <c r="Q72" s="8" t="s">
        <v>66</v>
      </c>
      <c r="R72" s="8" t="s">
        <v>66</v>
      </c>
      <c r="S72" s="8" t="s">
        <v>66</v>
      </c>
      <c r="T72" s="8" t="s">
        <v>66</v>
      </c>
      <c r="U72" s="9">
        <v>11608.72</v>
      </c>
      <c r="V72" s="8" t="s">
        <v>66</v>
      </c>
      <c r="W72" s="8" t="s">
        <v>66</v>
      </c>
      <c r="X72" s="8" t="s">
        <v>66</v>
      </c>
      <c r="Y72" s="8" t="s">
        <v>66</v>
      </c>
      <c r="Z72" s="9">
        <v>11621.11</v>
      </c>
      <c r="AA72" s="8" t="s">
        <v>66</v>
      </c>
      <c r="AB72" s="8" t="s">
        <v>66</v>
      </c>
      <c r="AC72" s="8" t="s">
        <v>66</v>
      </c>
      <c r="AD72" s="8" t="s">
        <v>66</v>
      </c>
      <c r="AE72" s="9">
        <v>11626.23</v>
      </c>
    </row>
    <row r="73" spans="1:31" x14ac:dyDescent="0.25">
      <c r="A73" s="4" t="s">
        <v>414</v>
      </c>
      <c r="B73" s="9">
        <v>17747.73</v>
      </c>
      <c r="C73" s="9">
        <v>18502.71</v>
      </c>
      <c r="D73" s="9">
        <v>18188.66</v>
      </c>
      <c r="E73" s="9">
        <v>21517.57</v>
      </c>
      <c r="F73" s="9">
        <v>75956.67</v>
      </c>
      <c r="G73" s="9">
        <v>17779.18</v>
      </c>
      <c r="H73" s="9">
        <v>17196.82</v>
      </c>
      <c r="I73" s="9">
        <v>19157.2</v>
      </c>
      <c r="J73" s="9">
        <v>22565.89</v>
      </c>
      <c r="K73" s="9">
        <v>78970.81</v>
      </c>
      <c r="L73" s="8" t="s">
        <v>66</v>
      </c>
      <c r="M73" s="8" t="s">
        <v>66</v>
      </c>
      <c r="N73" s="8" t="s">
        <v>66</v>
      </c>
      <c r="O73" s="8" t="s">
        <v>66</v>
      </c>
      <c r="P73" s="9">
        <v>80952.160000000003</v>
      </c>
      <c r="Q73" s="8" t="s">
        <v>66</v>
      </c>
      <c r="R73" s="8" t="s">
        <v>66</v>
      </c>
      <c r="S73" s="8" t="s">
        <v>66</v>
      </c>
      <c r="T73" s="8" t="s">
        <v>66</v>
      </c>
      <c r="U73" s="9">
        <v>83365.490000000005</v>
      </c>
      <c r="V73" s="8" t="s">
        <v>66</v>
      </c>
      <c r="W73" s="8" t="s">
        <v>66</v>
      </c>
      <c r="X73" s="8" t="s">
        <v>66</v>
      </c>
      <c r="Y73" s="8" t="s">
        <v>66</v>
      </c>
      <c r="Z73" s="9">
        <v>85797.32</v>
      </c>
      <c r="AA73" s="8" t="s">
        <v>66</v>
      </c>
      <c r="AB73" s="8" t="s">
        <v>66</v>
      </c>
      <c r="AC73" s="8" t="s">
        <v>66</v>
      </c>
      <c r="AD73" s="8" t="s">
        <v>66</v>
      </c>
      <c r="AE73" s="9">
        <v>88114.48</v>
      </c>
    </row>
    <row r="74" spans="1:31" x14ac:dyDescent="0.25">
      <c r="A74" s="4" t="s">
        <v>413</v>
      </c>
      <c r="B74" s="9">
        <v>9428.27</v>
      </c>
      <c r="C74" s="9">
        <v>9721.2900000000009</v>
      </c>
      <c r="D74" s="9">
        <v>9455.34</v>
      </c>
      <c r="E74" s="9">
        <v>8727.43</v>
      </c>
      <c r="F74" s="9">
        <v>37332.33</v>
      </c>
      <c r="G74" s="9">
        <v>9539.06</v>
      </c>
      <c r="H74" s="9">
        <v>9626.8799999999992</v>
      </c>
      <c r="I74" s="9">
        <v>8244.7999999999993</v>
      </c>
      <c r="J74" s="9">
        <v>7400.77</v>
      </c>
      <c r="K74" s="9">
        <v>32683.98</v>
      </c>
      <c r="L74" s="8" t="s">
        <v>66</v>
      </c>
      <c r="M74" s="8" t="s">
        <v>66</v>
      </c>
      <c r="N74" s="8" t="s">
        <v>66</v>
      </c>
      <c r="O74" s="8" t="s">
        <v>66</v>
      </c>
      <c r="P74" s="9">
        <v>32200.18</v>
      </c>
      <c r="Q74" s="8" t="s">
        <v>66</v>
      </c>
      <c r="R74" s="8" t="s">
        <v>66</v>
      </c>
      <c r="S74" s="8" t="s">
        <v>66</v>
      </c>
      <c r="T74" s="8" t="s">
        <v>66</v>
      </c>
      <c r="U74" s="9">
        <v>31390.74</v>
      </c>
      <c r="V74" s="8" t="s">
        <v>66</v>
      </c>
      <c r="W74" s="8" t="s">
        <v>66</v>
      </c>
      <c r="X74" s="8" t="s">
        <v>66</v>
      </c>
      <c r="Y74" s="8" t="s">
        <v>66</v>
      </c>
      <c r="Z74" s="9">
        <v>30533.45</v>
      </c>
      <c r="AA74" s="8" t="s">
        <v>66</v>
      </c>
      <c r="AB74" s="8" t="s">
        <v>66</v>
      </c>
      <c r="AC74" s="8" t="s">
        <v>66</v>
      </c>
      <c r="AD74" s="8" t="s">
        <v>66</v>
      </c>
      <c r="AE74" s="9">
        <v>29631.81</v>
      </c>
    </row>
    <row r="75" spans="1:31" x14ac:dyDescent="0.25">
      <c r="A75" s="4" t="s">
        <v>412</v>
      </c>
      <c r="B75" s="9">
        <v>12107.02</v>
      </c>
      <c r="C75" s="9">
        <v>12396.08</v>
      </c>
      <c r="D75" s="9">
        <v>12263.33</v>
      </c>
      <c r="E75" s="9">
        <v>11412.14</v>
      </c>
      <c r="F75" s="9">
        <v>48178.58</v>
      </c>
      <c r="G75" s="9">
        <v>12241.34</v>
      </c>
      <c r="H75" s="9">
        <v>12603.74</v>
      </c>
      <c r="I75" s="9">
        <v>12027.49</v>
      </c>
      <c r="J75" s="9">
        <v>11387.19</v>
      </c>
      <c r="K75" s="9">
        <v>44676.15</v>
      </c>
      <c r="L75" s="9">
        <v>6238.3</v>
      </c>
      <c r="M75" s="9">
        <v>12999.2</v>
      </c>
      <c r="N75" s="9">
        <v>12591.92</v>
      </c>
      <c r="O75" s="9">
        <v>11985.79</v>
      </c>
      <c r="P75" s="9">
        <v>45251.76</v>
      </c>
      <c r="Q75" s="9">
        <v>12413.66</v>
      </c>
      <c r="R75" s="9">
        <v>13305.57</v>
      </c>
      <c r="S75" s="9">
        <v>12645.05</v>
      </c>
      <c r="T75" s="9">
        <v>11899.1</v>
      </c>
      <c r="U75" s="9">
        <v>48933.04</v>
      </c>
      <c r="V75" s="9">
        <v>12509.99</v>
      </c>
      <c r="W75" s="9">
        <v>13407.82</v>
      </c>
      <c r="X75" s="9">
        <v>12740.92</v>
      </c>
      <c r="Y75" s="9">
        <v>11981.44</v>
      </c>
      <c r="Z75" s="9">
        <v>49183.360000000001</v>
      </c>
      <c r="AA75" s="9">
        <v>12595.67</v>
      </c>
      <c r="AB75" s="9">
        <v>13502.95</v>
      </c>
      <c r="AC75" s="9">
        <v>12832.36</v>
      </c>
      <c r="AD75" s="9">
        <v>12058.37</v>
      </c>
      <c r="AE75" s="9">
        <v>49329.15</v>
      </c>
    </row>
    <row r="76" spans="1:31" x14ac:dyDescent="0.25">
      <c r="A76" s="4" t="s">
        <v>411</v>
      </c>
      <c r="B76" s="9">
        <v>2578.73</v>
      </c>
      <c r="C76" s="9">
        <v>2444.27</v>
      </c>
      <c r="D76" s="9">
        <v>2680.13</v>
      </c>
      <c r="E76" s="9">
        <v>3044.95</v>
      </c>
      <c r="F76" s="9">
        <v>10748.08</v>
      </c>
      <c r="G76" s="9">
        <v>2403.54</v>
      </c>
      <c r="H76" s="9">
        <v>2315.73</v>
      </c>
      <c r="I76" s="9">
        <v>2216.56</v>
      </c>
      <c r="J76" s="9">
        <v>2264.1799999999998</v>
      </c>
      <c r="K76" s="9">
        <v>9200.01</v>
      </c>
      <c r="L76" s="9">
        <v>2383.39</v>
      </c>
      <c r="M76" s="9">
        <v>2320.8000000000002</v>
      </c>
      <c r="N76" s="9">
        <v>2268.9299999999998</v>
      </c>
      <c r="O76" s="9">
        <v>2272.66</v>
      </c>
      <c r="P76" s="9">
        <v>9304.1299999999992</v>
      </c>
      <c r="Q76" s="9">
        <v>2698.15</v>
      </c>
      <c r="R76" s="9">
        <v>2704.83</v>
      </c>
      <c r="S76" s="9">
        <v>2727.25</v>
      </c>
      <c r="T76" s="9">
        <v>2732.63</v>
      </c>
      <c r="U76" s="9">
        <v>9486.86</v>
      </c>
      <c r="V76" s="9">
        <v>2584.2199999999998</v>
      </c>
      <c r="W76" s="9">
        <v>2555.7600000000002</v>
      </c>
      <c r="X76" s="9">
        <v>2588.4499999999998</v>
      </c>
      <c r="Y76" s="9">
        <v>2606.2199999999998</v>
      </c>
      <c r="Z76" s="9">
        <v>9354.2000000000007</v>
      </c>
      <c r="AA76" s="9">
        <v>2604.79</v>
      </c>
      <c r="AB76" s="9">
        <v>2576.41</v>
      </c>
      <c r="AC76" s="9">
        <v>2609.3200000000002</v>
      </c>
      <c r="AD76" s="9">
        <v>2626.73</v>
      </c>
      <c r="AE76" s="9">
        <v>9425.7800000000007</v>
      </c>
    </row>
    <row r="77" spans="1:31" x14ac:dyDescent="0.25">
      <c r="A77" s="4" t="s">
        <v>410</v>
      </c>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row>
    <row r="78" spans="1:31" x14ac:dyDescent="0.25">
      <c r="A78" s="4" t="s">
        <v>409</v>
      </c>
      <c r="B78" s="10">
        <v>-174</v>
      </c>
      <c r="C78" s="10">
        <v>-50</v>
      </c>
      <c r="D78" s="10">
        <v>-176</v>
      </c>
      <c r="E78" s="9">
        <v>26</v>
      </c>
      <c r="F78" s="10">
        <v>-353</v>
      </c>
      <c r="G78" s="10">
        <v>-127</v>
      </c>
      <c r="H78" s="10">
        <v>-132</v>
      </c>
      <c r="I78" s="9">
        <v>50.97</v>
      </c>
      <c r="J78" s="9">
        <v>94.02</v>
      </c>
      <c r="K78" s="10">
        <v>-84.29</v>
      </c>
      <c r="L78" s="10">
        <v>-65.78</v>
      </c>
      <c r="M78" s="10">
        <v>-56.57</v>
      </c>
      <c r="N78" s="9">
        <v>30.05</v>
      </c>
      <c r="O78" s="9">
        <v>118.07</v>
      </c>
      <c r="P78" s="9">
        <v>44.79</v>
      </c>
      <c r="Q78" s="10">
        <v>-41.3</v>
      </c>
      <c r="R78" s="10">
        <v>-73.760000000000005</v>
      </c>
      <c r="S78" s="9">
        <v>37.1</v>
      </c>
      <c r="T78" s="9">
        <v>109.49</v>
      </c>
      <c r="U78" s="9">
        <v>110.97</v>
      </c>
      <c r="V78" s="10">
        <v>-41.6</v>
      </c>
      <c r="W78" s="10">
        <v>-106.42</v>
      </c>
      <c r="X78" s="9">
        <v>34.950000000000003</v>
      </c>
      <c r="Y78" s="9">
        <v>92.51</v>
      </c>
      <c r="Z78" s="9">
        <v>105.86</v>
      </c>
      <c r="AA78" s="10">
        <v>-49.55</v>
      </c>
      <c r="AB78" s="10">
        <v>-115.2</v>
      </c>
      <c r="AC78" s="9">
        <v>27.11</v>
      </c>
      <c r="AD78" s="9">
        <v>82.72</v>
      </c>
      <c r="AE78" s="9">
        <v>93.3</v>
      </c>
    </row>
    <row r="79" spans="1:31" x14ac:dyDescent="0.25">
      <c r="A79" s="4" t="s">
        <v>408</v>
      </c>
      <c r="B79" s="9">
        <v>34696</v>
      </c>
      <c r="C79" s="9">
        <v>34646</v>
      </c>
      <c r="D79" s="9">
        <v>34470</v>
      </c>
      <c r="E79" s="9">
        <v>34496</v>
      </c>
      <c r="F79" s="9">
        <v>34496</v>
      </c>
      <c r="G79" s="9">
        <v>34369</v>
      </c>
      <c r="H79" s="9">
        <v>34237</v>
      </c>
      <c r="I79" s="9">
        <v>34285.160000000003</v>
      </c>
      <c r="J79" s="9">
        <v>34372.160000000003</v>
      </c>
      <c r="K79" s="9">
        <v>34372.160000000003</v>
      </c>
      <c r="L79" s="9">
        <v>34305.57</v>
      </c>
      <c r="M79" s="9">
        <v>34249</v>
      </c>
      <c r="N79" s="9">
        <v>34279.050000000003</v>
      </c>
      <c r="O79" s="9">
        <v>34397.129999999997</v>
      </c>
      <c r="P79" s="9">
        <v>34391.269999999997</v>
      </c>
      <c r="Q79" s="9">
        <v>34375.879999999997</v>
      </c>
      <c r="R79" s="9">
        <v>34302.129999999997</v>
      </c>
      <c r="S79" s="9">
        <v>34339.230000000003</v>
      </c>
      <c r="T79" s="9">
        <v>34448.720000000001</v>
      </c>
      <c r="U79" s="9">
        <v>34519.68</v>
      </c>
      <c r="V79" s="9">
        <v>34391.01</v>
      </c>
      <c r="W79" s="9">
        <v>34284.589999999997</v>
      </c>
      <c r="X79" s="9">
        <v>34319.54</v>
      </c>
      <c r="Y79" s="9">
        <v>34412.050000000003</v>
      </c>
      <c r="Z79" s="9">
        <v>34581.660000000003</v>
      </c>
      <c r="AA79" s="9">
        <v>34362.5</v>
      </c>
      <c r="AB79" s="9">
        <v>34247.300000000003</v>
      </c>
      <c r="AC79" s="9">
        <v>34274.410000000003</v>
      </c>
      <c r="AD79" s="9">
        <v>34357.120000000003</v>
      </c>
      <c r="AE79" s="9">
        <v>34629.96</v>
      </c>
    </row>
    <row r="80" spans="1:31" x14ac:dyDescent="0.25">
      <c r="A80" s="4" t="s">
        <v>407</v>
      </c>
      <c r="B80" s="9">
        <v>34772.5</v>
      </c>
      <c r="C80" s="9">
        <v>34671</v>
      </c>
      <c r="D80" s="9">
        <v>34558</v>
      </c>
      <c r="E80" s="9">
        <v>34483</v>
      </c>
      <c r="F80" s="9">
        <v>34672.5</v>
      </c>
      <c r="G80" s="9">
        <v>34432.5</v>
      </c>
      <c r="H80" s="9">
        <v>34303</v>
      </c>
      <c r="I80" s="9">
        <v>34261.08</v>
      </c>
      <c r="J80" s="9">
        <v>34328.660000000003</v>
      </c>
      <c r="K80" s="9">
        <v>34401.339999999997</v>
      </c>
      <c r="L80" s="9">
        <v>34338.46</v>
      </c>
      <c r="M80" s="9">
        <v>34277.279999999999</v>
      </c>
      <c r="N80" s="9">
        <v>34264.03</v>
      </c>
      <c r="O80" s="9">
        <v>34338.089999999997</v>
      </c>
      <c r="P80" s="9">
        <v>34370.9</v>
      </c>
      <c r="Q80" s="9">
        <v>34396.53</v>
      </c>
      <c r="R80" s="9">
        <v>34339.01</v>
      </c>
      <c r="S80" s="9">
        <v>34320.68</v>
      </c>
      <c r="T80" s="9">
        <v>34393.980000000003</v>
      </c>
      <c r="U80" s="9">
        <v>34470.120000000003</v>
      </c>
      <c r="V80" s="9">
        <v>34411.81</v>
      </c>
      <c r="W80" s="9">
        <v>34337.800000000003</v>
      </c>
      <c r="X80" s="9">
        <v>34302.07</v>
      </c>
      <c r="Y80" s="9">
        <v>34365.800000000003</v>
      </c>
      <c r="Z80" s="9">
        <v>34536.69</v>
      </c>
      <c r="AA80" s="9">
        <v>34387.279999999999</v>
      </c>
      <c r="AB80" s="9">
        <v>34304.9</v>
      </c>
      <c r="AC80" s="9">
        <v>34260.85</v>
      </c>
      <c r="AD80" s="9">
        <v>34315.769999999997</v>
      </c>
      <c r="AE80" s="9">
        <v>34592.21</v>
      </c>
    </row>
    <row r="81" spans="1:31" x14ac:dyDescent="0.25">
      <c r="A81" s="4" t="s">
        <v>406</v>
      </c>
      <c r="B81" s="9">
        <v>3.62</v>
      </c>
      <c r="C81" s="9">
        <v>3.63</v>
      </c>
      <c r="D81" s="9">
        <v>3.65</v>
      </c>
      <c r="E81" s="9">
        <v>3.67</v>
      </c>
      <c r="F81" s="9">
        <v>3.67</v>
      </c>
      <c r="G81" s="9">
        <v>3.68</v>
      </c>
      <c r="H81" s="9">
        <v>3.7</v>
      </c>
      <c r="I81" s="9">
        <v>3.7</v>
      </c>
      <c r="J81" s="9">
        <v>3.72</v>
      </c>
      <c r="K81" s="9">
        <v>3.71</v>
      </c>
      <c r="L81" s="9">
        <v>3.72</v>
      </c>
      <c r="M81" s="9">
        <v>3.73</v>
      </c>
      <c r="N81" s="9">
        <v>3.74</v>
      </c>
      <c r="O81" s="9">
        <v>3.75</v>
      </c>
      <c r="P81" s="9">
        <v>3.75</v>
      </c>
      <c r="Q81" s="9">
        <v>3.74</v>
      </c>
      <c r="R81" s="9">
        <v>3.75</v>
      </c>
      <c r="S81" s="9">
        <v>3.75</v>
      </c>
      <c r="T81" s="9">
        <v>3.76</v>
      </c>
      <c r="U81" s="9">
        <v>3.77</v>
      </c>
      <c r="V81" s="9">
        <v>3.77</v>
      </c>
      <c r="W81" s="9">
        <v>3.78</v>
      </c>
      <c r="X81" s="9">
        <v>3.78</v>
      </c>
      <c r="Y81" s="9">
        <v>3.79</v>
      </c>
      <c r="Z81" s="9">
        <v>3.8</v>
      </c>
      <c r="AA81" s="9">
        <v>3.79</v>
      </c>
      <c r="AB81" s="9">
        <v>3.8</v>
      </c>
      <c r="AC81" s="9">
        <v>3.8</v>
      </c>
      <c r="AD81" s="9">
        <v>3.82</v>
      </c>
      <c r="AE81" s="9">
        <v>3.82</v>
      </c>
    </row>
    <row r="82" spans="1:31" x14ac:dyDescent="0.25">
      <c r="A82" s="4" t="s">
        <v>405</v>
      </c>
      <c r="B82" s="9">
        <v>169.81</v>
      </c>
      <c r="C82" s="9">
        <v>170.79</v>
      </c>
      <c r="D82" s="9">
        <v>171.27</v>
      </c>
      <c r="E82" s="9">
        <v>170.61</v>
      </c>
      <c r="F82" s="9">
        <v>170.62</v>
      </c>
      <c r="G82" s="9">
        <v>166.66</v>
      </c>
      <c r="H82" s="9">
        <v>168.35</v>
      </c>
      <c r="I82" s="9">
        <v>170.73</v>
      </c>
      <c r="J82" s="9">
        <v>171.64</v>
      </c>
      <c r="K82" s="9">
        <v>169.31</v>
      </c>
      <c r="L82" s="9">
        <v>170.03</v>
      </c>
      <c r="M82" s="9">
        <v>170.49</v>
      </c>
      <c r="N82" s="9">
        <v>172.25</v>
      </c>
      <c r="O82" s="9">
        <v>173.18</v>
      </c>
      <c r="P82" s="9">
        <v>171.18</v>
      </c>
      <c r="Q82" s="9">
        <v>170.93</v>
      </c>
      <c r="R82" s="9">
        <v>171.02</v>
      </c>
      <c r="S82" s="9">
        <v>172.96</v>
      </c>
      <c r="T82" s="9">
        <v>173.98</v>
      </c>
      <c r="U82" s="9">
        <v>172.35</v>
      </c>
      <c r="V82" s="9">
        <v>172.32</v>
      </c>
      <c r="W82" s="9">
        <v>172.2</v>
      </c>
      <c r="X82" s="9">
        <v>174.19</v>
      </c>
      <c r="Y82" s="9">
        <v>175.37</v>
      </c>
      <c r="Z82" s="9">
        <v>173.79</v>
      </c>
      <c r="AA82" s="9">
        <v>173.56</v>
      </c>
      <c r="AB82" s="9">
        <v>173.34</v>
      </c>
      <c r="AC82" s="9">
        <v>175.33</v>
      </c>
      <c r="AD82" s="9">
        <v>176.56</v>
      </c>
      <c r="AE82" s="9">
        <v>175.09</v>
      </c>
    </row>
    <row r="83" spans="1:31" x14ac:dyDescent="0.25">
      <c r="A83" s="4" t="s">
        <v>76</v>
      </c>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row>
    <row r="84" spans="1:31" x14ac:dyDescent="0.25">
      <c r="A84" s="4" t="s">
        <v>404</v>
      </c>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row>
    <row r="85" spans="1:31" x14ac:dyDescent="0.25">
      <c r="A85" s="4" t="s">
        <v>403</v>
      </c>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row>
    <row r="86" spans="1:31" x14ac:dyDescent="0.25">
      <c r="A86" s="3" t="s">
        <v>402</v>
      </c>
      <c r="B86" s="9">
        <v>2250</v>
      </c>
      <c r="C86" s="9">
        <v>2250</v>
      </c>
      <c r="D86" s="9">
        <v>2250</v>
      </c>
      <c r="E86" s="9">
        <v>2250</v>
      </c>
      <c r="F86" s="9">
        <v>8625</v>
      </c>
      <c r="G86" s="9">
        <v>4500</v>
      </c>
      <c r="H86" s="9">
        <v>1750</v>
      </c>
      <c r="I86" s="9">
        <v>1750</v>
      </c>
      <c r="J86" s="9">
        <v>1750</v>
      </c>
      <c r="K86" s="9">
        <v>7000</v>
      </c>
      <c r="L86" s="9">
        <v>1625</v>
      </c>
      <c r="M86" s="9">
        <v>1625</v>
      </c>
      <c r="N86" s="9">
        <v>1625</v>
      </c>
      <c r="O86" s="9">
        <v>1625</v>
      </c>
      <c r="P86" s="9">
        <v>7500</v>
      </c>
      <c r="Q86" s="9">
        <v>1500</v>
      </c>
      <c r="R86" s="9">
        <v>1500</v>
      </c>
      <c r="S86" s="9">
        <v>1500</v>
      </c>
      <c r="T86" s="9">
        <v>1500</v>
      </c>
      <c r="U86" s="9">
        <v>6351.25</v>
      </c>
      <c r="V86" s="9">
        <v>1500</v>
      </c>
      <c r="W86" s="9">
        <v>1500</v>
      </c>
      <c r="X86" s="9">
        <v>1500</v>
      </c>
      <c r="Y86" s="9">
        <v>1500</v>
      </c>
      <c r="Z86" s="9">
        <v>5987.38</v>
      </c>
      <c r="AA86" s="9">
        <v>1500</v>
      </c>
      <c r="AB86" s="9">
        <v>1500</v>
      </c>
      <c r="AC86" s="9">
        <v>1500</v>
      </c>
      <c r="AD86" s="9">
        <v>1500</v>
      </c>
      <c r="AE86" s="9">
        <v>6007</v>
      </c>
    </row>
    <row r="87" spans="1:31" x14ac:dyDescent="0.25">
      <c r="A87" s="4" t="s">
        <v>401</v>
      </c>
      <c r="B87" s="9">
        <v>56500</v>
      </c>
      <c r="C87" s="9">
        <v>57850</v>
      </c>
      <c r="D87" s="9">
        <v>59200</v>
      </c>
      <c r="E87" s="9">
        <v>60550</v>
      </c>
      <c r="F87" s="9">
        <v>61708.33</v>
      </c>
      <c r="G87" s="9">
        <v>59312.5</v>
      </c>
      <c r="H87" s="9">
        <v>60187.5</v>
      </c>
      <c r="I87" s="9">
        <v>61500</v>
      </c>
      <c r="J87" s="9">
        <v>62812.5</v>
      </c>
      <c r="K87" s="9">
        <v>65250</v>
      </c>
      <c r="L87" s="9">
        <v>60500</v>
      </c>
      <c r="M87" s="9">
        <v>62125</v>
      </c>
      <c r="N87" s="9">
        <v>63750</v>
      </c>
      <c r="O87" s="9">
        <v>65375</v>
      </c>
      <c r="P87" s="9">
        <v>72750</v>
      </c>
      <c r="Q87" s="9">
        <v>75500</v>
      </c>
      <c r="R87" s="9">
        <v>77000</v>
      </c>
      <c r="S87" s="9">
        <v>78500</v>
      </c>
      <c r="T87" s="9">
        <v>80000</v>
      </c>
      <c r="U87" s="9">
        <v>83101.25</v>
      </c>
      <c r="V87" s="9">
        <v>81500</v>
      </c>
      <c r="W87" s="9">
        <v>83000</v>
      </c>
      <c r="X87" s="9">
        <v>84500</v>
      </c>
      <c r="Y87" s="9">
        <v>86000</v>
      </c>
      <c r="Z87" s="9">
        <v>87591.79</v>
      </c>
      <c r="AA87" s="9">
        <v>87500</v>
      </c>
      <c r="AB87" s="9">
        <v>89000</v>
      </c>
      <c r="AC87" s="9">
        <v>90500</v>
      </c>
      <c r="AD87" s="9">
        <v>92000</v>
      </c>
      <c r="AE87" s="9">
        <v>92097.04</v>
      </c>
    </row>
    <row r="88" spans="1:31" x14ac:dyDescent="0.25">
      <c r="A88" s="4" t="s">
        <v>76</v>
      </c>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row>
    <row r="89" spans="1:31" x14ac:dyDescent="0.25">
      <c r="A89" s="3" t="s">
        <v>400</v>
      </c>
      <c r="B89" s="9">
        <v>308</v>
      </c>
      <c r="C89" s="9">
        <v>278</v>
      </c>
      <c r="D89" s="9">
        <v>261</v>
      </c>
      <c r="E89" s="9">
        <v>319</v>
      </c>
      <c r="F89" s="9">
        <v>1166</v>
      </c>
      <c r="G89" s="9">
        <v>214</v>
      </c>
      <c r="H89" s="9">
        <v>193</v>
      </c>
      <c r="I89" s="9">
        <v>194.3</v>
      </c>
      <c r="J89" s="9">
        <v>215.11</v>
      </c>
      <c r="K89" s="9">
        <v>815.15</v>
      </c>
      <c r="L89" s="9">
        <v>185.92</v>
      </c>
      <c r="M89" s="9">
        <v>180.82</v>
      </c>
      <c r="N89" s="9">
        <v>182.93</v>
      </c>
      <c r="O89" s="9">
        <v>196.69</v>
      </c>
      <c r="P89" s="9">
        <v>785.74</v>
      </c>
      <c r="Q89" s="9">
        <v>160.09</v>
      </c>
      <c r="R89" s="9">
        <v>154.05000000000001</v>
      </c>
      <c r="S89" s="9">
        <v>155.6</v>
      </c>
      <c r="T89" s="9">
        <v>166.96</v>
      </c>
      <c r="U89" s="9">
        <v>719.27</v>
      </c>
      <c r="V89" s="9">
        <v>122.68</v>
      </c>
      <c r="W89" s="9">
        <v>120.39</v>
      </c>
      <c r="X89" s="9">
        <v>118.72</v>
      </c>
      <c r="Y89" s="9">
        <v>117.94</v>
      </c>
      <c r="Z89" s="9">
        <v>588.42999999999995</v>
      </c>
      <c r="AA89" s="9">
        <v>102.77</v>
      </c>
      <c r="AB89" s="9">
        <v>101.56</v>
      </c>
      <c r="AC89" s="9">
        <v>99.77</v>
      </c>
      <c r="AD89" s="9">
        <v>99.13</v>
      </c>
      <c r="AE89" s="9">
        <v>520.42999999999995</v>
      </c>
    </row>
    <row r="90" spans="1:31" x14ac:dyDescent="0.25">
      <c r="A90" s="3" t="s">
        <v>399</v>
      </c>
      <c r="B90" s="10">
        <v>-31</v>
      </c>
      <c r="C90" s="10">
        <v>-11</v>
      </c>
      <c r="D90" s="9">
        <v>18</v>
      </c>
      <c r="E90" s="9">
        <v>17</v>
      </c>
      <c r="F90" s="10">
        <v>-7</v>
      </c>
      <c r="G90" s="9">
        <v>65</v>
      </c>
      <c r="H90" s="9">
        <v>9</v>
      </c>
      <c r="I90" s="9">
        <v>43.1</v>
      </c>
      <c r="J90" s="9">
        <v>37.65</v>
      </c>
      <c r="K90" s="9">
        <v>78.819999999999993</v>
      </c>
      <c r="L90" s="9">
        <v>20.25</v>
      </c>
      <c r="M90" s="9">
        <v>23.55</v>
      </c>
      <c r="N90" s="9">
        <v>29.79</v>
      </c>
      <c r="O90" s="9">
        <v>24.39</v>
      </c>
      <c r="P90" s="9">
        <v>97.97</v>
      </c>
      <c r="Q90" s="9">
        <v>19.93</v>
      </c>
      <c r="R90" s="9">
        <v>23.14</v>
      </c>
      <c r="S90" s="9">
        <v>29.06</v>
      </c>
      <c r="T90" s="9">
        <v>23.7</v>
      </c>
      <c r="U90" s="9">
        <v>95.83</v>
      </c>
      <c r="V90" s="9">
        <v>12.13</v>
      </c>
      <c r="W90" s="9">
        <v>15.28</v>
      </c>
      <c r="X90" s="9">
        <v>20.9</v>
      </c>
      <c r="Y90" s="9">
        <v>15.58</v>
      </c>
      <c r="Z90" s="9">
        <v>63.89</v>
      </c>
      <c r="AA90" s="9">
        <v>4.37</v>
      </c>
      <c r="AB90" s="9">
        <v>7.45</v>
      </c>
      <c r="AC90" s="9">
        <v>12.81</v>
      </c>
      <c r="AD90" s="9">
        <v>7.52</v>
      </c>
      <c r="AE90" s="9">
        <v>32.159999999999997</v>
      </c>
    </row>
    <row r="91" spans="1:31" x14ac:dyDescent="0.25">
      <c r="A91" s="4" t="s">
        <v>398</v>
      </c>
      <c r="B91" s="9">
        <v>277</v>
      </c>
      <c r="C91" s="9">
        <v>267</v>
      </c>
      <c r="D91" s="9">
        <v>279</v>
      </c>
      <c r="E91" s="9">
        <v>336</v>
      </c>
      <c r="F91" s="9">
        <v>1159</v>
      </c>
      <c r="G91" s="9">
        <v>279</v>
      </c>
      <c r="H91" s="9">
        <v>202</v>
      </c>
      <c r="I91" s="9">
        <v>201.06</v>
      </c>
      <c r="J91" s="9">
        <v>235.46</v>
      </c>
      <c r="K91" s="9">
        <v>903.06</v>
      </c>
      <c r="L91" s="9">
        <v>190.54</v>
      </c>
      <c r="M91" s="9">
        <v>184.76</v>
      </c>
      <c r="N91" s="9">
        <v>189.16</v>
      </c>
      <c r="O91" s="9">
        <v>212.56</v>
      </c>
      <c r="P91" s="9">
        <v>805.59</v>
      </c>
      <c r="Q91" s="9">
        <v>165.79</v>
      </c>
      <c r="R91" s="9">
        <v>160.66</v>
      </c>
      <c r="S91" s="9">
        <v>163.9</v>
      </c>
      <c r="T91" s="9">
        <v>173.73</v>
      </c>
      <c r="U91" s="9">
        <v>741.89</v>
      </c>
      <c r="V91" s="9">
        <v>127.53</v>
      </c>
      <c r="W91" s="9">
        <v>126.51</v>
      </c>
      <c r="X91" s="9">
        <v>127.08</v>
      </c>
      <c r="Y91" s="9">
        <v>124.17</v>
      </c>
      <c r="Z91" s="9">
        <v>567.01</v>
      </c>
      <c r="AA91" s="9">
        <v>104.52</v>
      </c>
      <c r="AB91" s="9">
        <v>104.54</v>
      </c>
      <c r="AC91" s="9">
        <v>104.9</v>
      </c>
      <c r="AD91" s="9">
        <v>102.14</v>
      </c>
      <c r="AE91" s="9">
        <v>489.19</v>
      </c>
    </row>
    <row r="92" spans="1:31" x14ac:dyDescent="0.25">
      <c r="A92" s="3" t="s">
        <v>397</v>
      </c>
      <c r="B92" s="9">
        <v>4845</v>
      </c>
      <c r="C92" s="9">
        <v>5112</v>
      </c>
      <c r="D92" s="9">
        <v>5391</v>
      </c>
      <c r="E92" s="9">
        <v>5727</v>
      </c>
      <c r="F92" s="9">
        <v>5727</v>
      </c>
      <c r="G92" s="9">
        <v>6006</v>
      </c>
      <c r="H92" s="9">
        <v>6208</v>
      </c>
      <c r="I92" s="9">
        <v>6400.19</v>
      </c>
      <c r="J92" s="9">
        <v>6635.66</v>
      </c>
      <c r="K92" s="9">
        <v>6635.66</v>
      </c>
      <c r="L92" s="9">
        <v>6811.75</v>
      </c>
      <c r="M92" s="9">
        <v>6996.51</v>
      </c>
      <c r="N92" s="9">
        <v>7185.67</v>
      </c>
      <c r="O92" s="9">
        <v>7398.22</v>
      </c>
      <c r="P92" s="9">
        <v>7441.25</v>
      </c>
      <c r="Q92" s="9">
        <v>7495.17</v>
      </c>
      <c r="R92" s="9">
        <v>7655.84</v>
      </c>
      <c r="S92" s="9">
        <v>7819.74</v>
      </c>
      <c r="T92" s="9">
        <v>7993.47</v>
      </c>
      <c r="U92" s="9">
        <v>8172.4</v>
      </c>
      <c r="V92" s="9">
        <v>7963.46</v>
      </c>
      <c r="W92" s="9">
        <v>8089.96</v>
      </c>
      <c r="X92" s="9">
        <v>8217.0400000000009</v>
      </c>
      <c r="Y92" s="9">
        <v>8341.2099999999991</v>
      </c>
      <c r="Z92" s="9">
        <v>8700.33</v>
      </c>
      <c r="AA92" s="9">
        <v>8445.73</v>
      </c>
      <c r="AB92" s="9">
        <v>8550.27</v>
      </c>
      <c r="AC92" s="9">
        <v>8655.17</v>
      </c>
      <c r="AD92" s="9">
        <v>8757.2999999999993</v>
      </c>
      <c r="AE92" s="9">
        <v>9189.5300000000007</v>
      </c>
    </row>
    <row r="93" spans="1:31" x14ac:dyDescent="0.25">
      <c r="A93" s="4" t="s">
        <v>396</v>
      </c>
      <c r="B93" s="9">
        <v>4706.5</v>
      </c>
      <c r="C93" s="9">
        <v>4978.5</v>
      </c>
      <c r="D93" s="9">
        <v>5251.5</v>
      </c>
      <c r="E93" s="9">
        <v>5559</v>
      </c>
      <c r="F93" s="9">
        <v>5147.5</v>
      </c>
      <c r="G93" s="9">
        <v>5866.5</v>
      </c>
      <c r="H93" s="9">
        <v>6107</v>
      </c>
      <c r="I93" s="9">
        <v>6299.66</v>
      </c>
      <c r="J93" s="9">
        <v>6517.92</v>
      </c>
      <c r="K93" s="9">
        <v>6188.57</v>
      </c>
      <c r="L93" s="9">
        <v>6716.48</v>
      </c>
      <c r="M93" s="9">
        <v>6904.13</v>
      </c>
      <c r="N93" s="9">
        <v>7091.09</v>
      </c>
      <c r="O93" s="9">
        <v>7291.94</v>
      </c>
      <c r="P93" s="9">
        <v>7038.77</v>
      </c>
      <c r="Q93" s="9">
        <v>7412.28</v>
      </c>
      <c r="R93" s="9">
        <v>7575.5</v>
      </c>
      <c r="S93" s="9">
        <v>7737.79</v>
      </c>
      <c r="T93" s="9">
        <v>7906.6</v>
      </c>
      <c r="U93" s="9">
        <v>7801.79</v>
      </c>
      <c r="V93" s="9">
        <v>7899.69</v>
      </c>
      <c r="W93" s="9">
        <v>8026.71</v>
      </c>
      <c r="X93" s="9">
        <v>8153.5</v>
      </c>
      <c r="Y93" s="9">
        <v>8279.1299999999992</v>
      </c>
      <c r="Z93" s="9">
        <v>8417.2000000000007</v>
      </c>
      <c r="AA93" s="9">
        <v>8393.4699999999993</v>
      </c>
      <c r="AB93" s="9">
        <v>8498</v>
      </c>
      <c r="AC93" s="9">
        <v>8602.7199999999993</v>
      </c>
      <c r="AD93" s="9">
        <v>8706.23</v>
      </c>
      <c r="AE93" s="9">
        <v>8945.2800000000007</v>
      </c>
    </row>
    <row r="94" spans="1:31" x14ac:dyDescent="0.25">
      <c r="A94" s="3" t="s">
        <v>395</v>
      </c>
      <c r="B94" s="9">
        <v>47.31</v>
      </c>
      <c r="C94" s="9">
        <v>48.74</v>
      </c>
      <c r="D94" s="9">
        <v>48.11</v>
      </c>
      <c r="E94" s="9">
        <v>47.13</v>
      </c>
      <c r="F94" s="9">
        <v>47.82</v>
      </c>
      <c r="G94" s="9">
        <v>47.22</v>
      </c>
      <c r="H94" s="9">
        <v>47.86</v>
      </c>
      <c r="I94" s="9">
        <v>47.54</v>
      </c>
      <c r="J94" s="9">
        <v>47.06</v>
      </c>
      <c r="K94" s="9">
        <v>47.46</v>
      </c>
      <c r="L94" s="9">
        <v>48.06</v>
      </c>
      <c r="M94" s="9">
        <v>48.66</v>
      </c>
      <c r="N94" s="9">
        <v>48.43</v>
      </c>
      <c r="O94" s="9">
        <v>48.09</v>
      </c>
      <c r="P94" s="9">
        <v>47.7</v>
      </c>
      <c r="Q94" s="9">
        <v>48.39</v>
      </c>
      <c r="R94" s="9">
        <v>49.28</v>
      </c>
      <c r="S94" s="9">
        <v>48.94</v>
      </c>
      <c r="T94" s="9">
        <v>48.41</v>
      </c>
      <c r="U94" s="9">
        <v>47.94</v>
      </c>
      <c r="V94" s="9">
        <v>48.7</v>
      </c>
      <c r="W94" s="9">
        <v>49.59</v>
      </c>
      <c r="X94" s="9">
        <v>49.23</v>
      </c>
      <c r="Y94" s="9">
        <v>48.7</v>
      </c>
      <c r="Z94" s="9">
        <v>48.17</v>
      </c>
      <c r="AA94" s="9">
        <v>48.98</v>
      </c>
      <c r="AB94" s="9">
        <v>49.89</v>
      </c>
      <c r="AC94" s="9">
        <v>49.53</v>
      </c>
      <c r="AD94" s="9">
        <v>48.99</v>
      </c>
      <c r="AE94" s="9">
        <v>48.4</v>
      </c>
    </row>
    <row r="95" spans="1:31" x14ac:dyDescent="0.25">
      <c r="A95" s="4" t="s">
        <v>394</v>
      </c>
      <c r="B95" s="9">
        <v>668</v>
      </c>
      <c r="C95" s="9">
        <v>728</v>
      </c>
      <c r="D95" s="9">
        <v>758</v>
      </c>
      <c r="E95" s="9">
        <v>786</v>
      </c>
      <c r="F95" s="9">
        <v>2940</v>
      </c>
      <c r="G95" s="9">
        <v>831.36</v>
      </c>
      <c r="H95" s="9">
        <v>874.46</v>
      </c>
      <c r="I95" s="9">
        <v>896.21</v>
      </c>
      <c r="J95" s="9">
        <v>916.04</v>
      </c>
      <c r="K95" s="9">
        <v>3516.58</v>
      </c>
      <c r="L95" s="9">
        <v>953.92</v>
      </c>
      <c r="M95" s="9">
        <v>990.63</v>
      </c>
      <c r="N95" s="9">
        <v>1010.7</v>
      </c>
      <c r="O95" s="9">
        <v>1027.8399999999999</v>
      </c>
      <c r="P95" s="9">
        <v>4001.71</v>
      </c>
      <c r="Q95" s="9">
        <v>1041.8399999999999</v>
      </c>
      <c r="R95" s="9">
        <v>1081.75</v>
      </c>
      <c r="S95" s="9">
        <v>1094.25</v>
      </c>
      <c r="T95" s="9">
        <v>1102.07</v>
      </c>
      <c r="U95" s="9">
        <v>4461.45</v>
      </c>
      <c r="V95" s="9">
        <v>1126.54</v>
      </c>
      <c r="W95" s="9">
        <v>1163.99</v>
      </c>
      <c r="X95" s="9">
        <v>1171.69</v>
      </c>
      <c r="Y95" s="9">
        <v>1174.3699999999999</v>
      </c>
      <c r="Z95" s="9">
        <v>4873.71</v>
      </c>
      <c r="AA95" s="9">
        <v>1195.8800000000001</v>
      </c>
      <c r="AB95" s="9">
        <v>1231.94</v>
      </c>
      <c r="AC95" s="9">
        <v>1236.25</v>
      </c>
      <c r="AD95" s="9">
        <v>1235.32</v>
      </c>
      <c r="AE95" s="9">
        <v>5232.24</v>
      </c>
    </row>
    <row r="96" spans="1:31" x14ac:dyDescent="0.25">
      <c r="A96" s="4" t="s">
        <v>76</v>
      </c>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row>
    <row r="97" spans="1:31" x14ac:dyDescent="0.25">
      <c r="A97" s="3" t="s">
        <v>393</v>
      </c>
      <c r="B97" s="9">
        <v>5398</v>
      </c>
      <c r="C97" s="9">
        <v>6255</v>
      </c>
      <c r="D97" s="9">
        <v>5619</v>
      </c>
      <c r="E97" s="9">
        <v>8198</v>
      </c>
      <c r="F97" s="9">
        <v>25470</v>
      </c>
      <c r="G97" s="9">
        <v>5681</v>
      </c>
      <c r="H97" s="9">
        <v>5024</v>
      </c>
      <c r="I97" s="9">
        <v>5444.78</v>
      </c>
      <c r="J97" s="9">
        <v>7798.8</v>
      </c>
      <c r="K97" s="9">
        <v>23942.47</v>
      </c>
      <c r="L97" s="9">
        <v>5909.46</v>
      </c>
      <c r="M97" s="9">
        <v>5441.35</v>
      </c>
      <c r="N97" s="9">
        <v>5551.61</v>
      </c>
      <c r="O97" s="9">
        <v>7926.31</v>
      </c>
      <c r="P97" s="9">
        <v>24821.18</v>
      </c>
      <c r="Q97" s="9">
        <v>6063.63</v>
      </c>
      <c r="R97" s="9">
        <v>5735.04</v>
      </c>
      <c r="S97" s="9">
        <v>5643.93</v>
      </c>
      <c r="T97" s="9">
        <v>8158.98</v>
      </c>
      <c r="U97" s="9">
        <v>25342.68</v>
      </c>
      <c r="V97" s="9">
        <v>6123.01</v>
      </c>
      <c r="W97" s="9">
        <v>5460.13</v>
      </c>
      <c r="X97" s="9">
        <v>5526.68</v>
      </c>
      <c r="Y97" s="9">
        <v>7893.21</v>
      </c>
      <c r="Z97" s="9">
        <v>25100.87</v>
      </c>
      <c r="AA97" s="9">
        <v>6212.16</v>
      </c>
      <c r="AB97" s="9">
        <v>5537.56</v>
      </c>
      <c r="AC97" s="9">
        <v>5603.24</v>
      </c>
      <c r="AD97" s="9">
        <v>8006.64</v>
      </c>
      <c r="AE97" s="9">
        <v>25426.3</v>
      </c>
    </row>
    <row r="98" spans="1:31" x14ac:dyDescent="0.25">
      <c r="A98" s="3" t="s">
        <v>392</v>
      </c>
      <c r="B98" s="9">
        <v>7875.97</v>
      </c>
      <c r="C98" s="9">
        <v>9265.23</v>
      </c>
      <c r="D98" s="9">
        <v>8719.83</v>
      </c>
      <c r="E98" s="9">
        <v>11298.37</v>
      </c>
      <c r="F98" s="9">
        <v>37159.410000000003</v>
      </c>
      <c r="G98" s="9">
        <v>8340.5499999999993</v>
      </c>
      <c r="H98" s="9">
        <v>8134.79</v>
      </c>
      <c r="I98" s="9">
        <v>8361.67</v>
      </c>
      <c r="J98" s="9">
        <v>10582.33</v>
      </c>
      <c r="K98" s="9">
        <v>35419.339999999997</v>
      </c>
      <c r="L98" s="9">
        <v>8325.42</v>
      </c>
      <c r="M98" s="9">
        <v>8432.44</v>
      </c>
      <c r="N98" s="9">
        <v>8185.08</v>
      </c>
      <c r="O98" s="9">
        <v>10295.1</v>
      </c>
      <c r="P98" s="9">
        <v>35952.44</v>
      </c>
      <c r="Q98" s="9">
        <v>8207.92</v>
      </c>
      <c r="R98" s="9">
        <v>8426.66</v>
      </c>
      <c r="S98" s="9">
        <v>7851.96</v>
      </c>
      <c r="T98" s="9">
        <v>10034.5</v>
      </c>
      <c r="U98" s="9">
        <v>36266.31</v>
      </c>
      <c r="V98" s="9">
        <v>8461.8700000000008</v>
      </c>
      <c r="W98" s="9">
        <v>8156.09</v>
      </c>
      <c r="X98" s="9">
        <v>7827.73</v>
      </c>
      <c r="Y98" s="9">
        <v>9826.32</v>
      </c>
      <c r="Z98" s="9">
        <v>36794.51</v>
      </c>
      <c r="AA98" s="9">
        <v>8451.0400000000009</v>
      </c>
      <c r="AB98" s="9">
        <v>8141.52</v>
      </c>
      <c r="AC98" s="9">
        <v>7817.16</v>
      </c>
      <c r="AD98" s="9">
        <v>9811.0300000000007</v>
      </c>
      <c r="AE98" s="9">
        <v>37103.17</v>
      </c>
    </row>
    <row r="99" spans="1:31" x14ac:dyDescent="0.25">
      <c r="A99" s="3" t="s">
        <v>391</v>
      </c>
      <c r="B99" s="9">
        <v>4474</v>
      </c>
      <c r="C99" s="9">
        <v>4834</v>
      </c>
      <c r="D99" s="9">
        <v>4663</v>
      </c>
      <c r="E99" s="9">
        <v>5813</v>
      </c>
      <c r="F99" s="9">
        <v>19784</v>
      </c>
      <c r="G99" s="9">
        <v>4669.62</v>
      </c>
      <c r="H99" s="9">
        <v>4722.79</v>
      </c>
      <c r="I99" s="9">
        <v>4832.1099999999997</v>
      </c>
      <c r="J99" s="9">
        <v>5556.91</v>
      </c>
      <c r="K99" s="9">
        <v>19781.419999999998</v>
      </c>
      <c r="L99" s="9">
        <v>4553.54</v>
      </c>
      <c r="M99" s="9">
        <v>4668.47</v>
      </c>
      <c r="N99" s="9">
        <v>4623.03</v>
      </c>
      <c r="O99" s="9">
        <v>5383.42</v>
      </c>
      <c r="P99" s="9">
        <v>19955.98</v>
      </c>
      <c r="Q99" s="9">
        <v>4478.1899999999996</v>
      </c>
      <c r="R99" s="9">
        <v>4613.3900000000003</v>
      </c>
      <c r="S99" s="9">
        <v>4506.6499999999996</v>
      </c>
      <c r="T99" s="9">
        <v>5292.52</v>
      </c>
      <c r="U99" s="9">
        <v>20016.72</v>
      </c>
      <c r="V99" s="9">
        <v>4382.1400000000003</v>
      </c>
      <c r="W99" s="9">
        <v>4417.62</v>
      </c>
      <c r="X99" s="9">
        <v>4521.3100000000004</v>
      </c>
      <c r="Y99" s="9">
        <v>5133.2700000000004</v>
      </c>
      <c r="Z99" s="9">
        <v>20126.11</v>
      </c>
      <c r="AA99" s="9">
        <v>4369.2700000000004</v>
      </c>
      <c r="AB99" s="9">
        <v>4395.9399999999996</v>
      </c>
      <c r="AC99" s="9">
        <v>4501.45</v>
      </c>
      <c r="AD99" s="9">
        <v>5107.33</v>
      </c>
      <c r="AE99" s="9">
        <v>20275.73</v>
      </c>
    </row>
    <row r="100" spans="1:31" x14ac:dyDescent="0.25">
      <c r="A100" s="4" t="s">
        <v>390</v>
      </c>
      <c r="B100" s="9">
        <v>10039.08</v>
      </c>
      <c r="C100" s="9">
        <v>11438.66</v>
      </c>
      <c r="D100" s="9">
        <v>10938.43</v>
      </c>
      <c r="E100" s="9">
        <v>13556.26</v>
      </c>
      <c r="F100" s="9">
        <v>45975.46</v>
      </c>
      <c r="G100" s="9">
        <v>10444.02</v>
      </c>
      <c r="H100" s="9">
        <v>10366.6</v>
      </c>
      <c r="I100" s="9">
        <v>10553.76</v>
      </c>
      <c r="J100" s="9">
        <v>12831.12</v>
      </c>
      <c r="K100" s="9">
        <v>44209.7</v>
      </c>
      <c r="L100" s="9">
        <v>10517.71</v>
      </c>
      <c r="M100" s="9">
        <v>10767.11</v>
      </c>
      <c r="N100" s="9">
        <v>10236.629999999999</v>
      </c>
      <c r="O100" s="9">
        <v>12444.13</v>
      </c>
      <c r="P100" s="9">
        <v>44760.53</v>
      </c>
      <c r="Q100" s="9">
        <v>10528.27</v>
      </c>
      <c r="R100" s="9">
        <v>10758.63</v>
      </c>
      <c r="S100" s="9">
        <v>10179.17</v>
      </c>
      <c r="T100" s="9">
        <v>12440.1</v>
      </c>
      <c r="U100" s="9">
        <v>45021.26</v>
      </c>
      <c r="V100" s="9">
        <v>10716.12</v>
      </c>
      <c r="W100" s="9">
        <v>10431.969999999999</v>
      </c>
      <c r="X100" s="9">
        <v>10071.76</v>
      </c>
      <c r="Y100" s="9">
        <v>12162.96</v>
      </c>
      <c r="Z100" s="9">
        <v>45425.01</v>
      </c>
      <c r="AA100" s="9">
        <v>10698.63</v>
      </c>
      <c r="AB100" s="9">
        <v>10410.870000000001</v>
      </c>
      <c r="AC100" s="9">
        <v>10054.969999999999</v>
      </c>
      <c r="AD100" s="9">
        <v>12141.01</v>
      </c>
      <c r="AE100" s="9">
        <v>45763.7</v>
      </c>
    </row>
    <row r="101" spans="1:31" x14ac:dyDescent="0.25">
      <c r="A101" s="4" t="s">
        <v>389</v>
      </c>
      <c r="B101" s="9">
        <v>546.03</v>
      </c>
      <c r="C101" s="9">
        <v>554.96</v>
      </c>
      <c r="D101" s="9">
        <v>521.91</v>
      </c>
      <c r="E101" s="9">
        <v>612.24</v>
      </c>
      <c r="F101" s="9">
        <v>561.99</v>
      </c>
      <c r="G101" s="9">
        <v>559.6</v>
      </c>
      <c r="H101" s="9">
        <v>527.57000000000005</v>
      </c>
      <c r="I101" s="9">
        <v>539.63</v>
      </c>
      <c r="J101" s="9">
        <v>635.79</v>
      </c>
      <c r="K101" s="9">
        <v>569.42999999999995</v>
      </c>
      <c r="L101" s="9">
        <v>590.04999999999995</v>
      </c>
      <c r="M101" s="9">
        <v>574.41</v>
      </c>
      <c r="N101" s="9">
        <v>566.55999999999995</v>
      </c>
      <c r="O101" s="9">
        <v>689.84</v>
      </c>
      <c r="P101" s="9">
        <v>590.77</v>
      </c>
      <c r="Q101" s="9">
        <v>607.89</v>
      </c>
      <c r="R101" s="9">
        <v>594.36</v>
      </c>
      <c r="S101" s="9">
        <v>581.83000000000004</v>
      </c>
      <c r="T101" s="9">
        <v>717.75</v>
      </c>
      <c r="U101" s="9">
        <v>605.66</v>
      </c>
      <c r="V101" s="9">
        <v>598.54999999999995</v>
      </c>
      <c r="W101" s="9">
        <v>556.94000000000005</v>
      </c>
      <c r="X101" s="9">
        <v>578.62</v>
      </c>
      <c r="Y101" s="9">
        <v>685.87</v>
      </c>
      <c r="Z101" s="9">
        <v>591.55999999999995</v>
      </c>
      <c r="AA101" s="9">
        <v>611.94000000000005</v>
      </c>
      <c r="AB101" s="9">
        <v>569.44000000000005</v>
      </c>
      <c r="AC101" s="9">
        <v>591.61</v>
      </c>
      <c r="AD101" s="9">
        <v>701.28</v>
      </c>
      <c r="AE101" s="9">
        <v>601.64</v>
      </c>
    </row>
  </sheetData>
  <mergeCells count="1">
    <mergeCell ref="A1:D1"/>
  </mergeCell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2812-E782-4D2A-81BF-58ECBE00C4CD}">
  <dimension ref="A1:AE96"/>
  <sheetViews>
    <sheetView workbookViewId="0">
      <selection sqref="A1:D1"/>
    </sheetView>
  </sheetViews>
  <sheetFormatPr defaultRowHeight="15" x14ac:dyDescent="0.25"/>
  <cols>
    <col min="1" max="1" width="48.5703125" customWidth="1"/>
    <col min="2" max="5" width="18.42578125" customWidth="1"/>
    <col min="6" max="6" width="19.7109375" customWidth="1"/>
    <col min="7" max="8" width="18.42578125" customWidth="1"/>
    <col min="9" max="10" width="18" customWidth="1"/>
    <col min="11" max="11" width="20.5703125" customWidth="1"/>
    <col min="12" max="15" width="18" customWidth="1"/>
    <col min="16" max="16" width="20.5703125" customWidth="1"/>
    <col min="17" max="20" width="18" customWidth="1"/>
    <col min="21" max="21" width="20.5703125" customWidth="1"/>
    <col min="22" max="25" width="18" customWidth="1"/>
    <col min="26" max="26" width="20.5703125" customWidth="1"/>
    <col min="27" max="30" width="18" customWidth="1"/>
    <col min="31" max="31" width="20.5703125" customWidth="1"/>
  </cols>
  <sheetData>
    <row r="1" spans="1:31" ht="39.950000000000003" customHeight="1" x14ac:dyDescent="0.25">
      <c r="A1" s="40"/>
      <c r="B1" s="40"/>
      <c r="C1" s="40"/>
      <c r="D1" s="40"/>
    </row>
    <row r="2" spans="1:31" ht="30" customHeight="1" x14ac:dyDescent="0.3">
      <c r="A2" s="1" t="s">
        <v>388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19</v>
      </c>
      <c r="C15" s="7">
        <v>19</v>
      </c>
      <c r="D15" s="7">
        <v>19</v>
      </c>
      <c r="E15" s="7">
        <v>19</v>
      </c>
      <c r="F15" s="7">
        <v>20</v>
      </c>
      <c r="G15" s="7">
        <v>20</v>
      </c>
      <c r="H15" s="7">
        <v>20</v>
      </c>
      <c r="I15" s="8" t="s">
        <v>40</v>
      </c>
      <c r="J15" s="8" t="s">
        <v>40</v>
      </c>
      <c r="K15" s="8" t="s">
        <v>40</v>
      </c>
      <c r="L15" s="8" t="s">
        <v>41</v>
      </c>
      <c r="M15" s="8" t="s">
        <v>41</v>
      </c>
      <c r="N15" s="8" t="s">
        <v>42</v>
      </c>
      <c r="O15" s="8" t="s">
        <v>42</v>
      </c>
      <c r="P15" s="8" t="s">
        <v>40</v>
      </c>
      <c r="Q15" s="8" t="s">
        <v>43</v>
      </c>
      <c r="R15" s="8" t="s">
        <v>43</v>
      </c>
      <c r="S15" s="8" t="s">
        <v>43</v>
      </c>
      <c r="T15" s="8" t="s">
        <v>43</v>
      </c>
      <c r="U15" s="8" t="s">
        <v>44</v>
      </c>
      <c r="V15" s="8" t="s">
        <v>45</v>
      </c>
      <c r="W15" s="8" t="s">
        <v>45</v>
      </c>
      <c r="X15" s="8" t="s">
        <v>45</v>
      </c>
      <c r="Y15" s="8" t="s">
        <v>45</v>
      </c>
      <c r="Z15" s="8" t="s">
        <v>46</v>
      </c>
      <c r="AA15" s="8" t="s">
        <v>45</v>
      </c>
      <c r="AB15" s="8" t="s">
        <v>45</v>
      </c>
      <c r="AC15" s="8" t="s">
        <v>45</v>
      </c>
      <c r="AD15" s="8" t="s">
        <v>45</v>
      </c>
      <c r="AE15" s="8" t="s">
        <v>46</v>
      </c>
    </row>
    <row r="16" spans="1:31" x14ac:dyDescent="0.25">
      <c r="A16" s="4" t="s">
        <v>387</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25">
      <c r="A17" s="3" t="s">
        <v>386</v>
      </c>
      <c r="B17" s="9">
        <v>30819</v>
      </c>
      <c r="C17" s="9">
        <v>30890</v>
      </c>
      <c r="D17" s="9">
        <v>30947</v>
      </c>
      <c r="E17" s="9">
        <v>31043</v>
      </c>
      <c r="F17" s="9">
        <v>30819</v>
      </c>
      <c r="G17" s="9">
        <v>31027</v>
      </c>
      <c r="H17" s="9">
        <v>31052.36</v>
      </c>
      <c r="I17" s="9">
        <v>31127.78</v>
      </c>
      <c r="J17" s="9">
        <v>31261.759999999998</v>
      </c>
      <c r="K17" s="9">
        <v>31027</v>
      </c>
      <c r="L17" s="9">
        <v>31469.33</v>
      </c>
      <c r="M17" s="9">
        <v>31553.03</v>
      </c>
      <c r="N17" s="9">
        <v>31650.15</v>
      </c>
      <c r="O17" s="9">
        <v>31768.76</v>
      </c>
      <c r="P17" s="9">
        <v>31409.279999999999</v>
      </c>
      <c r="Q17" s="9">
        <v>31858.7</v>
      </c>
      <c r="R17" s="9">
        <v>31936.400000000001</v>
      </c>
      <c r="S17" s="9">
        <v>32049.040000000001</v>
      </c>
      <c r="T17" s="9">
        <v>32166.38</v>
      </c>
      <c r="U17" s="9">
        <v>31804.28</v>
      </c>
      <c r="V17" s="9">
        <v>32323.84</v>
      </c>
      <c r="W17" s="9">
        <v>32406.59</v>
      </c>
      <c r="X17" s="9">
        <v>32518.2</v>
      </c>
      <c r="Y17" s="9">
        <v>32627.279999999999</v>
      </c>
      <c r="Z17" s="9">
        <v>32237.279999999999</v>
      </c>
      <c r="AA17" s="9">
        <v>32706.48</v>
      </c>
      <c r="AB17" s="9">
        <v>32788.44</v>
      </c>
      <c r="AC17" s="9">
        <v>32897.18</v>
      </c>
      <c r="AD17" s="9">
        <v>33000.35</v>
      </c>
      <c r="AE17" s="9">
        <v>32677.95</v>
      </c>
    </row>
    <row r="18" spans="1:31" x14ac:dyDescent="0.25">
      <c r="A18" s="3" t="s">
        <v>385</v>
      </c>
      <c r="B18" s="9">
        <v>1504</v>
      </c>
      <c r="C18" s="9">
        <v>1557</v>
      </c>
      <c r="D18" s="9">
        <v>1559</v>
      </c>
      <c r="E18" s="9">
        <v>1534</v>
      </c>
      <c r="F18" s="9">
        <v>6154</v>
      </c>
      <c r="G18" s="9">
        <v>1483.88</v>
      </c>
      <c r="H18" s="9">
        <v>1521.96</v>
      </c>
      <c r="I18" s="9">
        <v>1549.79</v>
      </c>
      <c r="J18" s="9">
        <v>1571.8</v>
      </c>
      <c r="K18" s="9">
        <v>6135.27</v>
      </c>
      <c r="L18" s="9">
        <v>1505.8</v>
      </c>
      <c r="M18" s="9">
        <v>1503.46</v>
      </c>
      <c r="N18" s="9">
        <v>1532.41</v>
      </c>
      <c r="O18" s="9">
        <v>1535.37</v>
      </c>
      <c r="P18" s="9">
        <v>6135.26</v>
      </c>
      <c r="Q18" s="9">
        <v>1506.22</v>
      </c>
      <c r="R18" s="9">
        <v>1516.14</v>
      </c>
      <c r="S18" s="9">
        <v>1540.79</v>
      </c>
      <c r="T18" s="9">
        <v>1504.89</v>
      </c>
      <c r="U18" s="9">
        <v>6208.91</v>
      </c>
      <c r="V18" s="9">
        <v>1517.4</v>
      </c>
      <c r="W18" s="9">
        <v>1477.57</v>
      </c>
      <c r="X18" s="9">
        <v>1521.03</v>
      </c>
      <c r="Y18" s="9">
        <v>1528.07</v>
      </c>
      <c r="Z18" s="9">
        <v>6297.36</v>
      </c>
      <c r="AA18" s="9">
        <v>1526.41</v>
      </c>
      <c r="AB18" s="9">
        <v>1482.82</v>
      </c>
      <c r="AC18" s="9">
        <v>1524.54</v>
      </c>
      <c r="AD18" s="9">
        <v>1533.64</v>
      </c>
      <c r="AE18" s="9">
        <v>6356.79</v>
      </c>
    </row>
    <row r="19" spans="1:31" x14ac:dyDescent="0.25">
      <c r="A19" s="3" t="s">
        <v>384</v>
      </c>
      <c r="B19" s="9">
        <v>1406.97</v>
      </c>
      <c r="C19" s="9">
        <v>1493.36</v>
      </c>
      <c r="D19" s="9">
        <v>1450.57</v>
      </c>
      <c r="E19" s="9">
        <v>1526.92</v>
      </c>
      <c r="F19" s="9">
        <v>5874</v>
      </c>
      <c r="G19" s="9">
        <v>1442.21</v>
      </c>
      <c r="H19" s="9">
        <v>1412.16</v>
      </c>
      <c r="I19" s="9">
        <v>1416.45</v>
      </c>
      <c r="J19" s="9">
        <v>1424.79</v>
      </c>
      <c r="K19" s="9">
        <v>5699.76</v>
      </c>
      <c r="L19" s="9">
        <v>1422.38</v>
      </c>
      <c r="M19" s="9">
        <v>1407.07</v>
      </c>
      <c r="N19" s="9">
        <v>1414.37</v>
      </c>
      <c r="O19" s="9">
        <v>1422.14</v>
      </c>
      <c r="P19" s="9">
        <v>5710.07</v>
      </c>
      <c r="Q19" s="9">
        <v>1428.99</v>
      </c>
      <c r="R19" s="9">
        <v>1404.62</v>
      </c>
      <c r="S19" s="9">
        <v>1424.29</v>
      </c>
      <c r="T19" s="9">
        <v>1447.37</v>
      </c>
      <c r="U19" s="9">
        <v>5812.05</v>
      </c>
      <c r="V19" s="9">
        <v>1434.58</v>
      </c>
      <c r="W19" s="9">
        <v>1366.5</v>
      </c>
      <c r="X19" s="9">
        <v>1412.25</v>
      </c>
      <c r="Y19" s="9">
        <v>1448.94</v>
      </c>
      <c r="Z19" s="9">
        <v>5863.86</v>
      </c>
      <c r="AA19" s="9">
        <v>1444.43</v>
      </c>
      <c r="AB19" s="9">
        <v>1374.61</v>
      </c>
      <c r="AC19" s="9">
        <v>1421.59</v>
      </c>
      <c r="AD19" s="9">
        <v>1458.44</v>
      </c>
      <c r="AE19" s="9">
        <v>5920.77</v>
      </c>
    </row>
    <row r="20" spans="1:31" x14ac:dyDescent="0.25">
      <c r="A20" s="3" t="s">
        <v>383</v>
      </c>
      <c r="B20" s="8" t="s">
        <v>179</v>
      </c>
      <c r="C20" s="8" t="s">
        <v>173</v>
      </c>
      <c r="D20" s="8" t="s">
        <v>184</v>
      </c>
      <c r="E20" s="8" t="s">
        <v>351</v>
      </c>
      <c r="F20" s="8" t="s">
        <v>172</v>
      </c>
      <c r="G20" s="8" t="s">
        <v>178</v>
      </c>
      <c r="H20" s="8" t="s">
        <v>179</v>
      </c>
      <c r="I20" s="8" t="s">
        <v>179</v>
      </c>
      <c r="J20" s="8" t="s">
        <v>179</v>
      </c>
      <c r="K20" s="8" t="s">
        <v>179</v>
      </c>
      <c r="L20" s="8" t="s">
        <v>176</v>
      </c>
      <c r="M20" s="8" t="s">
        <v>382</v>
      </c>
      <c r="N20" s="8" t="s">
        <v>382</v>
      </c>
      <c r="O20" s="8" t="s">
        <v>382</v>
      </c>
      <c r="P20" s="8" t="s">
        <v>176</v>
      </c>
      <c r="Q20" s="8" t="s">
        <v>382</v>
      </c>
      <c r="R20" s="8" t="s">
        <v>182</v>
      </c>
      <c r="S20" s="8" t="s">
        <v>378</v>
      </c>
      <c r="T20" s="8" t="s">
        <v>177</v>
      </c>
      <c r="U20" s="8" t="s">
        <v>179</v>
      </c>
      <c r="V20" s="8" t="s">
        <v>378</v>
      </c>
      <c r="W20" s="8" t="s">
        <v>381</v>
      </c>
      <c r="X20" s="8" t="s">
        <v>180</v>
      </c>
      <c r="Y20" s="8" t="s">
        <v>378</v>
      </c>
      <c r="Z20" s="8" t="s">
        <v>176</v>
      </c>
      <c r="AA20" s="8" t="s">
        <v>182</v>
      </c>
      <c r="AB20" s="8" t="s">
        <v>380</v>
      </c>
      <c r="AC20" s="8" t="s">
        <v>379</v>
      </c>
      <c r="AD20" s="8" t="s">
        <v>378</v>
      </c>
      <c r="AE20" s="8" t="s">
        <v>177</v>
      </c>
    </row>
    <row r="21" spans="1:31" x14ac:dyDescent="0.25">
      <c r="A21" s="4" t="s">
        <v>377</v>
      </c>
      <c r="B21" s="9">
        <v>94</v>
      </c>
      <c r="C21" s="9">
        <v>65</v>
      </c>
      <c r="D21" s="9">
        <v>110</v>
      </c>
      <c r="E21" s="9">
        <v>11</v>
      </c>
      <c r="F21" s="9">
        <v>280</v>
      </c>
      <c r="G21" s="9">
        <v>74.760000000000005</v>
      </c>
      <c r="H21" s="9">
        <v>102.84</v>
      </c>
      <c r="I21" s="9">
        <v>133.97999999999999</v>
      </c>
      <c r="J21" s="9">
        <v>147.52000000000001</v>
      </c>
      <c r="K21" s="9">
        <v>433.53</v>
      </c>
      <c r="L21" s="9">
        <v>83.7</v>
      </c>
      <c r="M21" s="9">
        <v>97.13</v>
      </c>
      <c r="N21" s="9">
        <v>118.61</v>
      </c>
      <c r="O21" s="9">
        <v>113.75</v>
      </c>
      <c r="P21" s="9">
        <v>430.95</v>
      </c>
      <c r="Q21" s="9">
        <v>77.7</v>
      </c>
      <c r="R21" s="9">
        <v>112.64</v>
      </c>
      <c r="S21" s="9">
        <v>117.34</v>
      </c>
      <c r="T21" s="9">
        <v>58.32</v>
      </c>
      <c r="U21" s="9">
        <v>403.68</v>
      </c>
      <c r="V21" s="9">
        <v>82.75</v>
      </c>
      <c r="W21" s="9">
        <v>111.61</v>
      </c>
      <c r="X21" s="9">
        <v>109.08</v>
      </c>
      <c r="Y21" s="9">
        <v>79.2</v>
      </c>
      <c r="Z21" s="9">
        <v>440.67</v>
      </c>
      <c r="AA21" s="9">
        <v>81.96</v>
      </c>
      <c r="AB21" s="9">
        <v>108.74</v>
      </c>
      <c r="AC21" s="9">
        <v>103.17</v>
      </c>
      <c r="AD21" s="9">
        <v>75.25</v>
      </c>
      <c r="AE21" s="9">
        <v>443.6</v>
      </c>
    </row>
    <row r="22" spans="1:31" x14ac:dyDescent="0.25">
      <c r="A22" s="3" t="s">
        <v>376</v>
      </c>
      <c r="B22" s="10">
        <v>-23</v>
      </c>
      <c r="C22" s="10">
        <v>-8</v>
      </c>
      <c r="D22" s="10">
        <v>-14</v>
      </c>
      <c r="E22" s="10">
        <v>-27</v>
      </c>
      <c r="F22" s="10">
        <v>-72</v>
      </c>
      <c r="G22" s="10">
        <v>-5</v>
      </c>
      <c r="H22" s="10">
        <v>-217</v>
      </c>
      <c r="I22" s="8" t="s">
        <v>66</v>
      </c>
      <c r="J22" s="8" t="s">
        <v>66</v>
      </c>
      <c r="K22" s="10">
        <v>-222</v>
      </c>
      <c r="L22" s="8" t="s">
        <v>66</v>
      </c>
      <c r="M22" s="8" t="s">
        <v>66</v>
      </c>
      <c r="N22" s="8" t="s">
        <v>66</v>
      </c>
      <c r="O22" s="8" t="s">
        <v>66</v>
      </c>
      <c r="P22" s="8" t="s">
        <v>66</v>
      </c>
      <c r="Q22" s="8" t="s">
        <v>66</v>
      </c>
      <c r="R22" s="8" t="s">
        <v>66</v>
      </c>
      <c r="S22" s="8" t="s">
        <v>66</v>
      </c>
      <c r="T22" s="8" t="s">
        <v>66</v>
      </c>
      <c r="U22" s="8" t="s">
        <v>66</v>
      </c>
      <c r="V22" s="8" t="s">
        <v>66</v>
      </c>
      <c r="W22" s="8" t="s">
        <v>66</v>
      </c>
      <c r="X22" s="8" t="s">
        <v>66</v>
      </c>
      <c r="Y22" s="8" t="s">
        <v>66</v>
      </c>
      <c r="Z22" s="8" t="s">
        <v>66</v>
      </c>
      <c r="AA22" s="8" t="s">
        <v>66</v>
      </c>
      <c r="AB22" s="8" t="s">
        <v>66</v>
      </c>
      <c r="AC22" s="8" t="s">
        <v>66</v>
      </c>
      <c r="AD22" s="8" t="s">
        <v>66</v>
      </c>
      <c r="AE22" s="8" t="s">
        <v>66</v>
      </c>
    </row>
    <row r="23" spans="1:31" x14ac:dyDescent="0.25">
      <c r="A23" s="4" t="s">
        <v>375</v>
      </c>
      <c r="B23" s="9">
        <v>71</v>
      </c>
      <c r="C23" s="9">
        <v>57</v>
      </c>
      <c r="D23" s="9">
        <v>96</v>
      </c>
      <c r="E23" s="10">
        <v>-16</v>
      </c>
      <c r="F23" s="9">
        <v>208</v>
      </c>
      <c r="G23" s="9">
        <v>73.760000000000005</v>
      </c>
      <c r="H23" s="9">
        <v>63.39</v>
      </c>
      <c r="I23" s="9">
        <v>133.97999999999999</v>
      </c>
      <c r="J23" s="9">
        <v>147.52000000000001</v>
      </c>
      <c r="K23" s="9">
        <v>396.53</v>
      </c>
      <c r="L23" s="9">
        <v>83.7</v>
      </c>
      <c r="M23" s="9">
        <v>97.13</v>
      </c>
      <c r="N23" s="9">
        <v>118.61</v>
      </c>
      <c r="O23" s="9">
        <v>113.75</v>
      </c>
      <c r="P23" s="9">
        <v>430.95</v>
      </c>
      <c r="Q23" s="9">
        <v>77.7</v>
      </c>
      <c r="R23" s="9">
        <v>112.64</v>
      </c>
      <c r="S23" s="9">
        <v>117.34</v>
      </c>
      <c r="T23" s="9">
        <v>58.32</v>
      </c>
      <c r="U23" s="9">
        <v>403.68</v>
      </c>
      <c r="V23" s="9">
        <v>82.75</v>
      </c>
      <c r="W23" s="9">
        <v>111.61</v>
      </c>
      <c r="X23" s="9">
        <v>109.08</v>
      </c>
      <c r="Y23" s="9">
        <v>79.2</v>
      </c>
      <c r="Z23" s="9">
        <v>440.67</v>
      </c>
      <c r="AA23" s="9">
        <v>81.96</v>
      </c>
      <c r="AB23" s="9">
        <v>108.74</v>
      </c>
      <c r="AC23" s="9">
        <v>103.17</v>
      </c>
      <c r="AD23" s="9">
        <v>75.25</v>
      </c>
      <c r="AE23" s="9">
        <v>443.6</v>
      </c>
    </row>
    <row r="24" spans="1:31" x14ac:dyDescent="0.25">
      <c r="A24" s="3" t="s">
        <v>374</v>
      </c>
      <c r="B24" s="9">
        <v>30890</v>
      </c>
      <c r="C24" s="9">
        <v>30947</v>
      </c>
      <c r="D24" s="9">
        <v>31043</v>
      </c>
      <c r="E24" s="9">
        <v>31027</v>
      </c>
      <c r="F24" s="9">
        <v>31027</v>
      </c>
      <c r="G24" s="9">
        <v>31067.91</v>
      </c>
      <c r="H24" s="9">
        <v>31115.75</v>
      </c>
      <c r="I24" s="9">
        <v>31261.759999999998</v>
      </c>
      <c r="J24" s="9">
        <v>31409.279999999999</v>
      </c>
      <c r="K24" s="9">
        <v>31409.279999999999</v>
      </c>
      <c r="L24" s="9">
        <v>31553.03</v>
      </c>
      <c r="M24" s="9">
        <v>31650.15</v>
      </c>
      <c r="N24" s="9">
        <v>31768.76</v>
      </c>
      <c r="O24" s="9">
        <v>31882.51</v>
      </c>
      <c r="P24" s="9">
        <v>31840.23</v>
      </c>
      <c r="Q24" s="9">
        <v>31936.400000000001</v>
      </c>
      <c r="R24" s="9">
        <v>32049.040000000001</v>
      </c>
      <c r="S24" s="9">
        <v>32166.38</v>
      </c>
      <c r="T24" s="9">
        <v>32224.7</v>
      </c>
      <c r="U24" s="9">
        <v>32207.96</v>
      </c>
      <c r="V24" s="9">
        <v>32406.59</v>
      </c>
      <c r="W24" s="9">
        <v>32518.2</v>
      </c>
      <c r="X24" s="9">
        <v>32627.279999999999</v>
      </c>
      <c r="Y24" s="9">
        <v>32706.48</v>
      </c>
      <c r="Z24" s="9">
        <v>32677.95</v>
      </c>
      <c r="AA24" s="9">
        <v>32788.44</v>
      </c>
      <c r="AB24" s="9">
        <v>32897.18</v>
      </c>
      <c r="AC24" s="9">
        <v>33000.35</v>
      </c>
      <c r="AD24" s="9">
        <v>33075.599999999999</v>
      </c>
      <c r="AE24" s="9">
        <v>33121.550000000003</v>
      </c>
    </row>
    <row r="25" spans="1:31" x14ac:dyDescent="0.25">
      <c r="A25" s="4" t="s">
        <v>373</v>
      </c>
      <c r="B25" s="9">
        <v>30854.5</v>
      </c>
      <c r="C25" s="9">
        <v>30918.5</v>
      </c>
      <c r="D25" s="9">
        <v>30995</v>
      </c>
      <c r="E25" s="9">
        <v>31035</v>
      </c>
      <c r="F25" s="9">
        <v>30923</v>
      </c>
      <c r="G25" s="9">
        <v>31047.45</v>
      </c>
      <c r="H25" s="9">
        <v>31131.46</v>
      </c>
      <c r="I25" s="9">
        <v>31231.49</v>
      </c>
      <c r="J25" s="9">
        <v>31365</v>
      </c>
      <c r="K25" s="9">
        <v>31224.9</v>
      </c>
      <c r="L25" s="9">
        <v>31511.18</v>
      </c>
      <c r="M25" s="9">
        <v>31601.59</v>
      </c>
      <c r="N25" s="9">
        <v>31709.46</v>
      </c>
      <c r="O25" s="9">
        <v>31825.63</v>
      </c>
      <c r="P25" s="9">
        <v>31653.56</v>
      </c>
      <c r="Q25" s="9">
        <v>31897.55</v>
      </c>
      <c r="R25" s="9">
        <v>31992.720000000001</v>
      </c>
      <c r="S25" s="9">
        <v>32107.71</v>
      </c>
      <c r="T25" s="9">
        <v>32195.54</v>
      </c>
      <c r="U25" s="9">
        <v>32038.2</v>
      </c>
      <c r="V25" s="9">
        <v>32365.22</v>
      </c>
      <c r="W25" s="9">
        <v>32462.400000000001</v>
      </c>
      <c r="X25" s="9">
        <v>32572.74</v>
      </c>
      <c r="Y25" s="9">
        <v>32666.880000000001</v>
      </c>
      <c r="Z25" s="9">
        <v>32497.47</v>
      </c>
      <c r="AA25" s="9">
        <v>32747.46</v>
      </c>
      <c r="AB25" s="9">
        <v>32842.81</v>
      </c>
      <c r="AC25" s="9">
        <v>32948.76</v>
      </c>
      <c r="AD25" s="9">
        <v>33037.97</v>
      </c>
      <c r="AE25" s="9">
        <v>32940.129999999997</v>
      </c>
    </row>
    <row r="26" spans="1:31" x14ac:dyDescent="0.25">
      <c r="A26" s="3" t="s">
        <v>372</v>
      </c>
      <c r="B26" s="9">
        <v>38.51</v>
      </c>
      <c r="C26" s="9">
        <v>38.590000000000003</v>
      </c>
      <c r="D26" s="9">
        <v>38.590000000000003</v>
      </c>
      <c r="E26" s="9">
        <v>38.549999999999997</v>
      </c>
      <c r="F26" s="9">
        <v>38.56</v>
      </c>
      <c r="G26" s="9">
        <v>38.090000000000003</v>
      </c>
      <c r="H26" s="9">
        <v>37.950000000000003</v>
      </c>
      <c r="I26" s="9">
        <v>38.1</v>
      </c>
      <c r="J26" s="9">
        <v>38.06</v>
      </c>
      <c r="K26" s="9">
        <v>38.07</v>
      </c>
      <c r="L26" s="9">
        <v>37.909999999999997</v>
      </c>
      <c r="M26" s="9">
        <v>37.75</v>
      </c>
      <c r="N26" s="9">
        <v>37.909999999999997</v>
      </c>
      <c r="O26" s="9">
        <v>38.090000000000003</v>
      </c>
      <c r="P26" s="9">
        <v>37.92</v>
      </c>
      <c r="Q26" s="9">
        <v>37.69</v>
      </c>
      <c r="R26" s="9">
        <v>37.159999999999997</v>
      </c>
      <c r="S26" s="9">
        <v>37.26</v>
      </c>
      <c r="T26" s="9">
        <v>37.46</v>
      </c>
      <c r="U26" s="9">
        <v>37.43</v>
      </c>
      <c r="V26" s="9">
        <v>37</v>
      </c>
      <c r="W26" s="9">
        <v>35.81</v>
      </c>
      <c r="X26" s="9">
        <v>36.04</v>
      </c>
      <c r="Y26" s="9">
        <v>36.46</v>
      </c>
      <c r="Z26" s="9">
        <v>37.03</v>
      </c>
      <c r="AA26" s="9">
        <v>36.75</v>
      </c>
      <c r="AB26" s="9">
        <v>35.39</v>
      </c>
      <c r="AC26" s="9">
        <v>35.619999999999997</v>
      </c>
      <c r="AD26" s="9">
        <v>36.090000000000003</v>
      </c>
      <c r="AE26" s="9">
        <v>36.799999999999997</v>
      </c>
    </row>
    <row r="27" spans="1:31" x14ac:dyDescent="0.25">
      <c r="A27" s="4" t="s">
        <v>371</v>
      </c>
      <c r="B27" s="9">
        <v>3565</v>
      </c>
      <c r="C27" s="9">
        <v>3579</v>
      </c>
      <c r="D27" s="9">
        <v>3588</v>
      </c>
      <c r="E27" s="9">
        <v>3589</v>
      </c>
      <c r="F27" s="9">
        <v>14321</v>
      </c>
      <c r="G27" s="9">
        <v>3541.58</v>
      </c>
      <c r="H27" s="9">
        <v>3544.35</v>
      </c>
      <c r="I27" s="9">
        <v>3569.7</v>
      </c>
      <c r="J27" s="9">
        <v>3581.78</v>
      </c>
      <c r="K27" s="9">
        <v>14255.95</v>
      </c>
      <c r="L27" s="9">
        <v>3583.86</v>
      </c>
      <c r="M27" s="9">
        <v>3578.18</v>
      </c>
      <c r="N27" s="9">
        <v>3605.67</v>
      </c>
      <c r="O27" s="9">
        <v>3636.55</v>
      </c>
      <c r="P27" s="9">
        <v>14408.88</v>
      </c>
      <c r="Q27" s="9">
        <v>3605.43</v>
      </c>
      <c r="R27" s="9">
        <v>3564.62</v>
      </c>
      <c r="S27" s="9">
        <v>3587.2</v>
      </c>
      <c r="T27" s="9">
        <v>3616.2</v>
      </c>
      <c r="U27" s="9">
        <v>14499.75</v>
      </c>
      <c r="V27" s="9">
        <v>3589.07</v>
      </c>
      <c r="W27" s="9">
        <v>3480.94</v>
      </c>
      <c r="X27" s="9">
        <v>3515.2</v>
      </c>
      <c r="Y27" s="9">
        <v>3566.91</v>
      </c>
      <c r="Z27" s="9">
        <v>14579.67</v>
      </c>
      <c r="AA27" s="9">
        <v>3604.72</v>
      </c>
      <c r="AB27" s="9">
        <v>3477.18</v>
      </c>
      <c r="AC27" s="9">
        <v>3509.98</v>
      </c>
      <c r="AD27" s="9">
        <v>3567.54</v>
      </c>
      <c r="AE27" s="9">
        <v>14715.58</v>
      </c>
    </row>
    <row r="28" spans="1:31" x14ac:dyDescent="0.25">
      <c r="A28" s="4" t="s">
        <v>77</v>
      </c>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25">
      <c r="A29" s="3" t="s">
        <v>370</v>
      </c>
      <c r="B29" s="8" t="s">
        <v>367</v>
      </c>
      <c r="C29" s="8" t="s">
        <v>366</v>
      </c>
      <c r="D29" s="8" t="s">
        <v>366</v>
      </c>
      <c r="E29" s="8" t="s">
        <v>369</v>
      </c>
      <c r="F29" s="8" t="s">
        <v>368</v>
      </c>
      <c r="G29" s="8" t="s">
        <v>367</v>
      </c>
      <c r="H29" s="8" t="s">
        <v>366</v>
      </c>
      <c r="I29" s="8" t="s">
        <v>365</v>
      </c>
      <c r="J29" s="8" t="s">
        <v>364</v>
      </c>
      <c r="K29" s="8" t="s">
        <v>363</v>
      </c>
      <c r="L29" s="8" t="s">
        <v>352</v>
      </c>
      <c r="M29" s="8" t="s">
        <v>362</v>
      </c>
      <c r="N29" s="8" t="s">
        <v>361</v>
      </c>
      <c r="O29" s="8" t="s">
        <v>360</v>
      </c>
      <c r="P29" s="8" t="s">
        <v>359</v>
      </c>
      <c r="Q29" s="8" t="s">
        <v>358</v>
      </c>
      <c r="R29" s="8" t="s">
        <v>357</v>
      </c>
      <c r="S29" s="8" t="s">
        <v>356</v>
      </c>
      <c r="T29" s="8" t="s">
        <v>355</v>
      </c>
      <c r="U29" s="8" t="s">
        <v>354</v>
      </c>
      <c r="V29" s="8" t="s">
        <v>352</v>
      </c>
      <c r="W29" s="8" t="s">
        <v>351</v>
      </c>
      <c r="X29" s="8" t="s">
        <v>350</v>
      </c>
      <c r="Y29" s="8" t="s">
        <v>349</v>
      </c>
      <c r="Z29" s="8" t="s">
        <v>353</v>
      </c>
      <c r="AA29" s="8" t="s">
        <v>352</v>
      </c>
      <c r="AB29" s="8" t="s">
        <v>351</v>
      </c>
      <c r="AC29" s="8" t="s">
        <v>350</v>
      </c>
      <c r="AD29" s="8" t="s">
        <v>349</v>
      </c>
      <c r="AE29" s="8" t="s">
        <v>348</v>
      </c>
    </row>
    <row r="30" spans="1:31" x14ac:dyDescent="0.25">
      <c r="A30" s="3" t="s">
        <v>347</v>
      </c>
      <c r="B30" s="9">
        <v>678.8</v>
      </c>
      <c r="C30" s="9">
        <v>711.13</v>
      </c>
      <c r="D30" s="9">
        <v>712.88</v>
      </c>
      <c r="E30" s="9">
        <v>806.91</v>
      </c>
      <c r="F30" s="9">
        <v>2909.72</v>
      </c>
      <c r="G30" s="9">
        <v>706.25</v>
      </c>
      <c r="H30" s="9">
        <v>640.04999999999995</v>
      </c>
      <c r="I30" s="9">
        <v>632.66</v>
      </c>
      <c r="J30" s="9">
        <v>785.36</v>
      </c>
      <c r="K30" s="9">
        <v>2764.32</v>
      </c>
      <c r="L30" s="9">
        <v>732.07</v>
      </c>
      <c r="M30" s="9">
        <v>623.29999999999995</v>
      </c>
      <c r="N30" s="9">
        <v>633.22</v>
      </c>
      <c r="O30" s="9">
        <v>747.17</v>
      </c>
      <c r="P30" s="9">
        <v>2864.85</v>
      </c>
      <c r="Q30" s="9">
        <v>755.4</v>
      </c>
      <c r="R30" s="9">
        <v>531.55999999999995</v>
      </c>
      <c r="S30" s="9">
        <v>566.73</v>
      </c>
      <c r="T30" s="9">
        <v>683.91</v>
      </c>
      <c r="U30" s="9">
        <v>2972.1</v>
      </c>
      <c r="V30" s="9">
        <v>768.54</v>
      </c>
      <c r="W30" s="9">
        <v>540.14</v>
      </c>
      <c r="X30" s="9">
        <v>576.69000000000005</v>
      </c>
      <c r="Y30" s="9">
        <v>695.47</v>
      </c>
      <c r="Z30" s="9">
        <v>3044.01</v>
      </c>
      <c r="AA30" s="9">
        <v>780.69</v>
      </c>
      <c r="AB30" s="9">
        <v>548.15</v>
      </c>
      <c r="AC30" s="9">
        <v>586.14</v>
      </c>
      <c r="AD30" s="9">
        <v>706.54</v>
      </c>
      <c r="AE30" s="9">
        <v>3091.34</v>
      </c>
    </row>
    <row r="31" spans="1:31" x14ac:dyDescent="0.25">
      <c r="A31" s="3" t="s">
        <v>346</v>
      </c>
      <c r="B31" s="9">
        <v>1504</v>
      </c>
      <c r="C31" s="9">
        <v>1557</v>
      </c>
      <c r="D31" s="9">
        <v>1559</v>
      </c>
      <c r="E31" s="9">
        <v>1534</v>
      </c>
      <c r="F31" s="9">
        <v>6154</v>
      </c>
      <c r="G31" s="9">
        <v>1483.88</v>
      </c>
      <c r="H31" s="9">
        <v>1521.96</v>
      </c>
      <c r="I31" s="9">
        <v>1549.79</v>
      </c>
      <c r="J31" s="9">
        <v>1571.8</v>
      </c>
      <c r="K31" s="9">
        <v>6135.27</v>
      </c>
      <c r="L31" s="9">
        <v>1505.8</v>
      </c>
      <c r="M31" s="9">
        <v>1503.46</v>
      </c>
      <c r="N31" s="9">
        <v>1532.41</v>
      </c>
      <c r="O31" s="9">
        <v>1535.37</v>
      </c>
      <c r="P31" s="9">
        <v>6135.26</v>
      </c>
      <c r="Q31" s="9">
        <v>1506.22</v>
      </c>
      <c r="R31" s="9">
        <v>1516.14</v>
      </c>
      <c r="S31" s="9">
        <v>1540.79</v>
      </c>
      <c r="T31" s="9">
        <v>1504.89</v>
      </c>
      <c r="U31" s="9">
        <v>6208.91</v>
      </c>
      <c r="V31" s="9">
        <v>1517.4</v>
      </c>
      <c r="W31" s="9">
        <v>1477.57</v>
      </c>
      <c r="X31" s="9">
        <v>1521.03</v>
      </c>
      <c r="Y31" s="9">
        <v>1528.07</v>
      </c>
      <c r="Z31" s="9">
        <v>6297.36</v>
      </c>
      <c r="AA31" s="9">
        <v>1526.41</v>
      </c>
      <c r="AB31" s="9">
        <v>1482.82</v>
      </c>
      <c r="AC31" s="9">
        <v>1524.54</v>
      </c>
      <c r="AD31" s="9">
        <v>1533.64</v>
      </c>
      <c r="AE31" s="9">
        <v>6356.79</v>
      </c>
    </row>
    <row r="32" spans="1:31" x14ac:dyDescent="0.25">
      <c r="A32" s="4" t="s">
        <v>345</v>
      </c>
      <c r="B32" s="9">
        <v>2161.42</v>
      </c>
      <c r="C32" s="9">
        <v>2245.98</v>
      </c>
      <c r="D32" s="9">
        <v>2249.77</v>
      </c>
      <c r="E32" s="9">
        <v>2318.9699999999998</v>
      </c>
      <c r="F32" s="9">
        <v>8976.14</v>
      </c>
      <c r="G32" s="9">
        <v>2182.27</v>
      </c>
      <c r="H32" s="9">
        <v>2146.02</v>
      </c>
      <c r="I32" s="9">
        <v>2180.9899999999998</v>
      </c>
      <c r="J32" s="9">
        <v>2365.85</v>
      </c>
      <c r="K32" s="9">
        <v>8875.14</v>
      </c>
      <c r="L32" s="9">
        <v>2253.67</v>
      </c>
      <c r="M32" s="9">
        <v>2046.38</v>
      </c>
      <c r="N32" s="9">
        <v>2106.88</v>
      </c>
      <c r="O32" s="9">
        <v>2233.44</v>
      </c>
      <c r="P32" s="9">
        <v>8952.4699999999993</v>
      </c>
      <c r="Q32" s="9">
        <v>2240.8000000000002</v>
      </c>
      <c r="R32" s="9">
        <v>1913.32</v>
      </c>
      <c r="S32" s="9">
        <v>2040.43</v>
      </c>
      <c r="T32" s="9">
        <v>2125.52</v>
      </c>
      <c r="U32" s="9">
        <v>9111.74</v>
      </c>
      <c r="V32" s="9">
        <v>2255.6</v>
      </c>
      <c r="W32" s="9">
        <v>1921.06</v>
      </c>
      <c r="X32" s="9">
        <v>2050.92</v>
      </c>
      <c r="Y32" s="9">
        <v>2136.94</v>
      </c>
      <c r="Z32" s="9">
        <v>9282.49</v>
      </c>
      <c r="AA32" s="9">
        <v>2275.7199999999998</v>
      </c>
      <c r="AB32" s="9">
        <v>1934.81</v>
      </c>
      <c r="AC32" s="9">
        <v>2067.88</v>
      </c>
      <c r="AD32" s="9">
        <v>2155.17</v>
      </c>
      <c r="AE32" s="9">
        <v>9396.7999999999993</v>
      </c>
    </row>
    <row r="33" spans="1:31" x14ac:dyDescent="0.25">
      <c r="A33" s="3" t="s">
        <v>344</v>
      </c>
      <c r="B33" s="9">
        <v>407.25</v>
      </c>
      <c r="C33" s="9">
        <v>394.73</v>
      </c>
      <c r="D33" s="9">
        <v>379.38</v>
      </c>
      <c r="E33" s="9">
        <v>468.7</v>
      </c>
      <c r="F33" s="9">
        <v>411.48</v>
      </c>
      <c r="G33" s="9">
        <v>400.42</v>
      </c>
      <c r="H33" s="9">
        <v>389.8</v>
      </c>
      <c r="I33" s="9">
        <v>386.17</v>
      </c>
      <c r="J33" s="9">
        <v>475.9</v>
      </c>
      <c r="K33" s="9">
        <v>413.07</v>
      </c>
      <c r="L33" s="9">
        <v>410.39</v>
      </c>
      <c r="M33" s="9">
        <v>436.1</v>
      </c>
      <c r="N33" s="9">
        <v>397.62</v>
      </c>
      <c r="O33" s="9">
        <v>494.21</v>
      </c>
      <c r="P33" s="9">
        <v>426.88</v>
      </c>
      <c r="Q33" s="9">
        <v>415.09</v>
      </c>
      <c r="R33" s="9">
        <v>490.84</v>
      </c>
      <c r="S33" s="9">
        <v>424.93</v>
      </c>
      <c r="T33" s="9">
        <v>520.04</v>
      </c>
      <c r="U33" s="9">
        <v>431.29</v>
      </c>
      <c r="V33" s="9">
        <v>420.91</v>
      </c>
      <c r="W33" s="9">
        <v>498.82</v>
      </c>
      <c r="X33" s="9">
        <v>432.47</v>
      </c>
      <c r="Y33" s="9">
        <v>528.91</v>
      </c>
      <c r="Z33" s="9">
        <v>432.97</v>
      </c>
      <c r="AA33" s="9">
        <v>427.16</v>
      </c>
      <c r="AB33" s="9">
        <v>506.26</v>
      </c>
      <c r="AC33" s="9">
        <v>438.88</v>
      </c>
      <c r="AD33" s="9">
        <v>536.87</v>
      </c>
      <c r="AE33" s="9">
        <v>436.53</v>
      </c>
    </row>
    <row r="34" spans="1:31" x14ac:dyDescent="0.25">
      <c r="A34" s="4" t="s">
        <v>343</v>
      </c>
      <c r="B34" s="9">
        <v>866</v>
      </c>
      <c r="C34" s="9">
        <v>886</v>
      </c>
      <c r="D34" s="9">
        <v>853</v>
      </c>
      <c r="E34" s="9">
        <v>1086</v>
      </c>
      <c r="F34" s="9">
        <v>3691</v>
      </c>
      <c r="G34" s="9">
        <v>857</v>
      </c>
      <c r="H34" s="9">
        <v>846</v>
      </c>
      <c r="I34" s="9">
        <v>849.03</v>
      </c>
      <c r="J34" s="9">
        <v>1070.3699999999999</v>
      </c>
      <c r="K34" s="9">
        <v>3547.68</v>
      </c>
      <c r="L34" s="9">
        <v>960.61</v>
      </c>
      <c r="M34" s="9">
        <v>883.45</v>
      </c>
      <c r="N34" s="9">
        <v>866.54</v>
      </c>
      <c r="O34" s="9">
        <v>1074.1500000000001</v>
      </c>
      <c r="P34" s="9">
        <v>3700.47</v>
      </c>
      <c r="Q34" s="9">
        <v>935.27</v>
      </c>
      <c r="R34" s="9">
        <v>943.22</v>
      </c>
      <c r="S34" s="9">
        <v>891.82</v>
      </c>
      <c r="T34" s="9">
        <v>1139.5999999999999</v>
      </c>
      <c r="U34" s="9">
        <v>3936.23</v>
      </c>
      <c r="V34" s="9">
        <v>940.35</v>
      </c>
      <c r="W34" s="9">
        <v>914.03</v>
      </c>
      <c r="X34" s="9">
        <v>876.71</v>
      </c>
      <c r="Y34" s="9">
        <v>1058.21</v>
      </c>
      <c r="Z34" s="9">
        <v>3947.48</v>
      </c>
      <c r="AA34" s="9">
        <v>956.46</v>
      </c>
      <c r="AB34" s="9">
        <v>928.28</v>
      </c>
      <c r="AC34" s="9">
        <v>890.93</v>
      </c>
      <c r="AD34" s="9">
        <v>1076.5999999999999</v>
      </c>
      <c r="AE34" s="9">
        <v>4018.7</v>
      </c>
    </row>
    <row r="35" spans="1:31" x14ac:dyDescent="0.25">
      <c r="A35" s="4" t="s">
        <v>76</v>
      </c>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spans="1:31" x14ac:dyDescent="0.25">
      <c r="A36" s="4" t="s">
        <v>194</v>
      </c>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spans="1:31" x14ac:dyDescent="0.25">
      <c r="A37" s="4" t="s">
        <v>195</v>
      </c>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spans="1:31" x14ac:dyDescent="0.25">
      <c r="A38" s="3" t="s">
        <v>342</v>
      </c>
      <c r="B38" s="10">
        <v>-2</v>
      </c>
      <c r="C38" s="10">
        <v>-1</v>
      </c>
      <c r="D38" s="10">
        <v>-2</v>
      </c>
      <c r="E38" s="10">
        <v>-2</v>
      </c>
      <c r="F38" s="10">
        <v>-7</v>
      </c>
      <c r="G38" s="10">
        <v>-2</v>
      </c>
      <c r="H38" s="10">
        <v>-2</v>
      </c>
      <c r="I38" s="10">
        <v>-1.8</v>
      </c>
      <c r="J38" s="10">
        <v>-1.99</v>
      </c>
      <c r="K38" s="10">
        <v>-7.14</v>
      </c>
      <c r="L38" s="10">
        <v>-1.94</v>
      </c>
      <c r="M38" s="10">
        <v>-1.7</v>
      </c>
      <c r="N38" s="10">
        <v>-1.84</v>
      </c>
      <c r="O38" s="10">
        <v>-2.1</v>
      </c>
      <c r="P38" s="10">
        <v>-7.17</v>
      </c>
      <c r="Q38" s="10">
        <v>-2.17</v>
      </c>
      <c r="R38" s="10">
        <v>-2.19</v>
      </c>
      <c r="S38" s="10">
        <v>-2.2000000000000002</v>
      </c>
      <c r="T38" s="10">
        <v>-2.2200000000000002</v>
      </c>
      <c r="U38" s="10">
        <v>-7.27</v>
      </c>
      <c r="V38" s="10">
        <v>-2.4700000000000002</v>
      </c>
      <c r="W38" s="10">
        <v>-2.4900000000000002</v>
      </c>
      <c r="X38" s="10">
        <v>-2.5</v>
      </c>
      <c r="Y38" s="10">
        <v>-2.52</v>
      </c>
      <c r="Z38" s="10">
        <v>-7.18</v>
      </c>
      <c r="AA38" s="10">
        <v>-2.54</v>
      </c>
      <c r="AB38" s="10">
        <v>-2.5499999999999998</v>
      </c>
      <c r="AC38" s="10">
        <v>-2.57</v>
      </c>
      <c r="AD38" s="10">
        <v>-2.58</v>
      </c>
      <c r="AE38" s="10">
        <v>-7.15</v>
      </c>
    </row>
    <row r="39" spans="1:31" x14ac:dyDescent="0.25">
      <c r="A39" s="3" t="s">
        <v>341</v>
      </c>
      <c r="B39" s="9">
        <v>4</v>
      </c>
      <c r="C39" s="9">
        <v>4</v>
      </c>
      <c r="D39" s="9">
        <v>2</v>
      </c>
      <c r="E39" s="9">
        <v>2</v>
      </c>
      <c r="F39" s="9">
        <v>12</v>
      </c>
      <c r="G39" s="9">
        <v>5.51</v>
      </c>
      <c r="H39" s="9">
        <v>7.08</v>
      </c>
      <c r="I39" s="9">
        <v>5.58</v>
      </c>
      <c r="J39" s="9">
        <v>5.78</v>
      </c>
      <c r="K39" s="9">
        <v>22.54</v>
      </c>
      <c r="L39" s="9">
        <v>8.3000000000000007</v>
      </c>
      <c r="M39" s="9">
        <v>8.82</v>
      </c>
      <c r="N39" s="9">
        <v>7.58</v>
      </c>
      <c r="O39" s="9">
        <v>7.85</v>
      </c>
      <c r="P39" s="9">
        <v>28.56</v>
      </c>
      <c r="Q39" s="9">
        <v>6.34</v>
      </c>
      <c r="R39" s="9">
        <v>6.66</v>
      </c>
      <c r="S39" s="9">
        <v>6.97</v>
      </c>
      <c r="T39" s="9">
        <v>6.59</v>
      </c>
      <c r="U39" s="9">
        <v>31.6</v>
      </c>
      <c r="V39" s="9">
        <v>3.53</v>
      </c>
      <c r="W39" s="9">
        <v>4.0199999999999996</v>
      </c>
      <c r="X39" s="9">
        <v>4.5199999999999996</v>
      </c>
      <c r="Y39" s="9">
        <v>4.01</v>
      </c>
      <c r="Z39" s="9">
        <v>26.77</v>
      </c>
      <c r="AA39" s="9">
        <v>3.07</v>
      </c>
      <c r="AB39" s="9">
        <v>3.61</v>
      </c>
      <c r="AC39" s="9">
        <v>4.1900000000000004</v>
      </c>
      <c r="AD39" s="9">
        <v>3.67</v>
      </c>
      <c r="AE39" s="9">
        <v>24.64</v>
      </c>
    </row>
    <row r="40" spans="1:31" x14ac:dyDescent="0.25">
      <c r="A40" s="4" t="s">
        <v>340</v>
      </c>
      <c r="B40" s="9">
        <v>2</v>
      </c>
      <c r="C40" s="9">
        <v>3</v>
      </c>
      <c r="D40" s="8" t="s">
        <v>66</v>
      </c>
      <c r="E40" s="8" t="s">
        <v>66</v>
      </c>
      <c r="F40" s="9">
        <v>5</v>
      </c>
      <c r="G40" s="9">
        <v>4.1500000000000004</v>
      </c>
      <c r="H40" s="9">
        <v>5.25</v>
      </c>
      <c r="I40" s="9">
        <v>4.3</v>
      </c>
      <c r="J40" s="9">
        <v>4.32</v>
      </c>
      <c r="K40" s="9">
        <v>15.39</v>
      </c>
      <c r="L40" s="9">
        <v>6.34</v>
      </c>
      <c r="M40" s="9">
        <v>7.13</v>
      </c>
      <c r="N40" s="9">
        <v>6.7</v>
      </c>
      <c r="O40" s="9">
        <v>6.66</v>
      </c>
      <c r="P40" s="9">
        <v>20.75</v>
      </c>
      <c r="Q40" s="9">
        <v>4.08</v>
      </c>
      <c r="R40" s="9">
        <v>4.38</v>
      </c>
      <c r="S40" s="9">
        <v>6.23</v>
      </c>
      <c r="T40" s="9">
        <v>5.69</v>
      </c>
      <c r="U40" s="9">
        <v>23.95</v>
      </c>
      <c r="V40" s="9">
        <v>1.06</v>
      </c>
      <c r="W40" s="9">
        <v>1.53</v>
      </c>
      <c r="X40" s="9">
        <v>3.02</v>
      </c>
      <c r="Y40" s="9">
        <v>2.23</v>
      </c>
      <c r="Z40" s="9">
        <v>18.55</v>
      </c>
      <c r="AA40" s="9">
        <v>0.53</v>
      </c>
      <c r="AB40" s="9">
        <v>1.06</v>
      </c>
      <c r="AC40" s="9">
        <v>2.4300000000000002</v>
      </c>
      <c r="AD40" s="9">
        <v>1.63</v>
      </c>
      <c r="AE40" s="9">
        <v>16.190000000000001</v>
      </c>
    </row>
    <row r="41" spans="1:31" x14ac:dyDescent="0.25">
      <c r="A41" s="4" t="s">
        <v>76</v>
      </c>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spans="1:31" x14ac:dyDescent="0.25">
      <c r="A42" s="3" t="s">
        <v>339</v>
      </c>
      <c r="B42" s="9">
        <v>52</v>
      </c>
      <c r="C42" s="9">
        <v>51</v>
      </c>
      <c r="D42" s="9">
        <v>49</v>
      </c>
      <c r="E42" s="9">
        <v>47</v>
      </c>
      <c r="F42" s="9">
        <v>47</v>
      </c>
      <c r="G42" s="9">
        <v>45</v>
      </c>
      <c r="H42" s="9">
        <v>44.49</v>
      </c>
      <c r="I42" s="9">
        <v>42.78</v>
      </c>
      <c r="J42" s="9">
        <v>40.909999999999997</v>
      </c>
      <c r="K42" s="9">
        <v>40.909999999999997</v>
      </c>
      <c r="L42" s="9">
        <v>38.67</v>
      </c>
      <c r="M42" s="9">
        <v>36.97</v>
      </c>
      <c r="N42" s="9">
        <v>35.130000000000003</v>
      </c>
      <c r="O42" s="9">
        <v>33.04</v>
      </c>
      <c r="P42" s="9">
        <v>34.17</v>
      </c>
      <c r="Q42" s="9">
        <v>29.69</v>
      </c>
      <c r="R42" s="9">
        <v>27.51</v>
      </c>
      <c r="S42" s="9">
        <v>25.3</v>
      </c>
      <c r="T42" s="9">
        <v>23.09</v>
      </c>
      <c r="U42" s="9">
        <v>27.31</v>
      </c>
      <c r="V42" s="9">
        <v>19.84</v>
      </c>
      <c r="W42" s="9">
        <v>17.36</v>
      </c>
      <c r="X42" s="9">
        <v>14.85</v>
      </c>
      <c r="Y42" s="9">
        <v>19.5</v>
      </c>
      <c r="Z42" s="9">
        <v>24.31</v>
      </c>
      <c r="AA42" s="9">
        <v>17.75</v>
      </c>
      <c r="AB42" s="9">
        <v>16</v>
      </c>
      <c r="AC42" s="9">
        <v>14.25</v>
      </c>
      <c r="AD42" s="9">
        <v>12.5</v>
      </c>
      <c r="AE42" s="9">
        <v>19</v>
      </c>
    </row>
    <row r="43" spans="1:31" x14ac:dyDescent="0.25">
      <c r="A43" s="3" t="s">
        <v>338</v>
      </c>
      <c r="B43" s="9">
        <v>405</v>
      </c>
      <c r="C43" s="9">
        <v>409</v>
      </c>
      <c r="D43" s="9">
        <v>411</v>
      </c>
      <c r="E43" s="9">
        <v>413</v>
      </c>
      <c r="F43" s="9">
        <v>413</v>
      </c>
      <c r="G43" s="9">
        <v>539.29999999999995</v>
      </c>
      <c r="H43" s="9">
        <v>525.67999999999995</v>
      </c>
      <c r="I43" s="9">
        <v>541.66999999999996</v>
      </c>
      <c r="J43" s="9">
        <v>548</v>
      </c>
      <c r="K43" s="9">
        <v>548</v>
      </c>
      <c r="L43" s="9">
        <v>574.54</v>
      </c>
      <c r="M43" s="9">
        <v>584.22</v>
      </c>
      <c r="N43" s="9">
        <v>592.66</v>
      </c>
      <c r="O43" s="9">
        <v>601.36</v>
      </c>
      <c r="P43" s="9">
        <v>578.75</v>
      </c>
      <c r="Q43" s="9">
        <v>630.91</v>
      </c>
      <c r="R43" s="9">
        <v>639.07000000000005</v>
      </c>
      <c r="S43" s="9">
        <v>647.54</v>
      </c>
      <c r="T43" s="9">
        <v>655.63</v>
      </c>
      <c r="U43" s="9">
        <v>626.92999999999995</v>
      </c>
      <c r="V43" s="9">
        <v>634.70000000000005</v>
      </c>
      <c r="W43" s="9">
        <v>640.72</v>
      </c>
      <c r="X43" s="9">
        <v>647.24</v>
      </c>
      <c r="Y43" s="9">
        <v>653.25</v>
      </c>
      <c r="Z43" s="9">
        <v>644.35</v>
      </c>
      <c r="AA43" s="9">
        <v>658.32</v>
      </c>
      <c r="AB43" s="9">
        <v>663.93</v>
      </c>
      <c r="AC43" s="9">
        <v>670.12</v>
      </c>
      <c r="AD43" s="9">
        <v>675.79</v>
      </c>
      <c r="AE43" s="9">
        <v>671.66</v>
      </c>
    </row>
    <row r="44" spans="1:31" x14ac:dyDescent="0.25">
      <c r="A44" s="4" t="s">
        <v>337</v>
      </c>
      <c r="B44" s="9">
        <v>457</v>
      </c>
      <c r="C44" s="9">
        <v>460</v>
      </c>
      <c r="D44" s="9">
        <v>460</v>
      </c>
      <c r="E44" s="9">
        <v>460</v>
      </c>
      <c r="F44" s="9">
        <v>460</v>
      </c>
      <c r="G44" s="9">
        <v>547.41</v>
      </c>
      <c r="H44" s="9">
        <v>506.59</v>
      </c>
      <c r="I44" s="9">
        <v>542.42999999999995</v>
      </c>
      <c r="J44" s="9">
        <v>546.03</v>
      </c>
      <c r="K44" s="9">
        <v>546.03</v>
      </c>
      <c r="L44" s="9">
        <v>565.54999999999995</v>
      </c>
      <c r="M44" s="9">
        <v>572.41999999999996</v>
      </c>
      <c r="N44" s="9">
        <v>577.85</v>
      </c>
      <c r="O44" s="9">
        <v>583.25</v>
      </c>
      <c r="P44" s="9">
        <v>566.87</v>
      </c>
      <c r="Q44" s="9">
        <v>561.71</v>
      </c>
      <c r="R44" s="9">
        <v>564.76</v>
      </c>
      <c r="S44" s="9">
        <v>568.54999999999995</v>
      </c>
      <c r="T44" s="9">
        <v>571.84</v>
      </c>
      <c r="U44" s="9">
        <v>608.29999999999995</v>
      </c>
      <c r="V44" s="9">
        <v>573.87</v>
      </c>
      <c r="W44" s="9">
        <v>576.38</v>
      </c>
      <c r="X44" s="9">
        <v>579.74</v>
      </c>
      <c r="Y44" s="9">
        <v>582.58000000000004</v>
      </c>
      <c r="Z44" s="9">
        <v>630.05999999999995</v>
      </c>
      <c r="AA44" s="9">
        <v>584.15</v>
      </c>
      <c r="AB44" s="9">
        <v>586.27</v>
      </c>
      <c r="AC44" s="9">
        <v>589.29</v>
      </c>
      <c r="AD44" s="9">
        <v>591.79</v>
      </c>
      <c r="AE44" s="9">
        <v>648.62</v>
      </c>
    </row>
    <row r="45" spans="1:31" x14ac:dyDescent="0.25">
      <c r="A45" s="4" t="s">
        <v>336</v>
      </c>
      <c r="B45" s="9">
        <v>456</v>
      </c>
      <c r="C45" s="9">
        <v>458.5</v>
      </c>
      <c r="D45" s="9">
        <v>460</v>
      </c>
      <c r="E45" s="9">
        <v>460</v>
      </c>
      <c r="F45" s="9">
        <v>457.5</v>
      </c>
      <c r="G45" s="9">
        <v>500.29</v>
      </c>
      <c r="H45" s="9">
        <v>497.69</v>
      </c>
      <c r="I45" s="9">
        <v>495.45</v>
      </c>
      <c r="J45" s="9">
        <v>534.32000000000005</v>
      </c>
      <c r="K45" s="9">
        <v>499.48</v>
      </c>
      <c r="L45" s="9">
        <v>562.59</v>
      </c>
      <c r="M45" s="9">
        <v>568.99</v>
      </c>
      <c r="N45" s="9">
        <v>575.14</v>
      </c>
      <c r="O45" s="9">
        <v>580.54999999999995</v>
      </c>
      <c r="P45" s="9">
        <v>545.48</v>
      </c>
      <c r="Q45" s="9">
        <v>560.4</v>
      </c>
      <c r="R45" s="9">
        <v>563.23</v>
      </c>
      <c r="S45" s="9">
        <v>566.66</v>
      </c>
      <c r="T45" s="9">
        <v>570.20000000000005</v>
      </c>
      <c r="U45" s="9">
        <v>578.48</v>
      </c>
      <c r="V45" s="9">
        <v>572.85</v>
      </c>
      <c r="W45" s="9">
        <v>575.13</v>
      </c>
      <c r="X45" s="9">
        <v>578.05999999999995</v>
      </c>
      <c r="Y45" s="9">
        <v>581.16</v>
      </c>
      <c r="Z45" s="9">
        <v>600.1</v>
      </c>
      <c r="AA45" s="9">
        <v>583.37</v>
      </c>
      <c r="AB45" s="9">
        <v>585.21</v>
      </c>
      <c r="AC45" s="9">
        <v>587.78</v>
      </c>
      <c r="AD45" s="9">
        <v>590.54</v>
      </c>
      <c r="AE45" s="9">
        <v>618.86</v>
      </c>
    </row>
    <row r="46" spans="1:31" x14ac:dyDescent="0.25">
      <c r="A46" s="4" t="s">
        <v>335</v>
      </c>
      <c r="B46" s="9">
        <v>226.61</v>
      </c>
      <c r="C46" s="9">
        <v>225.37</v>
      </c>
      <c r="D46" s="9">
        <v>224.64</v>
      </c>
      <c r="E46" s="9">
        <v>227.54</v>
      </c>
      <c r="F46" s="9">
        <v>226.59</v>
      </c>
      <c r="G46" s="9">
        <v>217.38</v>
      </c>
      <c r="H46" s="9">
        <v>226.27</v>
      </c>
      <c r="I46" s="9">
        <v>233.44</v>
      </c>
      <c r="J46" s="9">
        <v>222.42</v>
      </c>
      <c r="K46" s="9">
        <v>228.65</v>
      </c>
      <c r="L46" s="9">
        <v>209.53</v>
      </c>
      <c r="M46" s="9">
        <v>202.49</v>
      </c>
      <c r="N46" s="9">
        <v>201.33</v>
      </c>
      <c r="O46" s="9">
        <v>202.22</v>
      </c>
      <c r="P46" s="9">
        <v>220.48</v>
      </c>
      <c r="Q46" s="9">
        <v>220.96</v>
      </c>
      <c r="R46" s="9">
        <v>209.96</v>
      </c>
      <c r="S46" s="9">
        <v>208.97</v>
      </c>
      <c r="T46" s="9">
        <v>211.3</v>
      </c>
      <c r="U46" s="9">
        <v>217.6</v>
      </c>
      <c r="V46" s="9">
        <v>223.99</v>
      </c>
      <c r="W46" s="9">
        <v>208.11</v>
      </c>
      <c r="X46" s="9">
        <v>206.99</v>
      </c>
      <c r="Y46" s="9">
        <v>209.13</v>
      </c>
      <c r="Z46" s="9">
        <v>217.82</v>
      </c>
      <c r="AA46" s="9">
        <v>219.59</v>
      </c>
      <c r="AB46" s="9">
        <v>203.75</v>
      </c>
      <c r="AC46" s="9">
        <v>202.66</v>
      </c>
      <c r="AD46" s="9">
        <v>204.77</v>
      </c>
      <c r="AE46" s="9">
        <v>216.98</v>
      </c>
    </row>
    <row r="47" spans="1:31" x14ac:dyDescent="0.25">
      <c r="A47" s="4" t="s">
        <v>334</v>
      </c>
      <c r="B47" s="9">
        <v>310</v>
      </c>
      <c r="C47" s="9">
        <v>310</v>
      </c>
      <c r="D47" s="9">
        <v>310</v>
      </c>
      <c r="E47" s="9">
        <v>314</v>
      </c>
      <c r="F47" s="9">
        <v>1244</v>
      </c>
      <c r="G47" s="9">
        <v>342.24</v>
      </c>
      <c r="H47" s="9">
        <v>370.89</v>
      </c>
      <c r="I47" s="9">
        <v>359.23</v>
      </c>
      <c r="J47" s="9">
        <v>360.84</v>
      </c>
      <c r="K47" s="9">
        <v>1390.75</v>
      </c>
      <c r="L47" s="9">
        <v>375.72</v>
      </c>
      <c r="M47" s="9">
        <v>367.84</v>
      </c>
      <c r="N47" s="9">
        <v>364.95</v>
      </c>
      <c r="O47" s="9">
        <v>371.93</v>
      </c>
      <c r="P47" s="9">
        <v>1430.94</v>
      </c>
      <c r="Q47" s="9">
        <v>397.21</v>
      </c>
      <c r="R47" s="9">
        <v>384.01</v>
      </c>
      <c r="S47" s="9">
        <v>379.05</v>
      </c>
      <c r="T47" s="9">
        <v>389.13</v>
      </c>
      <c r="U47" s="9">
        <v>1436.75</v>
      </c>
      <c r="V47" s="9">
        <v>413.51</v>
      </c>
      <c r="W47" s="9">
        <v>391.32</v>
      </c>
      <c r="X47" s="9">
        <v>381.52</v>
      </c>
      <c r="Y47" s="9">
        <v>387.53</v>
      </c>
      <c r="Z47" s="9">
        <v>1426.62</v>
      </c>
      <c r="AA47" s="9">
        <v>410.82</v>
      </c>
      <c r="AB47" s="9">
        <v>388.09</v>
      </c>
      <c r="AC47" s="9">
        <v>378.23</v>
      </c>
      <c r="AD47" s="9">
        <v>383.86</v>
      </c>
      <c r="AE47" s="9">
        <v>1431.84</v>
      </c>
    </row>
    <row r="48" spans="1:31" x14ac:dyDescent="0.25">
      <c r="A48" s="4" t="s">
        <v>215</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spans="1:31" x14ac:dyDescent="0.25">
      <c r="A49" s="3" t="s">
        <v>333</v>
      </c>
      <c r="B49" s="10">
        <v>-4</v>
      </c>
      <c r="C49" s="10">
        <v>-5.5</v>
      </c>
      <c r="D49" s="10">
        <v>-4</v>
      </c>
      <c r="E49" s="10">
        <v>-5.5</v>
      </c>
      <c r="F49" s="10">
        <v>-19</v>
      </c>
      <c r="G49" s="10">
        <v>-3.8</v>
      </c>
      <c r="H49" s="10">
        <v>-8</v>
      </c>
      <c r="I49" s="10">
        <v>-8</v>
      </c>
      <c r="J49" s="10">
        <v>-8</v>
      </c>
      <c r="K49" s="10">
        <v>-27.8</v>
      </c>
      <c r="L49" s="10">
        <v>-5.56</v>
      </c>
      <c r="M49" s="10">
        <v>-5.56</v>
      </c>
      <c r="N49" s="10">
        <v>-5.56</v>
      </c>
      <c r="O49" s="10">
        <v>-5.56</v>
      </c>
      <c r="P49" s="10">
        <v>-22.24</v>
      </c>
      <c r="Q49" s="10">
        <v>-4.45</v>
      </c>
      <c r="R49" s="10">
        <v>-4.45</v>
      </c>
      <c r="S49" s="10">
        <v>-4.45</v>
      </c>
      <c r="T49" s="10">
        <v>-4.45</v>
      </c>
      <c r="U49" s="10">
        <v>-17.79</v>
      </c>
      <c r="V49" s="10">
        <v>-3.56</v>
      </c>
      <c r="W49" s="10">
        <v>-3.56</v>
      </c>
      <c r="X49" s="10">
        <v>-3.56</v>
      </c>
      <c r="Y49" s="8" t="s">
        <v>66</v>
      </c>
      <c r="Z49" s="10">
        <v>-10.68</v>
      </c>
      <c r="AA49" s="10">
        <v>-2.14</v>
      </c>
      <c r="AB49" s="10">
        <v>-2.14</v>
      </c>
      <c r="AC49" s="10">
        <v>-2.14</v>
      </c>
      <c r="AD49" s="8" t="s">
        <v>66</v>
      </c>
      <c r="AE49" s="10">
        <v>-6.41</v>
      </c>
    </row>
    <row r="50" spans="1:31" x14ac:dyDescent="0.25">
      <c r="A50" s="3" t="s">
        <v>332</v>
      </c>
      <c r="B50" s="8" t="s">
        <v>66</v>
      </c>
      <c r="C50" s="9">
        <v>1</v>
      </c>
      <c r="D50" s="8" t="s">
        <v>66</v>
      </c>
      <c r="E50" s="10">
        <v>-20</v>
      </c>
      <c r="F50" s="10">
        <v>-39</v>
      </c>
      <c r="G50" s="9">
        <v>55</v>
      </c>
      <c r="H50" s="8" t="s">
        <v>66</v>
      </c>
      <c r="I50" s="8" t="s">
        <v>66</v>
      </c>
      <c r="J50" s="8" t="s">
        <v>66</v>
      </c>
      <c r="K50" s="9">
        <v>55</v>
      </c>
      <c r="L50" s="8" t="s">
        <v>66</v>
      </c>
      <c r="M50" s="8" t="s">
        <v>66</v>
      </c>
      <c r="N50" s="8" t="s">
        <v>66</v>
      </c>
      <c r="O50" s="8" t="s">
        <v>66</v>
      </c>
      <c r="P50" s="8" t="s">
        <v>66</v>
      </c>
      <c r="Q50" s="8" t="s">
        <v>66</v>
      </c>
      <c r="R50" s="8" t="s">
        <v>66</v>
      </c>
      <c r="S50" s="8" t="s">
        <v>66</v>
      </c>
      <c r="T50" s="8" t="s">
        <v>66</v>
      </c>
      <c r="U50" s="8" t="s">
        <v>66</v>
      </c>
      <c r="V50" s="8" t="s">
        <v>66</v>
      </c>
      <c r="W50" s="8" t="s">
        <v>66</v>
      </c>
      <c r="X50" s="8" t="s">
        <v>66</v>
      </c>
      <c r="Y50" s="8" t="s">
        <v>66</v>
      </c>
      <c r="Z50" s="8" t="s">
        <v>66</v>
      </c>
      <c r="AA50" s="8" t="s">
        <v>66</v>
      </c>
      <c r="AB50" s="8" t="s">
        <v>66</v>
      </c>
      <c r="AC50" s="8" t="s">
        <v>66</v>
      </c>
      <c r="AD50" s="8" t="s">
        <v>66</v>
      </c>
      <c r="AE50" s="8" t="s">
        <v>66</v>
      </c>
    </row>
    <row r="51" spans="1:31" x14ac:dyDescent="0.25">
      <c r="A51" s="4" t="s">
        <v>331</v>
      </c>
      <c r="B51" s="10">
        <v>-4</v>
      </c>
      <c r="C51" s="10">
        <v>-5</v>
      </c>
      <c r="D51" s="10">
        <v>-4</v>
      </c>
      <c r="E51" s="10">
        <v>-6</v>
      </c>
      <c r="F51" s="10">
        <v>-19</v>
      </c>
      <c r="G51" s="9">
        <v>12.15</v>
      </c>
      <c r="H51" s="10">
        <v>-6.92</v>
      </c>
      <c r="I51" s="10">
        <v>-6.51</v>
      </c>
      <c r="J51" s="10">
        <v>-6.38</v>
      </c>
      <c r="K51" s="9">
        <v>20.91</v>
      </c>
      <c r="L51" s="10">
        <v>-6.15</v>
      </c>
      <c r="M51" s="10">
        <v>-6.19</v>
      </c>
      <c r="N51" s="10">
        <v>-5.86</v>
      </c>
      <c r="O51" s="10">
        <v>-5.88</v>
      </c>
      <c r="P51" s="10">
        <v>-24.3</v>
      </c>
      <c r="Q51" s="10">
        <v>-6.36</v>
      </c>
      <c r="R51" s="10">
        <v>-5.22</v>
      </c>
      <c r="S51" s="10">
        <v>-4.76</v>
      </c>
      <c r="T51" s="10">
        <v>-4.82</v>
      </c>
      <c r="U51" s="10">
        <v>-16.8</v>
      </c>
      <c r="V51" s="10">
        <v>-4.04</v>
      </c>
      <c r="W51" s="10">
        <v>-4.37</v>
      </c>
      <c r="X51" s="10">
        <v>-3.84</v>
      </c>
      <c r="Y51" s="10">
        <v>-4.17</v>
      </c>
      <c r="Z51" s="10">
        <v>-10.99</v>
      </c>
      <c r="AA51" s="10">
        <v>-3.13</v>
      </c>
      <c r="AB51" s="10">
        <v>-3.46</v>
      </c>
      <c r="AC51" s="10">
        <v>-3.02</v>
      </c>
      <c r="AD51" s="10">
        <v>-3.68</v>
      </c>
      <c r="AE51" s="10">
        <v>-8.16</v>
      </c>
    </row>
    <row r="52" spans="1:31" x14ac:dyDescent="0.25">
      <c r="A52" s="4" t="s">
        <v>330</v>
      </c>
      <c r="B52" s="9">
        <v>54</v>
      </c>
      <c r="C52" s="9">
        <v>49</v>
      </c>
      <c r="D52" s="9">
        <v>45</v>
      </c>
      <c r="E52" s="9">
        <v>39</v>
      </c>
      <c r="F52" s="9">
        <v>39</v>
      </c>
      <c r="G52" s="9">
        <v>78.73</v>
      </c>
      <c r="H52" s="9">
        <v>71.81</v>
      </c>
      <c r="I52" s="9">
        <v>65.3</v>
      </c>
      <c r="J52" s="9">
        <v>58.92</v>
      </c>
      <c r="K52" s="9">
        <v>58.92</v>
      </c>
      <c r="L52" s="9">
        <v>57.12</v>
      </c>
      <c r="M52" s="9">
        <v>50.93</v>
      </c>
      <c r="N52" s="9">
        <v>44.18</v>
      </c>
      <c r="O52" s="9">
        <v>47.97</v>
      </c>
      <c r="P52" s="9">
        <v>39.67</v>
      </c>
      <c r="Q52" s="9">
        <v>48.5</v>
      </c>
      <c r="R52" s="9">
        <v>86.46</v>
      </c>
      <c r="S52" s="9">
        <v>80.900000000000006</v>
      </c>
      <c r="T52" s="9">
        <v>75.59</v>
      </c>
      <c r="U52" s="9">
        <v>37.24</v>
      </c>
      <c r="V52" s="9">
        <v>70.84</v>
      </c>
      <c r="W52" s="9">
        <v>66.25</v>
      </c>
      <c r="X52" s="9">
        <v>61.8</v>
      </c>
      <c r="Y52" s="9">
        <v>59.27</v>
      </c>
      <c r="Z52" s="9">
        <v>28.74</v>
      </c>
      <c r="AA52" s="9">
        <v>55.76</v>
      </c>
      <c r="AB52" s="9">
        <v>52.34</v>
      </c>
      <c r="AC52" s="9">
        <v>48.99</v>
      </c>
      <c r="AD52" s="9">
        <v>46.79</v>
      </c>
      <c r="AE52" s="9">
        <v>22.82</v>
      </c>
    </row>
    <row r="53" spans="1:31" x14ac:dyDescent="0.25">
      <c r="A53" s="4" t="s">
        <v>76</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row>
    <row r="54" spans="1:31" x14ac:dyDescent="0.25">
      <c r="A54" s="3" t="s">
        <v>329</v>
      </c>
      <c r="B54" s="8" t="s">
        <v>66</v>
      </c>
      <c r="C54" s="10">
        <v>-2</v>
      </c>
      <c r="D54" s="10">
        <v>-2</v>
      </c>
      <c r="E54" s="10">
        <v>-3</v>
      </c>
      <c r="F54" s="10">
        <v>-7</v>
      </c>
      <c r="G54" s="9">
        <v>5.58</v>
      </c>
      <c r="H54" s="9">
        <v>5.72</v>
      </c>
      <c r="I54" s="9">
        <v>1.52</v>
      </c>
      <c r="J54" s="9">
        <v>1.9</v>
      </c>
      <c r="K54" s="9">
        <v>11.44</v>
      </c>
      <c r="L54" s="9">
        <v>7.44</v>
      </c>
      <c r="M54" s="9">
        <v>8.02</v>
      </c>
      <c r="N54" s="9">
        <v>5.21</v>
      </c>
      <c r="O54" s="9">
        <v>6.06</v>
      </c>
      <c r="P54" s="9">
        <v>20.9</v>
      </c>
      <c r="Q54" s="9">
        <v>0.78</v>
      </c>
      <c r="R54" s="9">
        <v>3.78</v>
      </c>
      <c r="S54" s="9">
        <v>6.78</v>
      </c>
      <c r="T54" s="9">
        <v>6.78</v>
      </c>
      <c r="U54" s="9">
        <v>33.39</v>
      </c>
      <c r="V54" s="9">
        <v>0.44</v>
      </c>
      <c r="W54" s="9">
        <v>0.44</v>
      </c>
      <c r="X54" s="9">
        <v>0.44</v>
      </c>
      <c r="Y54" s="9">
        <v>4</v>
      </c>
      <c r="Z54" s="9">
        <v>29.95</v>
      </c>
      <c r="AA54" s="9">
        <v>0.86</v>
      </c>
      <c r="AB54" s="9">
        <v>0.86</v>
      </c>
      <c r="AC54" s="9">
        <v>0.86</v>
      </c>
      <c r="AD54" s="9">
        <v>3</v>
      </c>
      <c r="AE54" s="9">
        <v>26.56</v>
      </c>
    </row>
    <row r="55" spans="1:31" x14ac:dyDescent="0.25">
      <c r="A55" s="3" t="s">
        <v>328</v>
      </c>
      <c r="B55" s="8" t="s">
        <v>66</v>
      </c>
      <c r="C55" s="9">
        <v>1</v>
      </c>
      <c r="D55" s="8" t="s">
        <v>66</v>
      </c>
      <c r="E55" s="10">
        <v>-1</v>
      </c>
      <c r="F55" s="10">
        <v>-51</v>
      </c>
      <c r="G55" s="9">
        <v>184.67</v>
      </c>
      <c r="H55" s="9">
        <v>1</v>
      </c>
      <c r="I55" s="8" t="s">
        <v>66</v>
      </c>
      <c r="J55" s="8" t="s">
        <v>66</v>
      </c>
      <c r="K55" s="9">
        <v>185</v>
      </c>
      <c r="L55" s="8" t="s">
        <v>66</v>
      </c>
      <c r="M55" s="8" t="s">
        <v>66</v>
      </c>
      <c r="N55" s="8" t="s">
        <v>66</v>
      </c>
      <c r="O55" s="8" t="s">
        <v>66</v>
      </c>
      <c r="P55" s="8" t="s">
        <v>66</v>
      </c>
      <c r="Q55" s="8" t="s">
        <v>66</v>
      </c>
      <c r="R55" s="8" t="s">
        <v>66</v>
      </c>
      <c r="S55" s="8" t="s">
        <v>66</v>
      </c>
      <c r="T55" s="8" t="s">
        <v>66</v>
      </c>
      <c r="U55" s="8" t="s">
        <v>66</v>
      </c>
      <c r="V55" s="8" t="s">
        <v>66</v>
      </c>
      <c r="W55" s="8" t="s">
        <v>66</v>
      </c>
      <c r="X55" s="8" t="s">
        <v>66</v>
      </c>
      <c r="Y55" s="8" t="s">
        <v>66</v>
      </c>
      <c r="Z55" s="8" t="s">
        <v>66</v>
      </c>
      <c r="AA55" s="8" t="s">
        <v>66</v>
      </c>
      <c r="AB55" s="8" t="s">
        <v>66</v>
      </c>
      <c r="AC55" s="8" t="s">
        <v>66</v>
      </c>
      <c r="AD55" s="8" t="s">
        <v>66</v>
      </c>
      <c r="AE55" s="8" t="s">
        <v>66</v>
      </c>
    </row>
    <row r="56" spans="1:31" x14ac:dyDescent="0.25">
      <c r="A56" s="4" t="s">
        <v>327</v>
      </c>
      <c r="B56" s="8" t="s">
        <v>66</v>
      </c>
      <c r="C56" s="10">
        <v>-1</v>
      </c>
      <c r="D56" s="10">
        <v>-2</v>
      </c>
      <c r="E56" s="10">
        <v>-4</v>
      </c>
      <c r="F56" s="10">
        <v>-7</v>
      </c>
      <c r="G56" s="9">
        <v>110.76</v>
      </c>
      <c r="H56" s="9">
        <v>2.12</v>
      </c>
      <c r="I56" s="9">
        <v>0.68</v>
      </c>
      <c r="J56" s="9">
        <v>0.97</v>
      </c>
      <c r="K56" s="9">
        <v>103.41</v>
      </c>
      <c r="L56" s="9">
        <v>3.02</v>
      </c>
      <c r="M56" s="9">
        <v>4.26</v>
      </c>
      <c r="N56" s="9">
        <v>3.15</v>
      </c>
      <c r="O56" s="9">
        <v>3.44</v>
      </c>
      <c r="P56" s="9">
        <v>9.76</v>
      </c>
      <c r="Q56" s="9">
        <v>0.13</v>
      </c>
      <c r="R56" s="9">
        <v>1.69</v>
      </c>
      <c r="S56" s="9">
        <v>3.97</v>
      </c>
      <c r="T56" s="9">
        <v>3.52</v>
      </c>
      <c r="U56" s="9">
        <v>20.54</v>
      </c>
      <c r="V56" s="9">
        <v>0.15</v>
      </c>
      <c r="W56" s="9">
        <v>0.31</v>
      </c>
      <c r="X56" s="9">
        <v>1.34</v>
      </c>
      <c r="Y56" s="9">
        <v>1.9</v>
      </c>
      <c r="Z56" s="9">
        <v>19.5</v>
      </c>
      <c r="AA56" s="9">
        <v>0.61</v>
      </c>
      <c r="AB56" s="9">
        <v>0.82</v>
      </c>
      <c r="AC56" s="9">
        <v>1.84</v>
      </c>
      <c r="AD56" s="9">
        <v>1.88</v>
      </c>
      <c r="AE56" s="9">
        <v>19.079999999999998</v>
      </c>
    </row>
    <row r="57" spans="1:31" x14ac:dyDescent="0.25">
      <c r="A57" s="3" t="s">
        <v>326</v>
      </c>
      <c r="B57" s="9">
        <v>1854</v>
      </c>
      <c r="C57" s="9">
        <v>1931</v>
      </c>
      <c r="D57" s="9">
        <v>2035</v>
      </c>
      <c r="E57" s="9">
        <v>2193</v>
      </c>
      <c r="F57" s="9">
        <v>1854</v>
      </c>
      <c r="G57" s="9">
        <v>2320</v>
      </c>
      <c r="H57" s="9">
        <v>2427.91</v>
      </c>
      <c r="I57" s="9">
        <v>2520.06</v>
      </c>
      <c r="J57" s="9">
        <v>2625.48</v>
      </c>
      <c r="K57" s="9">
        <v>2327.1799999999998</v>
      </c>
      <c r="L57" s="9">
        <v>2730.14</v>
      </c>
      <c r="M57" s="9">
        <v>2817.23</v>
      </c>
      <c r="N57" s="9">
        <v>2903.03</v>
      </c>
      <c r="O57" s="9">
        <v>2997.74</v>
      </c>
      <c r="P57" s="9">
        <v>2734.92</v>
      </c>
      <c r="Q57" s="9">
        <v>2960.54</v>
      </c>
      <c r="R57" s="9">
        <v>3028.36</v>
      </c>
      <c r="S57" s="9">
        <v>3097.96</v>
      </c>
      <c r="T57" s="9">
        <v>3169.19</v>
      </c>
      <c r="U57" s="9">
        <v>3057.91</v>
      </c>
      <c r="V57" s="9">
        <v>3103.47</v>
      </c>
      <c r="W57" s="9">
        <v>3144.86</v>
      </c>
      <c r="X57" s="9">
        <v>3188.52</v>
      </c>
      <c r="Y57" s="9">
        <v>3234.33</v>
      </c>
      <c r="Z57" s="9">
        <v>3330.89</v>
      </c>
      <c r="AA57" s="9">
        <v>3276.46</v>
      </c>
      <c r="AB57" s="9">
        <v>3310.84</v>
      </c>
      <c r="AC57" s="9">
        <v>3347.4</v>
      </c>
      <c r="AD57" s="9">
        <v>3386.09</v>
      </c>
      <c r="AE57" s="9">
        <v>3545.04</v>
      </c>
    </row>
    <row r="58" spans="1:31" x14ac:dyDescent="0.25">
      <c r="A58" s="3" t="s">
        <v>325</v>
      </c>
      <c r="B58" s="9">
        <v>109</v>
      </c>
      <c r="C58" s="9">
        <v>114</v>
      </c>
      <c r="D58" s="9">
        <v>140</v>
      </c>
      <c r="E58" s="9">
        <v>110</v>
      </c>
      <c r="F58" s="9">
        <v>473</v>
      </c>
      <c r="G58" s="9">
        <v>94.44</v>
      </c>
      <c r="H58" s="9">
        <v>98.63</v>
      </c>
      <c r="I58" s="9">
        <v>107.75</v>
      </c>
      <c r="J58" s="9">
        <v>111.35</v>
      </c>
      <c r="K58" s="9">
        <v>412.16</v>
      </c>
      <c r="L58" s="9">
        <v>91.82</v>
      </c>
      <c r="M58" s="9">
        <v>91.44</v>
      </c>
      <c r="N58" s="9">
        <v>96.8</v>
      </c>
      <c r="O58" s="9">
        <v>101.1</v>
      </c>
      <c r="P58" s="9">
        <v>383.68</v>
      </c>
      <c r="Q58" s="9">
        <v>89.67</v>
      </c>
      <c r="R58" s="9">
        <v>91.33</v>
      </c>
      <c r="S58" s="9">
        <v>93.33</v>
      </c>
      <c r="T58" s="9">
        <v>90</v>
      </c>
      <c r="U58" s="9">
        <v>355.82</v>
      </c>
      <c r="V58" s="9">
        <v>19</v>
      </c>
      <c r="W58" s="9">
        <v>24</v>
      </c>
      <c r="X58" s="9">
        <v>30</v>
      </c>
      <c r="Y58" s="9">
        <v>20</v>
      </c>
      <c r="Z58" s="9">
        <v>217.44</v>
      </c>
      <c r="AA58" s="9">
        <v>4</v>
      </c>
      <c r="AB58" s="9">
        <v>9</v>
      </c>
      <c r="AC58" s="9">
        <v>15</v>
      </c>
      <c r="AD58" s="9">
        <v>5</v>
      </c>
      <c r="AE58" s="9">
        <v>199.13</v>
      </c>
    </row>
    <row r="59" spans="1:31" x14ac:dyDescent="0.25">
      <c r="A59" s="3" t="s">
        <v>324</v>
      </c>
      <c r="B59" s="10">
        <v>-32</v>
      </c>
      <c r="C59" s="10">
        <v>-10</v>
      </c>
      <c r="D59" s="9">
        <v>18</v>
      </c>
      <c r="E59" s="9">
        <v>17</v>
      </c>
      <c r="F59" s="10">
        <v>-7</v>
      </c>
      <c r="G59" s="9">
        <v>39.229999999999997</v>
      </c>
      <c r="H59" s="10">
        <v>-25</v>
      </c>
      <c r="I59" s="8" t="s">
        <v>66</v>
      </c>
      <c r="J59" s="8" t="s">
        <v>66</v>
      </c>
      <c r="K59" s="10">
        <v>-5.39</v>
      </c>
      <c r="L59" s="8" t="s">
        <v>66</v>
      </c>
      <c r="M59" s="8" t="s">
        <v>66</v>
      </c>
      <c r="N59" s="8" t="s">
        <v>66</v>
      </c>
      <c r="O59" s="8" t="s">
        <v>66</v>
      </c>
      <c r="P59" s="8" t="s">
        <v>66</v>
      </c>
      <c r="Q59" s="8" t="s">
        <v>66</v>
      </c>
      <c r="R59" s="8" t="s">
        <v>66</v>
      </c>
      <c r="S59" s="8" t="s">
        <v>66</v>
      </c>
      <c r="T59" s="8" t="s">
        <v>66</v>
      </c>
      <c r="U59" s="8" t="s">
        <v>66</v>
      </c>
      <c r="V59" s="8" t="s">
        <v>66</v>
      </c>
      <c r="W59" s="8" t="s">
        <v>66</v>
      </c>
      <c r="X59" s="8" t="s">
        <v>66</v>
      </c>
      <c r="Y59" s="8" t="s">
        <v>66</v>
      </c>
      <c r="Z59" s="8" t="s">
        <v>66</v>
      </c>
      <c r="AA59" s="8" t="s">
        <v>66</v>
      </c>
      <c r="AB59" s="8" t="s">
        <v>66</v>
      </c>
      <c r="AC59" s="8" t="s">
        <v>66</v>
      </c>
      <c r="AD59" s="8" t="s">
        <v>66</v>
      </c>
      <c r="AE59" s="8" t="s">
        <v>66</v>
      </c>
    </row>
    <row r="60" spans="1:31" x14ac:dyDescent="0.25">
      <c r="A60" s="4" t="s">
        <v>323</v>
      </c>
      <c r="B60" s="9">
        <v>77</v>
      </c>
      <c r="C60" s="9">
        <v>104</v>
      </c>
      <c r="D60" s="9">
        <v>158</v>
      </c>
      <c r="E60" s="9">
        <v>127</v>
      </c>
      <c r="F60" s="9">
        <v>466</v>
      </c>
      <c r="G60" s="9">
        <v>100.01</v>
      </c>
      <c r="H60" s="9">
        <v>92.15</v>
      </c>
      <c r="I60" s="9">
        <v>105.42</v>
      </c>
      <c r="J60" s="9">
        <v>109.44</v>
      </c>
      <c r="K60" s="9">
        <v>407.02</v>
      </c>
      <c r="L60" s="9">
        <v>87.1</v>
      </c>
      <c r="M60" s="9">
        <v>85.79</v>
      </c>
      <c r="N60" s="9">
        <v>94.71</v>
      </c>
      <c r="O60" s="9">
        <v>98.27</v>
      </c>
      <c r="P60" s="9">
        <v>358.2</v>
      </c>
      <c r="Q60" s="9">
        <v>67.81</v>
      </c>
      <c r="R60" s="9">
        <v>69.599999999999994</v>
      </c>
      <c r="S60" s="9">
        <v>71.23</v>
      </c>
      <c r="T60" s="9">
        <v>68.42</v>
      </c>
      <c r="U60" s="9">
        <v>307.33</v>
      </c>
      <c r="V60" s="9">
        <v>41.39</v>
      </c>
      <c r="W60" s="9">
        <v>43.66</v>
      </c>
      <c r="X60" s="9">
        <v>45.81</v>
      </c>
      <c r="Y60" s="9">
        <v>42.12</v>
      </c>
      <c r="Z60" s="9">
        <v>214.14</v>
      </c>
      <c r="AA60" s="9">
        <v>34.380000000000003</v>
      </c>
      <c r="AB60" s="9">
        <v>36.56</v>
      </c>
      <c r="AC60" s="9">
        <v>38.69</v>
      </c>
      <c r="AD60" s="9">
        <v>35.06</v>
      </c>
      <c r="AE60" s="9">
        <v>197.09</v>
      </c>
    </row>
    <row r="61" spans="1:31" x14ac:dyDescent="0.25">
      <c r="A61" s="4" t="s">
        <v>76</v>
      </c>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row>
    <row r="62" spans="1:31" x14ac:dyDescent="0.25">
      <c r="A62" s="3" t="s">
        <v>322</v>
      </c>
      <c r="B62" s="9">
        <v>459</v>
      </c>
      <c r="C62" s="9">
        <v>458</v>
      </c>
      <c r="D62" s="9">
        <v>456</v>
      </c>
      <c r="E62" s="9">
        <v>452</v>
      </c>
      <c r="F62" s="9">
        <v>452</v>
      </c>
      <c r="G62" s="9">
        <v>580.36</v>
      </c>
      <c r="H62" s="9">
        <v>582.04999999999995</v>
      </c>
      <c r="I62" s="9">
        <v>570.62</v>
      </c>
      <c r="J62" s="9">
        <v>571.41</v>
      </c>
      <c r="K62" s="9">
        <v>571.41</v>
      </c>
      <c r="L62" s="9">
        <v>588.97</v>
      </c>
      <c r="M62" s="9">
        <v>592.62</v>
      </c>
      <c r="N62" s="9">
        <v>595.32000000000005</v>
      </c>
      <c r="O62" s="9">
        <v>598.27</v>
      </c>
      <c r="P62" s="9">
        <v>581.17999999999995</v>
      </c>
      <c r="Q62" s="9">
        <v>686.66</v>
      </c>
      <c r="R62" s="9">
        <v>688.35</v>
      </c>
      <c r="S62" s="9">
        <v>692.32</v>
      </c>
      <c r="T62" s="9">
        <v>695.84</v>
      </c>
      <c r="U62" s="9">
        <v>614.83000000000004</v>
      </c>
      <c r="V62" s="9">
        <v>682.94</v>
      </c>
      <c r="W62" s="9">
        <v>683.25</v>
      </c>
      <c r="X62" s="9">
        <v>684.59</v>
      </c>
      <c r="Y62" s="9">
        <v>686.49</v>
      </c>
      <c r="Z62" s="9">
        <v>620.98</v>
      </c>
      <c r="AA62" s="9">
        <v>687.1</v>
      </c>
      <c r="AB62" s="9">
        <v>687.92</v>
      </c>
      <c r="AC62" s="9">
        <v>689.76</v>
      </c>
      <c r="AD62" s="9">
        <v>691.64</v>
      </c>
      <c r="AE62" s="9">
        <v>640.04999999999995</v>
      </c>
    </row>
    <row r="63" spans="1:31" x14ac:dyDescent="0.25">
      <c r="A63" s="3" t="s">
        <v>321</v>
      </c>
      <c r="B63" s="9">
        <v>1931</v>
      </c>
      <c r="C63" s="9">
        <v>2035</v>
      </c>
      <c r="D63" s="9">
        <v>2193</v>
      </c>
      <c r="E63" s="9">
        <v>2320</v>
      </c>
      <c r="F63" s="9">
        <v>2320</v>
      </c>
      <c r="G63" s="9">
        <v>2427.91</v>
      </c>
      <c r="H63" s="9">
        <v>2520.06</v>
      </c>
      <c r="I63" s="9">
        <v>2625.48</v>
      </c>
      <c r="J63" s="9">
        <v>2734.92</v>
      </c>
      <c r="K63" s="9">
        <v>2734.92</v>
      </c>
      <c r="L63" s="9">
        <v>2817.23</v>
      </c>
      <c r="M63" s="9">
        <v>2903.03</v>
      </c>
      <c r="N63" s="9">
        <v>2997.74</v>
      </c>
      <c r="O63" s="9">
        <v>3096.01</v>
      </c>
      <c r="P63" s="9">
        <v>3093.12</v>
      </c>
      <c r="Q63" s="9">
        <v>3028.36</v>
      </c>
      <c r="R63" s="9">
        <v>3097.96</v>
      </c>
      <c r="S63" s="9">
        <v>3169.19</v>
      </c>
      <c r="T63" s="9">
        <v>3237.6</v>
      </c>
      <c r="U63" s="9">
        <v>3365.24</v>
      </c>
      <c r="V63" s="9">
        <v>3144.86</v>
      </c>
      <c r="W63" s="9">
        <v>3188.52</v>
      </c>
      <c r="X63" s="9">
        <v>3234.33</v>
      </c>
      <c r="Y63" s="9">
        <v>3276.46</v>
      </c>
      <c r="Z63" s="9">
        <v>3545.04</v>
      </c>
      <c r="AA63" s="9">
        <v>3310.84</v>
      </c>
      <c r="AB63" s="9">
        <v>3347.4</v>
      </c>
      <c r="AC63" s="9">
        <v>3386.09</v>
      </c>
      <c r="AD63" s="9">
        <v>3421.14</v>
      </c>
      <c r="AE63" s="9">
        <v>3742.13</v>
      </c>
    </row>
    <row r="64" spans="1:31" x14ac:dyDescent="0.25">
      <c r="A64" s="4" t="s">
        <v>320</v>
      </c>
      <c r="B64" s="9">
        <v>2390</v>
      </c>
      <c r="C64" s="9">
        <v>2493</v>
      </c>
      <c r="D64" s="9">
        <v>2649</v>
      </c>
      <c r="E64" s="9">
        <v>2772</v>
      </c>
      <c r="F64" s="9">
        <v>2772</v>
      </c>
      <c r="G64" s="9">
        <v>2978.86</v>
      </c>
      <c r="H64" s="9">
        <v>3073.71</v>
      </c>
      <c r="I64" s="9">
        <v>3180.92</v>
      </c>
      <c r="J64" s="9">
        <v>3292.51</v>
      </c>
      <c r="K64" s="9">
        <v>3292.51</v>
      </c>
      <c r="L64" s="9">
        <v>3369.77</v>
      </c>
      <c r="M64" s="9">
        <v>3460.5</v>
      </c>
      <c r="N64" s="9">
        <v>3559.2</v>
      </c>
      <c r="O64" s="9">
        <v>3661.71</v>
      </c>
      <c r="P64" s="9">
        <v>3665.61</v>
      </c>
      <c r="Q64" s="9">
        <v>3660.27</v>
      </c>
      <c r="R64" s="9">
        <v>3732.31</v>
      </c>
      <c r="S64" s="9">
        <v>3806.75</v>
      </c>
      <c r="T64" s="9">
        <v>3877.95</v>
      </c>
      <c r="U64" s="9">
        <v>3975.39</v>
      </c>
      <c r="V64" s="9">
        <v>3939.1</v>
      </c>
      <c r="W64" s="9">
        <v>4002.08</v>
      </c>
      <c r="X64" s="9">
        <v>4067.44</v>
      </c>
      <c r="Y64" s="9">
        <v>4130.46</v>
      </c>
      <c r="Z64" s="9">
        <v>4239.08</v>
      </c>
      <c r="AA64" s="9">
        <v>4186.7</v>
      </c>
      <c r="AB64" s="9">
        <v>4244.74</v>
      </c>
      <c r="AC64" s="9">
        <v>4305.13</v>
      </c>
      <c r="AD64" s="9">
        <v>4362.83</v>
      </c>
      <c r="AE64" s="9">
        <v>4487.1400000000003</v>
      </c>
    </row>
    <row r="65" spans="1:31" x14ac:dyDescent="0.25">
      <c r="A65" s="4" t="s">
        <v>76</v>
      </c>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spans="1:31" x14ac:dyDescent="0.25">
      <c r="A66" s="4" t="s">
        <v>319</v>
      </c>
      <c r="B66" s="10">
        <v>-77.349999999999994</v>
      </c>
      <c r="C66" s="10">
        <v>-77.48</v>
      </c>
      <c r="D66" s="10">
        <v>-75.95</v>
      </c>
      <c r="E66" s="10">
        <v>-73.209999999999994</v>
      </c>
      <c r="F66" s="10">
        <v>-303.99</v>
      </c>
      <c r="G66" s="10">
        <v>-65.98</v>
      </c>
      <c r="H66" s="10">
        <v>-66.13</v>
      </c>
      <c r="I66" s="10">
        <v>-65.23</v>
      </c>
      <c r="J66" s="10">
        <v>-65.19</v>
      </c>
      <c r="K66" s="10">
        <v>-263.58999999999997</v>
      </c>
      <c r="L66" s="10">
        <v>-58.31</v>
      </c>
      <c r="M66" s="10">
        <v>-58.48</v>
      </c>
      <c r="N66" s="10">
        <v>-56.51</v>
      </c>
      <c r="O66" s="10">
        <v>-56.46</v>
      </c>
      <c r="P66" s="10">
        <v>-241.42</v>
      </c>
      <c r="Q66" s="10">
        <v>-55.9</v>
      </c>
      <c r="R66" s="10">
        <v>-56.43</v>
      </c>
      <c r="S66" s="10">
        <v>-54.32</v>
      </c>
      <c r="T66" s="10">
        <v>-54.56</v>
      </c>
      <c r="U66" s="10">
        <v>-221.98</v>
      </c>
      <c r="V66" s="10">
        <v>-52.85</v>
      </c>
      <c r="W66" s="10">
        <v>-53.34</v>
      </c>
      <c r="X66" s="10">
        <v>-51.4</v>
      </c>
      <c r="Y66" s="10">
        <v>-51.62</v>
      </c>
      <c r="Z66" s="10">
        <v>-204.89</v>
      </c>
      <c r="AA66" s="10">
        <v>-50.25</v>
      </c>
      <c r="AB66" s="10">
        <v>-50.7</v>
      </c>
      <c r="AC66" s="10">
        <v>-48.91</v>
      </c>
      <c r="AD66" s="10">
        <v>-49.11</v>
      </c>
      <c r="AE66" s="10">
        <v>-189.83</v>
      </c>
    </row>
    <row r="67" spans="1:31" x14ac:dyDescent="0.25">
      <c r="A67" s="4" t="s">
        <v>318</v>
      </c>
      <c r="B67" s="9">
        <v>3112.49</v>
      </c>
      <c r="C67" s="9">
        <v>3035.01</v>
      </c>
      <c r="D67" s="9">
        <v>2959.06</v>
      </c>
      <c r="E67" s="9">
        <v>2885.85</v>
      </c>
      <c r="F67" s="9">
        <v>2885.85</v>
      </c>
      <c r="G67" s="9">
        <v>2859.4</v>
      </c>
      <c r="H67" s="9">
        <v>2801.28</v>
      </c>
      <c r="I67" s="9">
        <v>2694.12</v>
      </c>
      <c r="J67" s="9">
        <v>2628.93</v>
      </c>
      <c r="K67" s="9">
        <v>2628.93</v>
      </c>
      <c r="L67" s="9">
        <v>2698.62</v>
      </c>
      <c r="M67" s="9">
        <v>2640.14</v>
      </c>
      <c r="N67" s="9">
        <v>2583.63</v>
      </c>
      <c r="O67" s="9">
        <v>2527.17</v>
      </c>
      <c r="P67" s="9">
        <v>2387.5100000000002</v>
      </c>
      <c r="Q67" s="9">
        <v>2419.04</v>
      </c>
      <c r="R67" s="9">
        <v>2362.61</v>
      </c>
      <c r="S67" s="9">
        <v>2308.29</v>
      </c>
      <c r="T67" s="9">
        <v>2253.73</v>
      </c>
      <c r="U67" s="9">
        <v>2165.52</v>
      </c>
      <c r="V67" s="9">
        <v>2200.87</v>
      </c>
      <c r="W67" s="9">
        <v>2147.5300000000002</v>
      </c>
      <c r="X67" s="9">
        <v>2096.14</v>
      </c>
      <c r="Y67" s="9">
        <v>2044.52</v>
      </c>
      <c r="Z67" s="9">
        <v>1960.63</v>
      </c>
      <c r="AA67" s="9">
        <v>1994.26</v>
      </c>
      <c r="AB67" s="9">
        <v>1943.56</v>
      </c>
      <c r="AC67" s="9">
        <v>1894.65</v>
      </c>
      <c r="AD67" s="9">
        <v>1845.54</v>
      </c>
      <c r="AE67" s="9">
        <v>1770.8</v>
      </c>
    </row>
    <row r="68" spans="1:31" x14ac:dyDescent="0.25">
      <c r="A68" s="4" t="s">
        <v>76</v>
      </c>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row>
    <row r="69" spans="1:31" x14ac:dyDescent="0.25">
      <c r="A69" s="4" t="s">
        <v>317</v>
      </c>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spans="1:31" x14ac:dyDescent="0.25">
      <c r="A70" s="3" t="s">
        <v>316</v>
      </c>
      <c r="B70" s="9">
        <v>3457</v>
      </c>
      <c r="C70" s="9">
        <v>3435</v>
      </c>
      <c r="D70" s="9">
        <v>3311</v>
      </c>
      <c r="E70" s="9">
        <v>3331</v>
      </c>
      <c r="F70" s="9">
        <v>13534</v>
      </c>
      <c r="G70" s="9">
        <v>3297.25</v>
      </c>
      <c r="H70" s="9">
        <v>3267.36</v>
      </c>
      <c r="I70" s="9">
        <v>3243.4</v>
      </c>
      <c r="J70" s="9">
        <v>3292.67</v>
      </c>
      <c r="K70" s="9">
        <v>13115.75</v>
      </c>
      <c r="L70" s="9">
        <v>3254.92</v>
      </c>
      <c r="M70" s="9">
        <v>3223.08</v>
      </c>
      <c r="N70" s="9">
        <v>3147.47</v>
      </c>
      <c r="O70" s="9">
        <v>3184.96</v>
      </c>
      <c r="P70" s="9">
        <v>12850.02</v>
      </c>
      <c r="Q70" s="9">
        <v>3170.57</v>
      </c>
      <c r="R70" s="9">
        <v>3134.4</v>
      </c>
      <c r="S70" s="9">
        <v>3048.55</v>
      </c>
      <c r="T70" s="9">
        <v>3129.96</v>
      </c>
      <c r="U70" s="9">
        <v>12560.67</v>
      </c>
      <c r="V70" s="9">
        <v>3156.42</v>
      </c>
      <c r="W70" s="9">
        <v>3109.33</v>
      </c>
      <c r="X70" s="9">
        <v>3053.31</v>
      </c>
      <c r="Y70" s="9">
        <v>3200.41</v>
      </c>
      <c r="Z70" s="9">
        <v>12342.24</v>
      </c>
      <c r="AA70" s="9">
        <v>3100.13</v>
      </c>
      <c r="AB70" s="9">
        <v>3057.48</v>
      </c>
      <c r="AC70" s="9">
        <v>3005.12</v>
      </c>
      <c r="AD70" s="9">
        <v>3156.57</v>
      </c>
      <c r="AE70" s="9">
        <v>12101.18</v>
      </c>
    </row>
    <row r="71" spans="1:31" x14ac:dyDescent="0.25">
      <c r="A71" s="3" t="s">
        <v>315</v>
      </c>
      <c r="B71" s="9">
        <v>3314</v>
      </c>
      <c r="C71" s="9">
        <v>3346</v>
      </c>
      <c r="D71" s="9">
        <v>3352</v>
      </c>
      <c r="E71" s="9">
        <v>3569</v>
      </c>
      <c r="F71" s="9">
        <v>13581</v>
      </c>
      <c r="G71" s="9">
        <v>3436.49</v>
      </c>
      <c r="H71" s="9">
        <v>3437.08</v>
      </c>
      <c r="I71" s="9">
        <v>3526</v>
      </c>
      <c r="J71" s="9">
        <v>3728.84</v>
      </c>
      <c r="K71" s="9">
        <v>14249.07</v>
      </c>
      <c r="L71" s="9">
        <v>3509.55</v>
      </c>
      <c r="M71" s="9">
        <v>3522.79</v>
      </c>
      <c r="N71" s="9">
        <v>3518.81</v>
      </c>
      <c r="O71" s="9">
        <v>3692.72</v>
      </c>
      <c r="P71" s="9">
        <v>14392.8</v>
      </c>
      <c r="Q71" s="9">
        <v>3487.12</v>
      </c>
      <c r="R71" s="9">
        <v>3484.36</v>
      </c>
      <c r="S71" s="9">
        <v>3459.77</v>
      </c>
      <c r="T71" s="9">
        <v>3674.14</v>
      </c>
      <c r="U71" s="9">
        <v>14553</v>
      </c>
      <c r="V71" s="9">
        <v>3347.48</v>
      </c>
      <c r="W71" s="9">
        <v>3314.62</v>
      </c>
      <c r="X71" s="9">
        <v>3263.66</v>
      </c>
      <c r="Y71" s="9">
        <v>3464.58</v>
      </c>
      <c r="Z71" s="9">
        <v>14616.95</v>
      </c>
      <c r="AA71" s="9">
        <v>3266.34</v>
      </c>
      <c r="AB71" s="9">
        <v>3239.19</v>
      </c>
      <c r="AC71" s="9">
        <v>3192.63</v>
      </c>
      <c r="AD71" s="9">
        <v>3399.8</v>
      </c>
      <c r="AE71" s="9">
        <v>14661.06</v>
      </c>
    </row>
    <row r="72" spans="1:31" x14ac:dyDescent="0.25">
      <c r="A72" s="3" t="s">
        <v>314</v>
      </c>
      <c r="B72" s="9">
        <v>515</v>
      </c>
      <c r="C72" s="9">
        <v>494</v>
      </c>
      <c r="D72" s="9">
        <v>479</v>
      </c>
      <c r="E72" s="9">
        <v>466</v>
      </c>
      <c r="F72" s="9">
        <v>1954</v>
      </c>
      <c r="G72" s="9">
        <v>506.75</v>
      </c>
      <c r="H72" s="9">
        <v>480.8</v>
      </c>
      <c r="I72" s="9">
        <v>464.95</v>
      </c>
      <c r="J72" s="9">
        <v>417.74</v>
      </c>
      <c r="K72" s="9">
        <v>1876.7</v>
      </c>
      <c r="L72" s="9">
        <v>480.52</v>
      </c>
      <c r="M72" s="9">
        <v>457.72</v>
      </c>
      <c r="N72" s="9">
        <v>490.98</v>
      </c>
      <c r="O72" s="9">
        <v>457.84</v>
      </c>
      <c r="P72" s="9">
        <v>1894.93</v>
      </c>
      <c r="Q72" s="9">
        <v>496.51</v>
      </c>
      <c r="R72" s="9">
        <v>477.03</v>
      </c>
      <c r="S72" s="9">
        <v>463.31</v>
      </c>
      <c r="T72" s="9">
        <v>451.49</v>
      </c>
      <c r="U72" s="9">
        <v>1816.45</v>
      </c>
      <c r="V72" s="9">
        <v>591.02</v>
      </c>
      <c r="W72" s="9">
        <v>569.04999999999995</v>
      </c>
      <c r="X72" s="9">
        <v>553.9</v>
      </c>
      <c r="Y72" s="9">
        <v>540.95000000000005</v>
      </c>
      <c r="Z72" s="9">
        <v>1836.34</v>
      </c>
      <c r="AA72" s="9">
        <v>617.62</v>
      </c>
      <c r="AB72" s="9">
        <v>595.23</v>
      </c>
      <c r="AC72" s="9">
        <v>579.94000000000005</v>
      </c>
      <c r="AD72" s="9">
        <v>566.91999999999996</v>
      </c>
      <c r="AE72" s="9">
        <v>1827.34</v>
      </c>
    </row>
    <row r="73" spans="1:31" x14ac:dyDescent="0.25">
      <c r="A73" s="4" t="s">
        <v>313</v>
      </c>
      <c r="B73" s="9">
        <v>7002</v>
      </c>
      <c r="C73" s="9">
        <v>6973</v>
      </c>
      <c r="D73" s="9">
        <v>6843</v>
      </c>
      <c r="E73" s="9">
        <v>7077</v>
      </c>
      <c r="F73" s="9">
        <v>29069</v>
      </c>
      <c r="G73" s="9">
        <v>7130</v>
      </c>
      <c r="H73" s="9">
        <v>7155</v>
      </c>
      <c r="I73" s="9">
        <v>7259.08</v>
      </c>
      <c r="J73" s="9">
        <v>7509.81</v>
      </c>
      <c r="K73" s="9">
        <v>29256.560000000001</v>
      </c>
      <c r="L73" s="9">
        <v>7337.87</v>
      </c>
      <c r="M73" s="9">
        <v>7238.86</v>
      </c>
      <c r="N73" s="9">
        <v>7168.08</v>
      </c>
      <c r="O73" s="9">
        <v>7482.67</v>
      </c>
      <c r="P73" s="9">
        <v>29322.39</v>
      </c>
      <c r="Q73" s="9">
        <v>7289.21</v>
      </c>
      <c r="R73" s="9">
        <v>7154.03</v>
      </c>
      <c r="S73" s="9">
        <v>7057.54</v>
      </c>
      <c r="T73" s="9">
        <v>7393.92</v>
      </c>
      <c r="U73" s="9">
        <v>29344.89</v>
      </c>
      <c r="V73" s="9">
        <v>7152.35</v>
      </c>
      <c r="W73" s="9">
        <v>6909.13</v>
      </c>
      <c r="X73" s="9">
        <v>6849.87</v>
      </c>
      <c r="Y73" s="9">
        <v>7184.08</v>
      </c>
      <c r="Z73" s="9">
        <v>29078.38</v>
      </c>
      <c r="AA73" s="9">
        <v>7042.65</v>
      </c>
      <c r="AB73" s="9">
        <v>6776.71</v>
      </c>
      <c r="AC73" s="9">
        <v>6723.68</v>
      </c>
      <c r="AD73" s="9">
        <v>7065.25</v>
      </c>
      <c r="AE73" s="9">
        <v>28938.32</v>
      </c>
    </row>
    <row r="74" spans="1:31" x14ac:dyDescent="0.25">
      <c r="A74" s="3" t="s">
        <v>312</v>
      </c>
      <c r="B74" s="9">
        <v>2154</v>
      </c>
      <c r="C74" s="9">
        <v>2060</v>
      </c>
      <c r="D74" s="9">
        <v>1985</v>
      </c>
      <c r="E74" s="9">
        <v>2083</v>
      </c>
      <c r="F74" s="9">
        <v>8282</v>
      </c>
      <c r="G74" s="9">
        <v>2117</v>
      </c>
      <c r="H74" s="9">
        <v>2023</v>
      </c>
      <c r="I74" s="9">
        <v>2165.54</v>
      </c>
      <c r="J74" s="9">
        <v>2209.86</v>
      </c>
      <c r="K74" s="9">
        <v>8695.74</v>
      </c>
      <c r="L74" s="9">
        <v>2277.2199999999998</v>
      </c>
      <c r="M74" s="9">
        <v>2154.27</v>
      </c>
      <c r="N74" s="9">
        <v>2164.0100000000002</v>
      </c>
      <c r="O74" s="9">
        <v>2195.33</v>
      </c>
      <c r="P74" s="9">
        <v>8861.8799999999992</v>
      </c>
      <c r="Q74" s="9">
        <v>2189.71</v>
      </c>
      <c r="R74" s="9">
        <v>2044.08</v>
      </c>
      <c r="S74" s="9">
        <v>2021.06</v>
      </c>
      <c r="T74" s="9">
        <v>2043.69</v>
      </c>
      <c r="U74" s="9">
        <v>8707.2000000000007</v>
      </c>
      <c r="V74" s="9">
        <v>2057.42</v>
      </c>
      <c r="W74" s="9">
        <v>1873.92</v>
      </c>
      <c r="X74" s="9">
        <v>1866.29</v>
      </c>
      <c r="Y74" s="9">
        <v>1866.19</v>
      </c>
      <c r="Z74" s="9">
        <v>8546.92</v>
      </c>
      <c r="AA74" s="9">
        <v>1987.86</v>
      </c>
      <c r="AB74" s="9">
        <v>1798.11</v>
      </c>
      <c r="AC74" s="9">
        <v>1790.9</v>
      </c>
      <c r="AD74" s="9">
        <v>1790.92</v>
      </c>
      <c r="AE74" s="9">
        <v>8461.44</v>
      </c>
    </row>
    <row r="75" spans="1:31" x14ac:dyDescent="0.25">
      <c r="A75" s="3" t="s">
        <v>311</v>
      </c>
      <c r="B75" s="9">
        <v>1194</v>
      </c>
      <c r="C75" s="9">
        <v>1201</v>
      </c>
      <c r="D75" s="9">
        <v>1213</v>
      </c>
      <c r="E75" s="9">
        <v>1438</v>
      </c>
      <c r="F75" s="9">
        <v>5046</v>
      </c>
      <c r="G75" s="9">
        <v>1202</v>
      </c>
      <c r="H75" s="9">
        <v>1203</v>
      </c>
      <c r="I75" s="9">
        <v>1203.68</v>
      </c>
      <c r="J75" s="9">
        <v>1468.9</v>
      </c>
      <c r="K75" s="9">
        <v>5093.4799999999996</v>
      </c>
      <c r="L75" s="9">
        <v>1219.57</v>
      </c>
      <c r="M75" s="9">
        <v>1194.1199999999999</v>
      </c>
      <c r="N75" s="9">
        <v>1205.19</v>
      </c>
      <c r="O75" s="9">
        <v>1468.73</v>
      </c>
      <c r="P75" s="9">
        <v>5166.55</v>
      </c>
      <c r="Q75" s="9">
        <v>1265.51</v>
      </c>
      <c r="R75" s="9">
        <v>1288.5</v>
      </c>
      <c r="S75" s="9">
        <v>1231.8800000000001</v>
      </c>
      <c r="T75" s="9">
        <v>1495.92</v>
      </c>
      <c r="U75" s="9">
        <v>5353.29</v>
      </c>
      <c r="V75" s="9">
        <v>1274.9100000000001</v>
      </c>
      <c r="W75" s="9">
        <v>1244.1500000000001</v>
      </c>
      <c r="X75" s="9">
        <v>1192.9100000000001</v>
      </c>
      <c r="Y75" s="9">
        <v>1407.6</v>
      </c>
      <c r="Z75" s="9">
        <v>5395.91</v>
      </c>
      <c r="AA75" s="9">
        <v>1295.01</v>
      </c>
      <c r="AB75" s="9">
        <v>1261.8699999999999</v>
      </c>
      <c r="AC75" s="9">
        <v>1210.57</v>
      </c>
      <c r="AD75" s="9">
        <v>1430.7</v>
      </c>
      <c r="AE75" s="9">
        <v>5484.63</v>
      </c>
    </row>
    <row r="76" spans="1:31" x14ac:dyDescent="0.25">
      <c r="A76" s="4" t="s">
        <v>310</v>
      </c>
      <c r="B76" s="9">
        <v>3348</v>
      </c>
      <c r="C76" s="9">
        <v>3261</v>
      </c>
      <c r="D76" s="9">
        <v>3198</v>
      </c>
      <c r="E76" s="9">
        <v>3521</v>
      </c>
      <c r="F76" s="9">
        <v>13328</v>
      </c>
      <c r="G76" s="9">
        <v>3319</v>
      </c>
      <c r="H76" s="9">
        <v>3226</v>
      </c>
      <c r="I76" s="9">
        <v>3369.22</v>
      </c>
      <c r="J76" s="9">
        <v>3678.75</v>
      </c>
      <c r="K76" s="9">
        <v>13789.21</v>
      </c>
      <c r="L76" s="9">
        <v>3496.79</v>
      </c>
      <c r="M76" s="9">
        <v>3348.39</v>
      </c>
      <c r="N76" s="9">
        <v>3369.21</v>
      </c>
      <c r="O76" s="9">
        <v>3664.05</v>
      </c>
      <c r="P76" s="9">
        <v>14028.43</v>
      </c>
      <c r="Q76" s="9">
        <v>3455.22</v>
      </c>
      <c r="R76" s="9">
        <v>3332.58</v>
      </c>
      <c r="S76" s="9">
        <v>3252.94</v>
      </c>
      <c r="T76" s="9">
        <v>3539.61</v>
      </c>
      <c r="U76" s="9">
        <v>14060.49</v>
      </c>
      <c r="V76" s="9">
        <v>3332.33</v>
      </c>
      <c r="W76" s="9">
        <v>3118.07</v>
      </c>
      <c r="X76" s="9">
        <v>3059.2</v>
      </c>
      <c r="Y76" s="9">
        <v>3273.79</v>
      </c>
      <c r="Z76" s="9">
        <v>13942.83</v>
      </c>
      <c r="AA76" s="9">
        <v>3282.86</v>
      </c>
      <c r="AB76" s="9">
        <v>3059.98</v>
      </c>
      <c r="AC76" s="9">
        <v>3001.47</v>
      </c>
      <c r="AD76" s="9">
        <v>3221.62</v>
      </c>
      <c r="AE76" s="9">
        <v>13946.07</v>
      </c>
    </row>
    <row r="77" spans="1:31" x14ac:dyDescent="0.25">
      <c r="A77" s="4" t="s">
        <v>309</v>
      </c>
      <c r="B77" s="9">
        <v>3654</v>
      </c>
      <c r="C77" s="9">
        <v>3712</v>
      </c>
      <c r="D77" s="9">
        <v>3645</v>
      </c>
      <c r="E77" s="9">
        <v>3556</v>
      </c>
      <c r="F77" s="9">
        <v>14567</v>
      </c>
      <c r="G77" s="9">
        <v>3811</v>
      </c>
      <c r="H77" s="9">
        <v>3929</v>
      </c>
      <c r="I77" s="9">
        <v>3874.1</v>
      </c>
      <c r="J77" s="9">
        <v>3829.02</v>
      </c>
      <c r="K77" s="9">
        <v>15959.11</v>
      </c>
      <c r="L77" s="9">
        <v>3846.26</v>
      </c>
      <c r="M77" s="9">
        <v>3859.01</v>
      </c>
      <c r="N77" s="9">
        <v>3784.71</v>
      </c>
      <c r="O77" s="9">
        <v>3796.67</v>
      </c>
      <c r="P77" s="9">
        <v>16305.05</v>
      </c>
      <c r="Q77" s="9">
        <v>3821.63</v>
      </c>
      <c r="R77" s="9">
        <v>3754.42</v>
      </c>
      <c r="S77" s="9">
        <v>3717.22</v>
      </c>
      <c r="T77" s="9">
        <v>3760.01</v>
      </c>
      <c r="U77" s="9">
        <v>16285.93</v>
      </c>
      <c r="V77" s="9">
        <v>3666.93</v>
      </c>
      <c r="W77" s="9">
        <v>3572.82</v>
      </c>
      <c r="X77" s="9">
        <v>3549.34</v>
      </c>
      <c r="Y77" s="9">
        <v>3625.84</v>
      </c>
      <c r="Z77" s="9">
        <v>14964.71</v>
      </c>
      <c r="AA77" s="9">
        <v>3550.72</v>
      </c>
      <c r="AB77" s="9">
        <v>3434.89</v>
      </c>
      <c r="AC77" s="9">
        <v>3418.25</v>
      </c>
      <c r="AD77" s="9">
        <v>3498.29</v>
      </c>
      <c r="AE77" s="9">
        <v>14783.18</v>
      </c>
    </row>
    <row r="78" spans="1:31" x14ac:dyDescent="0.25">
      <c r="A78" s="3" t="s">
        <v>308</v>
      </c>
      <c r="B78" s="9">
        <v>1919</v>
      </c>
      <c r="C78" s="9">
        <v>1990</v>
      </c>
      <c r="D78" s="9">
        <v>1927</v>
      </c>
      <c r="E78" s="9">
        <v>1885</v>
      </c>
      <c r="F78" s="9">
        <v>7721</v>
      </c>
      <c r="G78" s="9">
        <v>1806</v>
      </c>
      <c r="H78" s="9">
        <v>1847</v>
      </c>
      <c r="I78" s="9">
        <v>1966.9</v>
      </c>
      <c r="J78" s="9">
        <v>1968.44</v>
      </c>
      <c r="K78" s="9">
        <v>7716.32</v>
      </c>
      <c r="L78" s="9">
        <v>1854.83</v>
      </c>
      <c r="M78" s="9">
        <v>1800.69</v>
      </c>
      <c r="N78" s="9">
        <v>1923.74</v>
      </c>
      <c r="O78" s="9">
        <v>1952.96</v>
      </c>
      <c r="P78" s="9">
        <v>7572.46</v>
      </c>
      <c r="Q78" s="9">
        <v>1805.35</v>
      </c>
      <c r="R78" s="9">
        <v>1671.63</v>
      </c>
      <c r="S78" s="9">
        <v>1887.3</v>
      </c>
      <c r="T78" s="9">
        <v>1923.4</v>
      </c>
      <c r="U78" s="9">
        <v>7358.37</v>
      </c>
      <c r="V78" s="9">
        <v>1656.29</v>
      </c>
      <c r="W78" s="9">
        <v>1432.27</v>
      </c>
      <c r="X78" s="9">
        <v>1749.45</v>
      </c>
      <c r="Y78" s="9">
        <v>1785.49</v>
      </c>
      <c r="Z78" s="9">
        <v>7120.94</v>
      </c>
      <c r="AA78" s="9">
        <v>1580.75</v>
      </c>
      <c r="AB78" s="9">
        <v>1349.07</v>
      </c>
      <c r="AC78" s="9">
        <v>1666.2</v>
      </c>
      <c r="AD78" s="9">
        <v>1697.16</v>
      </c>
      <c r="AE78" s="9">
        <v>6968.64</v>
      </c>
    </row>
    <row r="79" spans="1:31" x14ac:dyDescent="0.25">
      <c r="A79" s="4" t="s">
        <v>307</v>
      </c>
      <c r="B79" s="9">
        <v>5267</v>
      </c>
      <c r="C79" s="9">
        <v>5251</v>
      </c>
      <c r="D79" s="9">
        <v>5125</v>
      </c>
      <c r="E79" s="9">
        <v>5406</v>
      </c>
      <c r="F79" s="9">
        <v>21049</v>
      </c>
      <c r="G79" s="9">
        <v>5125</v>
      </c>
      <c r="H79" s="9">
        <v>5073</v>
      </c>
      <c r="I79" s="9">
        <v>5314.2</v>
      </c>
      <c r="J79" s="9">
        <v>5625.68</v>
      </c>
      <c r="K79" s="9">
        <v>20666</v>
      </c>
      <c r="L79" s="9">
        <v>5351.63</v>
      </c>
      <c r="M79" s="9">
        <v>5149.08</v>
      </c>
      <c r="N79" s="9">
        <v>5292.95</v>
      </c>
      <c r="O79" s="9">
        <v>5617.01</v>
      </c>
      <c r="P79" s="9">
        <v>21474.26</v>
      </c>
      <c r="Q79" s="9">
        <v>5260.57</v>
      </c>
      <c r="R79" s="9">
        <v>5004.21</v>
      </c>
      <c r="S79" s="9">
        <v>5140.24</v>
      </c>
      <c r="T79" s="9">
        <v>5463.02</v>
      </c>
      <c r="U79" s="9">
        <v>21269.69</v>
      </c>
      <c r="V79" s="9">
        <v>4988.62</v>
      </c>
      <c r="W79" s="9">
        <v>4550.34</v>
      </c>
      <c r="X79" s="9">
        <v>4808.6499999999996</v>
      </c>
      <c r="Y79" s="9">
        <v>5059.28</v>
      </c>
      <c r="Z79" s="9">
        <v>20899.759999999998</v>
      </c>
      <c r="AA79" s="9">
        <v>4863.62</v>
      </c>
      <c r="AB79" s="9">
        <v>4409.05</v>
      </c>
      <c r="AC79" s="9">
        <v>4667.66</v>
      </c>
      <c r="AD79" s="9">
        <v>4918.78</v>
      </c>
      <c r="AE79" s="9">
        <v>20750.78</v>
      </c>
    </row>
    <row r="80" spans="1:31" x14ac:dyDescent="0.25">
      <c r="A80" s="3" t="s">
        <v>306</v>
      </c>
      <c r="B80" s="9">
        <v>989</v>
      </c>
      <c r="C80" s="9">
        <v>998</v>
      </c>
      <c r="D80" s="9">
        <v>1002</v>
      </c>
      <c r="E80" s="9">
        <v>987</v>
      </c>
      <c r="F80" s="9">
        <v>3976</v>
      </c>
      <c r="G80" s="9">
        <v>1049</v>
      </c>
      <c r="H80" s="9">
        <v>1091</v>
      </c>
      <c r="I80" s="9">
        <v>1096.95</v>
      </c>
      <c r="J80" s="9">
        <v>1099.08</v>
      </c>
      <c r="K80" s="9">
        <v>4349.8599999999997</v>
      </c>
      <c r="L80" s="9">
        <v>1094.3900000000001</v>
      </c>
      <c r="M80" s="9">
        <v>1102.5999999999999</v>
      </c>
      <c r="N80" s="9">
        <v>1116.17</v>
      </c>
      <c r="O80" s="9">
        <v>1119.8499999999999</v>
      </c>
      <c r="P80" s="9">
        <v>4426.12</v>
      </c>
      <c r="Q80" s="9">
        <v>1103.27</v>
      </c>
      <c r="R80" s="9">
        <v>1120.0999999999999</v>
      </c>
      <c r="S80" s="9">
        <v>1138.0899999999999</v>
      </c>
      <c r="T80" s="9">
        <v>1127.98</v>
      </c>
      <c r="U80" s="9">
        <v>4395.13</v>
      </c>
      <c r="V80" s="9">
        <v>1110.82</v>
      </c>
      <c r="W80" s="9">
        <v>1114.03</v>
      </c>
      <c r="X80" s="9">
        <v>1130.1500000000001</v>
      </c>
      <c r="Y80" s="9">
        <v>1123.57</v>
      </c>
      <c r="Z80" s="9">
        <v>4377.74</v>
      </c>
      <c r="AA80" s="9">
        <v>1117.5999999999999</v>
      </c>
      <c r="AB80" s="9">
        <v>1120.8499999999999</v>
      </c>
      <c r="AC80" s="9">
        <v>1137.28</v>
      </c>
      <c r="AD80" s="9">
        <v>1130.55</v>
      </c>
      <c r="AE80" s="9">
        <v>4374.96</v>
      </c>
    </row>
    <row r="81" spans="1:31" x14ac:dyDescent="0.25">
      <c r="A81" s="4" t="s">
        <v>305</v>
      </c>
      <c r="B81" s="9">
        <v>6256</v>
      </c>
      <c r="C81" s="9">
        <v>6249</v>
      </c>
      <c r="D81" s="9">
        <v>6127</v>
      </c>
      <c r="E81" s="9">
        <v>6393</v>
      </c>
      <c r="F81" s="9">
        <v>25025</v>
      </c>
      <c r="G81" s="9">
        <v>6174</v>
      </c>
      <c r="H81" s="9">
        <v>6164</v>
      </c>
      <c r="I81" s="9">
        <v>6374.11</v>
      </c>
      <c r="J81" s="9">
        <v>6680.2</v>
      </c>
      <c r="K81" s="9">
        <v>25457.96</v>
      </c>
      <c r="L81" s="9">
        <v>6373.03</v>
      </c>
      <c r="M81" s="9">
        <v>6181.97</v>
      </c>
      <c r="N81" s="9">
        <v>6318.19</v>
      </c>
      <c r="O81" s="9">
        <v>6622.92</v>
      </c>
      <c r="P81" s="9">
        <v>25682.31</v>
      </c>
      <c r="Q81" s="9">
        <v>6140.65</v>
      </c>
      <c r="R81" s="9">
        <v>5830.17</v>
      </c>
      <c r="S81" s="9">
        <v>5932.32</v>
      </c>
      <c r="T81" s="9">
        <v>6121.44</v>
      </c>
      <c r="U81" s="9">
        <v>25419.37</v>
      </c>
      <c r="V81" s="9">
        <v>5996.5</v>
      </c>
      <c r="W81" s="9">
        <v>5655.35</v>
      </c>
      <c r="X81" s="9">
        <v>5759.09</v>
      </c>
      <c r="Y81" s="9">
        <v>5955.71</v>
      </c>
      <c r="Z81" s="9">
        <v>25510.31</v>
      </c>
      <c r="AA81" s="9">
        <v>5861.64</v>
      </c>
      <c r="AB81" s="9">
        <v>5492.45</v>
      </c>
      <c r="AC81" s="9">
        <v>5597.34</v>
      </c>
      <c r="AD81" s="9">
        <v>5800.5</v>
      </c>
      <c r="AE81" s="9">
        <v>25381.75</v>
      </c>
    </row>
    <row r="82" spans="1:31" x14ac:dyDescent="0.25">
      <c r="A82" s="4" t="s">
        <v>304</v>
      </c>
      <c r="B82" s="9">
        <v>1735</v>
      </c>
      <c r="C82" s="9">
        <v>1722</v>
      </c>
      <c r="D82" s="9">
        <v>1718</v>
      </c>
      <c r="E82" s="9">
        <v>1671</v>
      </c>
      <c r="F82" s="9">
        <v>6846</v>
      </c>
      <c r="G82" s="9">
        <v>2005</v>
      </c>
      <c r="H82" s="9">
        <v>2082</v>
      </c>
      <c r="I82" s="9">
        <v>1921.04</v>
      </c>
      <c r="J82" s="9">
        <v>1867.81</v>
      </c>
      <c r="K82" s="9">
        <v>7818.95</v>
      </c>
      <c r="L82" s="9">
        <v>2014.53</v>
      </c>
      <c r="M82" s="9">
        <v>2127.2199999999998</v>
      </c>
      <c r="N82" s="9">
        <v>1893.46</v>
      </c>
      <c r="O82" s="9">
        <v>1842.29</v>
      </c>
      <c r="P82" s="9">
        <v>7901.42</v>
      </c>
      <c r="Q82" s="9">
        <v>2016.28</v>
      </c>
      <c r="R82" s="9">
        <v>2082.79</v>
      </c>
      <c r="S82" s="9">
        <v>1829.92</v>
      </c>
      <c r="T82" s="9">
        <v>1836.61</v>
      </c>
      <c r="U82" s="9">
        <v>7934.25</v>
      </c>
      <c r="V82" s="9">
        <v>2010.64</v>
      </c>
      <c r="W82" s="9">
        <v>2140.5500000000002</v>
      </c>
      <c r="X82" s="9">
        <v>1799.89</v>
      </c>
      <c r="Y82" s="9">
        <v>1840.35</v>
      </c>
      <c r="Z82" s="9">
        <v>7843.77</v>
      </c>
      <c r="AA82" s="9">
        <v>1969.97</v>
      </c>
      <c r="AB82" s="9">
        <v>2085.8200000000002</v>
      </c>
      <c r="AC82" s="9">
        <v>1752.05</v>
      </c>
      <c r="AD82" s="9">
        <v>1801.13</v>
      </c>
      <c r="AE82" s="9">
        <v>7814.54</v>
      </c>
    </row>
    <row r="83" spans="1:31" x14ac:dyDescent="0.25">
      <c r="A83" s="4" t="s">
        <v>303</v>
      </c>
      <c r="B83" s="9">
        <v>746</v>
      </c>
      <c r="C83" s="9">
        <v>724</v>
      </c>
      <c r="D83" s="9">
        <v>716</v>
      </c>
      <c r="E83" s="9">
        <v>684</v>
      </c>
      <c r="F83" s="9">
        <v>2870</v>
      </c>
      <c r="G83" s="9">
        <v>956</v>
      </c>
      <c r="H83" s="9">
        <v>991</v>
      </c>
      <c r="I83" s="9">
        <v>825.05</v>
      </c>
      <c r="J83" s="9">
        <v>774.55</v>
      </c>
      <c r="K83" s="9">
        <v>3475.33</v>
      </c>
      <c r="L83" s="9">
        <v>911.29</v>
      </c>
      <c r="M83" s="9">
        <v>933.14</v>
      </c>
      <c r="N83" s="9">
        <v>777.56</v>
      </c>
      <c r="O83" s="9">
        <v>767.24</v>
      </c>
      <c r="P83" s="9">
        <v>3415.66</v>
      </c>
      <c r="Q83" s="9">
        <v>1016.3</v>
      </c>
      <c r="R83" s="9">
        <v>969.65</v>
      </c>
      <c r="S83" s="9">
        <v>797.12</v>
      </c>
      <c r="T83" s="9">
        <v>867.2</v>
      </c>
      <c r="U83" s="9">
        <v>3549.83</v>
      </c>
      <c r="V83" s="9">
        <v>954.93</v>
      </c>
      <c r="W83" s="9">
        <v>884.48</v>
      </c>
      <c r="X83" s="9">
        <v>718.28</v>
      </c>
      <c r="Y83" s="9">
        <v>790.76</v>
      </c>
      <c r="Z83" s="9">
        <v>3479.76</v>
      </c>
      <c r="AA83" s="9">
        <v>896.69</v>
      </c>
      <c r="AB83" s="9">
        <v>803.9</v>
      </c>
      <c r="AC83" s="9">
        <v>643.39</v>
      </c>
      <c r="AD83" s="9">
        <v>717.72</v>
      </c>
      <c r="AE83" s="9">
        <v>3628.98</v>
      </c>
    </row>
    <row r="84" spans="1:31" x14ac:dyDescent="0.25">
      <c r="A84" s="4" t="s">
        <v>76</v>
      </c>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row>
    <row r="85" spans="1:31" x14ac:dyDescent="0.25">
      <c r="A85" s="4" t="s">
        <v>259</v>
      </c>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row>
    <row r="86" spans="1:31" x14ac:dyDescent="0.25">
      <c r="A86" s="3" t="s">
        <v>302</v>
      </c>
      <c r="B86" s="9">
        <v>715</v>
      </c>
      <c r="C86" s="9">
        <v>756</v>
      </c>
      <c r="D86" s="9">
        <v>756</v>
      </c>
      <c r="E86" s="9">
        <v>783</v>
      </c>
      <c r="F86" s="9">
        <v>3010</v>
      </c>
      <c r="G86" s="9">
        <v>773.87</v>
      </c>
      <c r="H86" s="9">
        <v>767.36</v>
      </c>
      <c r="I86" s="9">
        <v>769.71</v>
      </c>
      <c r="J86" s="9">
        <v>770.53</v>
      </c>
      <c r="K86" s="9">
        <v>3081.47</v>
      </c>
      <c r="L86" s="9">
        <v>769.61</v>
      </c>
      <c r="M86" s="9">
        <v>755.43</v>
      </c>
      <c r="N86" s="9">
        <v>771.05</v>
      </c>
      <c r="O86" s="9">
        <v>775.84</v>
      </c>
      <c r="P86" s="9">
        <v>3038.37</v>
      </c>
      <c r="Q86" s="9">
        <v>779.88</v>
      </c>
      <c r="R86" s="9">
        <v>753.3</v>
      </c>
      <c r="S86" s="9">
        <v>772.33</v>
      </c>
      <c r="T86" s="9">
        <v>775.36</v>
      </c>
      <c r="U86" s="9">
        <v>3036.89</v>
      </c>
      <c r="V86" s="9">
        <v>810.8</v>
      </c>
      <c r="W86" s="9">
        <v>741.01</v>
      </c>
      <c r="X86" s="9">
        <v>770.56</v>
      </c>
      <c r="Y86" s="9">
        <v>764.29</v>
      </c>
      <c r="Z86" s="9">
        <v>3034.05</v>
      </c>
      <c r="AA86" s="9">
        <v>818.97</v>
      </c>
      <c r="AB86" s="9">
        <v>747.39</v>
      </c>
      <c r="AC86" s="9">
        <v>777.98</v>
      </c>
      <c r="AD86" s="9">
        <v>771.36</v>
      </c>
      <c r="AE86" s="9">
        <v>3053.3</v>
      </c>
    </row>
    <row r="87" spans="1:31" x14ac:dyDescent="0.25">
      <c r="A87" s="3" t="s">
        <v>301</v>
      </c>
      <c r="B87" s="8" t="s">
        <v>291</v>
      </c>
      <c r="C87" s="8" t="s">
        <v>300</v>
      </c>
      <c r="D87" s="8" t="s">
        <v>297</v>
      </c>
      <c r="E87" s="8" t="s">
        <v>299</v>
      </c>
      <c r="F87" s="8" t="s">
        <v>298</v>
      </c>
      <c r="G87" s="8" t="s">
        <v>297</v>
      </c>
      <c r="H87" s="8" t="s">
        <v>54</v>
      </c>
      <c r="I87" s="8" t="s">
        <v>52</v>
      </c>
      <c r="J87" s="8" t="s">
        <v>296</v>
      </c>
      <c r="K87" s="8" t="s">
        <v>296</v>
      </c>
      <c r="L87" s="8" t="s">
        <v>295</v>
      </c>
      <c r="M87" s="8" t="s">
        <v>53</v>
      </c>
      <c r="N87" s="8" t="s">
        <v>295</v>
      </c>
      <c r="O87" s="8" t="s">
        <v>294</v>
      </c>
      <c r="P87" s="8" t="s">
        <v>293</v>
      </c>
      <c r="Q87" s="8" t="s">
        <v>295</v>
      </c>
      <c r="R87" s="8" t="s">
        <v>51</v>
      </c>
      <c r="S87" s="8" t="s">
        <v>294</v>
      </c>
      <c r="T87" s="8" t="s">
        <v>54</v>
      </c>
      <c r="U87" s="8" t="s">
        <v>293</v>
      </c>
      <c r="V87" s="8" t="s">
        <v>292</v>
      </c>
      <c r="W87" s="8" t="s">
        <v>60</v>
      </c>
      <c r="X87" s="8" t="s">
        <v>291</v>
      </c>
      <c r="Y87" s="8" t="s">
        <v>54</v>
      </c>
      <c r="Z87" s="8" t="s">
        <v>54</v>
      </c>
      <c r="AA87" s="8" t="s">
        <v>292</v>
      </c>
      <c r="AB87" s="8" t="s">
        <v>57</v>
      </c>
      <c r="AC87" s="8" t="s">
        <v>291</v>
      </c>
      <c r="AD87" s="8" t="s">
        <v>54</v>
      </c>
      <c r="AE87" s="8" t="s">
        <v>54</v>
      </c>
    </row>
    <row r="88" spans="1:31" x14ac:dyDescent="0.25">
      <c r="A88" s="3" t="s">
        <v>290</v>
      </c>
      <c r="B88" s="9">
        <v>647.79</v>
      </c>
      <c r="C88" s="9">
        <v>711.7</v>
      </c>
      <c r="D88" s="9">
        <v>707.44</v>
      </c>
      <c r="E88" s="9">
        <v>720.59</v>
      </c>
      <c r="F88" s="9">
        <v>2787.51</v>
      </c>
      <c r="G88" s="9">
        <v>702.21</v>
      </c>
      <c r="H88" s="9">
        <v>669.05</v>
      </c>
      <c r="I88" s="9">
        <v>693.3</v>
      </c>
      <c r="J88" s="9">
        <v>686.59</v>
      </c>
      <c r="K88" s="9">
        <v>2745.39</v>
      </c>
      <c r="L88" s="9">
        <v>702.43</v>
      </c>
      <c r="M88" s="9">
        <v>669.34</v>
      </c>
      <c r="N88" s="9">
        <v>698.65</v>
      </c>
      <c r="O88" s="9">
        <v>696.85</v>
      </c>
      <c r="P88" s="9">
        <v>2747.15</v>
      </c>
      <c r="Q88" s="9">
        <v>716.7</v>
      </c>
      <c r="R88" s="9">
        <v>664.91</v>
      </c>
      <c r="S88" s="9">
        <v>700.01</v>
      </c>
      <c r="T88" s="9">
        <v>695.48</v>
      </c>
      <c r="U88" s="9">
        <v>2763.1</v>
      </c>
      <c r="V88" s="9">
        <v>732.88</v>
      </c>
      <c r="W88" s="9">
        <v>647.30999999999995</v>
      </c>
      <c r="X88" s="9">
        <v>696.23</v>
      </c>
      <c r="Y88" s="9">
        <v>704.82</v>
      </c>
      <c r="Z88" s="9">
        <v>2776.79</v>
      </c>
      <c r="AA88" s="9">
        <v>742.15</v>
      </c>
      <c r="AB88" s="9">
        <v>654.61</v>
      </c>
      <c r="AC88" s="9">
        <v>704.64</v>
      </c>
      <c r="AD88" s="9">
        <v>713.25</v>
      </c>
      <c r="AE88" s="9">
        <v>2803.93</v>
      </c>
    </row>
    <row r="89" spans="1:31" x14ac:dyDescent="0.25">
      <c r="A89" s="4" t="s">
        <v>289</v>
      </c>
      <c r="B89" s="9">
        <v>67</v>
      </c>
      <c r="C89" s="9">
        <v>42</v>
      </c>
      <c r="D89" s="9">
        <v>51</v>
      </c>
      <c r="E89" s="9">
        <v>65</v>
      </c>
      <c r="F89" s="9">
        <v>225</v>
      </c>
      <c r="G89" s="9">
        <v>90</v>
      </c>
      <c r="H89" s="9">
        <v>108.32</v>
      </c>
      <c r="I89" s="9">
        <v>74.62</v>
      </c>
      <c r="J89" s="9">
        <v>80.91</v>
      </c>
      <c r="K89" s="9">
        <v>330.03</v>
      </c>
      <c r="L89" s="9">
        <v>72.489999999999995</v>
      </c>
      <c r="M89" s="9">
        <v>84.88</v>
      </c>
      <c r="N89" s="9">
        <v>68.989999999999995</v>
      </c>
      <c r="O89" s="9">
        <v>97.72</v>
      </c>
      <c r="P89" s="9">
        <v>301.35000000000002</v>
      </c>
      <c r="Q89" s="9">
        <v>72.290000000000006</v>
      </c>
      <c r="R89" s="9">
        <v>91.52</v>
      </c>
      <c r="S89" s="9">
        <v>72.27</v>
      </c>
      <c r="T89" s="9">
        <v>83.24</v>
      </c>
      <c r="U89" s="9">
        <v>284.11</v>
      </c>
      <c r="V89" s="9">
        <v>77.92</v>
      </c>
      <c r="W89" s="9">
        <v>93.69</v>
      </c>
      <c r="X89" s="9">
        <v>74.33</v>
      </c>
      <c r="Y89" s="9">
        <v>59.47</v>
      </c>
      <c r="Z89" s="9">
        <v>265.83999999999997</v>
      </c>
      <c r="AA89" s="9">
        <v>76.83</v>
      </c>
      <c r="AB89" s="9">
        <v>92.78</v>
      </c>
      <c r="AC89" s="9">
        <v>73.33</v>
      </c>
      <c r="AD89" s="9">
        <v>58.11</v>
      </c>
      <c r="AE89" s="9">
        <v>259.19</v>
      </c>
    </row>
    <row r="90" spans="1:31" x14ac:dyDescent="0.25">
      <c r="A90" s="3" t="s">
        <v>288</v>
      </c>
      <c r="B90" s="10">
        <v>-4</v>
      </c>
      <c r="C90" s="10">
        <v>-2</v>
      </c>
      <c r="D90" s="10">
        <v>-17</v>
      </c>
      <c r="E90" s="10">
        <v>-3</v>
      </c>
      <c r="F90" s="10">
        <v>-26</v>
      </c>
      <c r="G90" s="10">
        <v>-41.25</v>
      </c>
      <c r="H90" s="10">
        <v>-6</v>
      </c>
      <c r="I90" s="8" t="s">
        <v>66</v>
      </c>
      <c r="J90" s="8" t="s">
        <v>66</v>
      </c>
      <c r="K90" s="10">
        <v>-71.73</v>
      </c>
      <c r="L90" s="8" t="s">
        <v>66</v>
      </c>
      <c r="M90" s="8" t="s">
        <v>66</v>
      </c>
      <c r="N90" s="8" t="s">
        <v>66</v>
      </c>
      <c r="O90" s="8" t="s">
        <v>66</v>
      </c>
      <c r="P90" s="8" t="s">
        <v>66</v>
      </c>
      <c r="Q90" s="8" t="s">
        <v>66</v>
      </c>
      <c r="R90" s="8" t="s">
        <v>66</v>
      </c>
      <c r="S90" s="8" t="s">
        <v>66</v>
      </c>
      <c r="T90" s="8" t="s">
        <v>66</v>
      </c>
      <c r="U90" s="8" t="s">
        <v>66</v>
      </c>
      <c r="V90" s="8" t="s">
        <v>66</v>
      </c>
      <c r="W90" s="8" t="s">
        <v>66</v>
      </c>
      <c r="X90" s="8" t="s">
        <v>66</v>
      </c>
      <c r="Y90" s="8" t="s">
        <v>66</v>
      </c>
      <c r="Z90" s="8" t="s">
        <v>66</v>
      </c>
      <c r="AA90" s="8" t="s">
        <v>66</v>
      </c>
      <c r="AB90" s="8" t="s">
        <v>66</v>
      </c>
      <c r="AC90" s="8" t="s">
        <v>66</v>
      </c>
      <c r="AD90" s="8" t="s">
        <v>66</v>
      </c>
      <c r="AE90" s="8" t="s">
        <v>66</v>
      </c>
    </row>
    <row r="91" spans="1:31" x14ac:dyDescent="0.25">
      <c r="A91" s="4" t="s">
        <v>287</v>
      </c>
      <c r="B91" s="9">
        <v>63</v>
      </c>
      <c r="C91" s="9">
        <v>40</v>
      </c>
      <c r="D91" s="9">
        <v>34</v>
      </c>
      <c r="E91" s="9">
        <v>62</v>
      </c>
      <c r="F91" s="9">
        <v>199</v>
      </c>
      <c r="G91" s="9">
        <v>70.010000000000005</v>
      </c>
      <c r="H91" s="9">
        <v>106.9</v>
      </c>
      <c r="I91" s="9">
        <v>77.709999999999994</v>
      </c>
      <c r="J91" s="9">
        <v>84.76</v>
      </c>
      <c r="K91" s="9">
        <v>323.47000000000003</v>
      </c>
      <c r="L91" s="9">
        <v>71.41</v>
      </c>
      <c r="M91" s="9">
        <v>79.290000000000006</v>
      </c>
      <c r="N91" s="9">
        <v>71.7</v>
      </c>
      <c r="O91" s="9">
        <v>103.82</v>
      </c>
      <c r="P91" s="9">
        <v>305.66000000000003</v>
      </c>
      <c r="Q91" s="9">
        <v>72.87</v>
      </c>
      <c r="R91" s="9">
        <v>85.9</v>
      </c>
      <c r="S91" s="9">
        <v>80.34</v>
      </c>
      <c r="T91" s="9">
        <v>92.8</v>
      </c>
      <c r="U91" s="9">
        <v>285.86</v>
      </c>
      <c r="V91" s="9">
        <v>86.88</v>
      </c>
      <c r="W91" s="9">
        <v>88.54</v>
      </c>
      <c r="X91" s="9">
        <v>96.49</v>
      </c>
      <c r="Y91" s="9">
        <v>71.7</v>
      </c>
      <c r="Z91" s="9">
        <v>264.79000000000002</v>
      </c>
      <c r="AA91" s="9">
        <v>90.24</v>
      </c>
      <c r="AB91" s="9">
        <v>92.16</v>
      </c>
      <c r="AC91" s="9">
        <v>100</v>
      </c>
      <c r="AD91" s="9">
        <v>74.66</v>
      </c>
      <c r="AE91" s="9">
        <v>258.85000000000002</v>
      </c>
    </row>
    <row r="92" spans="1:31" x14ac:dyDescent="0.25">
      <c r="A92" s="4" t="s">
        <v>286</v>
      </c>
      <c r="B92" s="9">
        <v>18808</v>
      </c>
      <c r="C92" s="9">
        <v>18848</v>
      </c>
      <c r="D92" s="9">
        <v>18882</v>
      </c>
      <c r="E92" s="9">
        <v>18944</v>
      </c>
      <c r="F92" s="9">
        <v>18944</v>
      </c>
      <c r="G92" s="9">
        <v>19014.009999999998</v>
      </c>
      <c r="H92" s="9">
        <v>19114.45</v>
      </c>
      <c r="I92" s="9">
        <v>19182.71</v>
      </c>
      <c r="J92" s="9">
        <v>19267.47</v>
      </c>
      <c r="K92" s="9">
        <v>19267.47</v>
      </c>
      <c r="L92" s="9">
        <v>19340.68</v>
      </c>
      <c r="M92" s="9">
        <v>19419.97</v>
      </c>
      <c r="N92" s="9">
        <v>19491.68</v>
      </c>
      <c r="O92" s="9">
        <v>19595.5</v>
      </c>
      <c r="P92" s="9">
        <v>19573.13</v>
      </c>
      <c r="Q92" s="9">
        <v>19720.02</v>
      </c>
      <c r="R92" s="9">
        <v>19805.93</v>
      </c>
      <c r="S92" s="9">
        <v>19886.27</v>
      </c>
      <c r="T92" s="9">
        <v>19979.07</v>
      </c>
      <c r="U92" s="9">
        <v>19862.23</v>
      </c>
      <c r="V92" s="9">
        <v>20077.96</v>
      </c>
      <c r="W92" s="9">
        <v>20166.5</v>
      </c>
      <c r="X92" s="9">
        <v>20262.990000000002</v>
      </c>
      <c r="Y92" s="9">
        <v>20334.689999999999</v>
      </c>
      <c r="Z92" s="9">
        <v>20097.060000000001</v>
      </c>
      <c r="AA92" s="9">
        <v>20424.93</v>
      </c>
      <c r="AB92" s="9">
        <v>20517.09</v>
      </c>
      <c r="AC92" s="9">
        <v>20617.09</v>
      </c>
      <c r="AD92" s="9">
        <v>20691.75</v>
      </c>
      <c r="AE92" s="9">
        <v>20355.91</v>
      </c>
    </row>
    <row r="93" spans="1:31" x14ac:dyDescent="0.25">
      <c r="A93" s="4" t="s">
        <v>285</v>
      </c>
      <c r="B93" s="9">
        <v>18776.5</v>
      </c>
      <c r="C93" s="9">
        <v>18828</v>
      </c>
      <c r="D93" s="9">
        <v>18865</v>
      </c>
      <c r="E93" s="9">
        <v>18913</v>
      </c>
      <c r="F93" s="9">
        <v>18844.5</v>
      </c>
      <c r="G93" s="9">
        <v>18979</v>
      </c>
      <c r="H93" s="9">
        <v>19064.23</v>
      </c>
      <c r="I93" s="9">
        <v>19143.849999999999</v>
      </c>
      <c r="J93" s="9">
        <v>19225.09</v>
      </c>
      <c r="K93" s="9">
        <v>19105.05</v>
      </c>
      <c r="L93" s="9">
        <v>19304.97</v>
      </c>
      <c r="M93" s="9">
        <v>19380.330000000002</v>
      </c>
      <c r="N93" s="9">
        <v>19455.82</v>
      </c>
      <c r="O93" s="9">
        <v>19543.59</v>
      </c>
      <c r="P93" s="9">
        <v>19421.169999999998</v>
      </c>
      <c r="Q93" s="9">
        <v>19683.59</v>
      </c>
      <c r="R93" s="9">
        <v>19762.98</v>
      </c>
      <c r="S93" s="9">
        <v>19846.099999999999</v>
      </c>
      <c r="T93" s="9">
        <v>19932.669999999998</v>
      </c>
      <c r="U93" s="9">
        <v>19720.3</v>
      </c>
      <c r="V93" s="9">
        <v>20034.52</v>
      </c>
      <c r="W93" s="9">
        <v>20122.23</v>
      </c>
      <c r="X93" s="9">
        <v>20214.740000000002</v>
      </c>
      <c r="Y93" s="9">
        <v>20298.84</v>
      </c>
      <c r="Z93" s="9">
        <v>19966.009999999998</v>
      </c>
      <c r="AA93" s="9">
        <v>20379.810000000001</v>
      </c>
      <c r="AB93" s="9">
        <v>20471.009999999998</v>
      </c>
      <c r="AC93" s="9">
        <v>20567.09</v>
      </c>
      <c r="AD93" s="9">
        <v>20654.419999999998</v>
      </c>
      <c r="AE93" s="9">
        <v>20227.87</v>
      </c>
    </row>
    <row r="94" spans="1:31" x14ac:dyDescent="0.25">
      <c r="A94" s="4" t="s">
        <v>76</v>
      </c>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row>
    <row r="95" spans="1:31" x14ac:dyDescent="0.25">
      <c r="A95" s="3" t="s">
        <v>284</v>
      </c>
      <c r="B95" s="9">
        <v>27</v>
      </c>
      <c r="C95" s="9">
        <v>23</v>
      </c>
      <c r="D95" s="9">
        <v>59</v>
      </c>
      <c r="E95" s="10">
        <v>-54</v>
      </c>
      <c r="F95" s="9">
        <v>55</v>
      </c>
      <c r="G95" s="10">
        <v>-47.22</v>
      </c>
      <c r="H95" s="10">
        <v>-54.57</v>
      </c>
      <c r="I95" s="9">
        <v>49.26</v>
      </c>
      <c r="J95" s="9">
        <v>41.12</v>
      </c>
      <c r="K95" s="10">
        <v>-11.41</v>
      </c>
      <c r="L95" s="9">
        <v>15.3</v>
      </c>
      <c r="M95" s="9">
        <v>17.010000000000002</v>
      </c>
      <c r="N95" s="9">
        <v>31.24</v>
      </c>
      <c r="O95" s="10">
        <v>-41.31</v>
      </c>
      <c r="P95" s="9">
        <v>89.28</v>
      </c>
      <c r="Q95" s="9">
        <v>2.63</v>
      </c>
      <c r="R95" s="9">
        <v>12.92</v>
      </c>
      <c r="S95" s="9">
        <v>32.29</v>
      </c>
      <c r="T95" s="10">
        <v>-66.44</v>
      </c>
      <c r="U95" s="9">
        <v>82.16</v>
      </c>
      <c r="V95" s="9">
        <v>32.5</v>
      </c>
      <c r="W95" s="9">
        <v>32.5</v>
      </c>
      <c r="X95" s="9">
        <v>32.5</v>
      </c>
      <c r="Y95" s="9">
        <v>32.5</v>
      </c>
      <c r="Z95" s="9">
        <v>188.15</v>
      </c>
      <c r="AA95" s="9">
        <v>32.5</v>
      </c>
      <c r="AB95" s="9">
        <v>32.5</v>
      </c>
      <c r="AC95" s="9">
        <v>32.5</v>
      </c>
      <c r="AD95" s="9">
        <v>32.5</v>
      </c>
      <c r="AE95" s="9">
        <v>204.15</v>
      </c>
    </row>
    <row r="96" spans="1:31" x14ac:dyDescent="0.25">
      <c r="A96" s="4" t="s">
        <v>283</v>
      </c>
      <c r="B96" s="9">
        <v>12082</v>
      </c>
      <c r="C96" s="9">
        <v>12099</v>
      </c>
      <c r="D96" s="9">
        <v>12161</v>
      </c>
      <c r="E96" s="9">
        <v>12083</v>
      </c>
      <c r="F96" s="9">
        <v>12083</v>
      </c>
      <c r="G96" s="9">
        <v>11764.4</v>
      </c>
      <c r="H96" s="9">
        <v>11711.65</v>
      </c>
      <c r="I96" s="9">
        <v>11760.38</v>
      </c>
      <c r="J96" s="9">
        <v>11807.11</v>
      </c>
      <c r="K96" s="9">
        <v>11807.11</v>
      </c>
      <c r="L96" s="9">
        <v>11715.12</v>
      </c>
      <c r="M96" s="9">
        <v>11739.73</v>
      </c>
      <c r="N96" s="9">
        <v>11778.53</v>
      </c>
      <c r="O96" s="9">
        <v>11768.48</v>
      </c>
      <c r="P96" s="9">
        <v>11918.85</v>
      </c>
      <c r="Q96" s="9">
        <v>11418.17</v>
      </c>
      <c r="R96" s="9">
        <v>11431.09</v>
      </c>
      <c r="S96" s="9">
        <v>11463.38</v>
      </c>
      <c r="T96" s="9">
        <v>11396.94</v>
      </c>
      <c r="U96" s="9">
        <v>11922.13</v>
      </c>
      <c r="V96" s="9">
        <v>11488</v>
      </c>
      <c r="W96" s="9">
        <v>11520.5</v>
      </c>
      <c r="X96" s="9">
        <v>11553</v>
      </c>
      <c r="Y96" s="9">
        <v>11585.5</v>
      </c>
      <c r="Z96" s="9">
        <v>12217.33</v>
      </c>
      <c r="AA96" s="9">
        <v>11618</v>
      </c>
      <c r="AB96" s="9">
        <v>11650.5</v>
      </c>
      <c r="AC96" s="9">
        <v>11683</v>
      </c>
      <c r="AD96" s="9">
        <v>11715.5</v>
      </c>
      <c r="AE96" s="9">
        <v>12421.48</v>
      </c>
    </row>
  </sheetData>
  <mergeCells count="1">
    <mergeCell ref="A1:D1"/>
  </mergeCells>
  <pageMargins left="0.7" right="0.7" top="0.75" bottom="0.75" header="0.3" footer="0.3"/>
  <pageSetup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71"/>
  <sheetViews>
    <sheetView workbookViewId="0">
      <selection sqref="A1:D1"/>
    </sheetView>
  </sheetViews>
  <sheetFormatPr defaultRowHeight="15" x14ac:dyDescent="0.25"/>
  <cols>
    <col min="1" max="1" width="48.5703125" customWidth="1"/>
    <col min="2" max="5" width="18.42578125" customWidth="1"/>
    <col min="6" max="6" width="20.5703125" customWidth="1"/>
    <col min="7" max="8" width="18.42578125" customWidth="1"/>
    <col min="9" max="10" width="18" customWidth="1"/>
    <col min="11" max="11" width="17.5703125" customWidth="1"/>
    <col min="12" max="15" width="18" customWidth="1"/>
    <col min="16" max="16" width="17.5703125" customWidth="1"/>
    <col min="17" max="20" width="18" customWidth="1"/>
    <col min="21" max="21" width="17.5703125" customWidth="1"/>
    <col min="22" max="25" width="18" customWidth="1"/>
    <col min="26" max="26" width="17.5703125" customWidth="1"/>
    <col min="27" max="30" width="18" customWidth="1"/>
    <col min="31" max="31" width="17.5703125" customWidth="1"/>
  </cols>
  <sheetData>
    <row r="1" spans="1:31" ht="39.950000000000003" customHeight="1" x14ac:dyDescent="0.25">
      <c r="A1" s="40"/>
      <c r="B1" s="40"/>
      <c r="C1" s="40"/>
      <c r="D1" s="40"/>
    </row>
    <row r="2" spans="1:31" ht="30" customHeight="1" x14ac:dyDescent="0.3">
      <c r="A2" s="1" t="s">
        <v>282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spans="1:31" x14ac:dyDescent="0.25">
      <c r="A3" s="3" t="s">
        <v>0</v>
      </c>
    </row>
    <row r="4" spans="1:31" x14ac:dyDescent="0.25">
      <c r="A4" s="3"/>
    </row>
    <row r="5" spans="1:31" x14ac:dyDescent="0.25">
      <c r="A5" s="4" t="s">
        <v>1</v>
      </c>
    </row>
    <row r="6" spans="1:31" x14ac:dyDescent="0.25">
      <c r="A6" s="3"/>
    </row>
    <row r="7" spans="1:31" x14ac:dyDescent="0.25">
      <c r="A7" s="3" t="s">
        <v>2</v>
      </c>
    </row>
    <row r="8" spans="1:31" x14ac:dyDescent="0.25">
      <c r="A8" s="3" t="s">
        <v>3</v>
      </c>
    </row>
    <row r="9" spans="1:31" x14ac:dyDescent="0.25">
      <c r="A9" s="3" t="s">
        <v>4</v>
      </c>
    </row>
    <row r="10" spans="1:31" x14ac:dyDescent="0.25">
      <c r="A10" s="3" t="s">
        <v>5</v>
      </c>
    </row>
    <row r="11" spans="1:31" x14ac:dyDescent="0.25">
      <c r="A11" s="3" t="s">
        <v>6</v>
      </c>
    </row>
    <row r="12" spans="1:31" x14ac:dyDescent="0.25">
      <c r="A12" s="3" t="s">
        <v>7</v>
      </c>
    </row>
    <row r="13" spans="1:31" x14ac:dyDescent="0.25">
      <c r="A13" s="3"/>
    </row>
    <row r="14" spans="1:31" x14ac:dyDescent="0.25">
      <c r="A14" s="5" t="s">
        <v>8</v>
      </c>
      <c r="B14" s="6" t="s">
        <v>9</v>
      </c>
      <c r="C14" s="6" t="s">
        <v>10</v>
      </c>
      <c r="D14" s="6" t="s">
        <v>11</v>
      </c>
      <c r="E14" s="6" t="s">
        <v>12</v>
      </c>
      <c r="F14" s="6" t="s">
        <v>13</v>
      </c>
      <c r="G14" s="6" t="s">
        <v>14</v>
      </c>
      <c r="H14" s="6" t="s">
        <v>15</v>
      </c>
      <c r="I14" s="6" t="s">
        <v>16</v>
      </c>
      <c r="J14" s="6" t="s">
        <v>17</v>
      </c>
      <c r="K14" s="6" t="s">
        <v>18</v>
      </c>
      <c r="L14" s="6" t="s">
        <v>19</v>
      </c>
      <c r="M14" s="6" t="s">
        <v>20</v>
      </c>
      <c r="N14" s="6" t="s">
        <v>21</v>
      </c>
      <c r="O14" s="6" t="s">
        <v>22</v>
      </c>
      <c r="P14" s="6" t="s">
        <v>23</v>
      </c>
      <c r="Q14" s="6" t="s">
        <v>24</v>
      </c>
      <c r="R14" s="6" t="s">
        <v>25</v>
      </c>
      <c r="S14" s="6" t="s">
        <v>26</v>
      </c>
      <c r="T14" s="6" t="s">
        <v>27</v>
      </c>
      <c r="U14" s="6" t="s">
        <v>28</v>
      </c>
      <c r="V14" s="6" t="s">
        <v>29</v>
      </c>
      <c r="W14" s="6" t="s">
        <v>30</v>
      </c>
      <c r="X14" s="6" t="s">
        <v>31</v>
      </c>
      <c r="Y14" s="6" t="s">
        <v>32</v>
      </c>
      <c r="Z14" s="6" t="s">
        <v>33</v>
      </c>
      <c r="AA14" s="6" t="s">
        <v>34</v>
      </c>
      <c r="AB14" s="6" t="s">
        <v>35</v>
      </c>
      <c r="AC14" s="6" t="s">
        <v>36</v>
      </c>
      <c r="AD14" s="6" t="s">
        <v>37</v>
      </c>
      <c r="AE14" s="6" t="s">
        <v>38</v>
      </c>
    </row>
    <row r="15" spans="1:31" x14ac:dyDescent="0.25">
      <c r="A15" s="4" t="s">
        <v>39</v>
      </c>
      <c r="B15" s="7">
        <v>19</v>
      </c>
      <c r="C15" s="7">
        <v>19</v>
      </c>
      <c r="D15" s="7">
        <v>19</v>
      </c>
      <c r="E15" s="7">
        <v>19</v>
      </c>
      <c r="F15" s="7">
        <v>20</v>
      </c>
      <c r="G15" s="7">
        <v>20</v>
      </c>
      <c r="H15" s="7">
        <v>20</v>
      </c>
      <c r="I15" s="8" t="s">
        <v>40</v>
      </c>
      <c r="J15" s="8" t="s">
        <v>40</v>
      </c>
      <c r="K15" s="8" t="s">
        <v>40</v>
      </c>
      <c r="L15" s="8" t="s">
        <v>41</v>
      </c>
      <c r="M15" s="8" t="s">
        <v>41</v>
      </c>
      <c r="N15" s="8" t="s">
        <v>42</v>
      </c>
      <c r="O15" s="8" t="s">
        <v>42</v>
      </c>
      <c r="P15" s="8" t="s">
        <v>40</v>
      </c>
      <c r="Q15" s="8" t="s">
        <v>43</v>
      </c>
      <c r="R15" s="8" t="s">
        <v>43</v>
      </c>
      <c r="S15" s="8" t="s">
        <v>43</v>
      </c>
      <c r="T15" s="8" t="s">
        <v>43</v>
      </c>
      <c r="U15" s="8" t="s">
        <v>44</v>
      </c>
      <c r="V15" s="8" t="s">
        <v>45</v>
      </c>
      <c r="W15" s="8" t="s">
        <v>45</v>
      </c>
      <c r="X15" s="8" t="s">
        <v>45</v>
      </c>
      <c r="Y15" s="8" t="s">
        <v>45</v>
      </c>
      <c r="Z15" s="8" t="s">
        <v>46</v>
      </c>
      <c r="AA15" s="8" t="s">
        <v>45</v>
      </c>
      <c r="AB15" s="8" t="s">
        <v>45</v>
      </c>
      <c r="AC15" s="8" t="s">
        <v>45</v>
      </c>
      <c r="AD15" s="8" t="s">
        <v>45</v>
      </c>
      <c r="AE15" s="8" t="s">
        <v>46</v>
      </c>
    </row>
    <row r="16" spans="1:31" x14ac:dyDescent="0.25">
      <c r="A16" s="4" t="s">
        <v>47</v>
      </c>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25">
      <c r="A17" s="3" t="s">
        <v>48</v>
      </c>
      <c r="B17" s="9">
        <v>2970</v>
      </c>
      <c r="C17" s="9">
        <v>3277</v>
      </c>
      <c r="D17" s="9">
        <v>3104</v>
      </c>
      <c r="E17" s="9">
        <v>4279</v>
      </c>
      <c r="F17" s="9">
        <v>13630</v>
      </c>
      <c r="G17" s="9">
        <v>3158.67</v>
      </c>
      <c r="H17" s="9">
        <v>3258.14</v>
      </c>
      <c r="I17" s="9">
        <v>3239.2</v>
      </c>
      <c r="J17" s="9">
        <v>3994.1</v>
      </c>
      <c r="K17" s="9">
        <v>13692.51</v>
      </c>
      <c r="L17" s="9">
        <v>3057.48</v>
      </c>
      <c r="M17" s="9">
        <v>3191.13</v>
      </c>
      <c r="N17" s="9">
        <v>3107.42</v>
      </c>
      <c r="O17" s="9">
        <v>4018.78</v>
      </c>
      <c r="P17" s="9">
        <v>13735.21</v>
      </c>
      <c r="Q17" s="9">
        <v>3012.58</v>
      </c>
      <c r="R17" s="9">
        <v>3150.28</v>
      </c>
      <c r="S17" s="9">
        <v>3032.12</v>
      </c>
      <c r="T17" s="9">
        <v>3955.39</v>
      </c>
      <c r="U17" s="9">
        <v>13893.94</v>
      </c>
      <c r="V17" s="9">
        <v>2864.74</v>
      </c>
      <c r="W17" s="9">
        <v>2940.05</v>
      </c>
      <c r="X17" s="9">
        <v>3000.28</v>
      </c>
      <c r="Y17" s="9">
        <v>3605.2</v>
      </c>
      <c r="Z17" s="9">
        <v>13845.22</v>
      </c>
      <c r="AA17" s="9">
        <v>2842.86</v>
      </c>
      <c r="AB17" s="9">
        <v>2913.12</v>
      </c>
      <c r="AC17" s="9">
        <v>2976.9</v>
      </c>
      <c r="AD17" s="9">
        <v>3573.7</v>
      </c>
      <c r="AE17" s="9">
        <v>13899.98</v>
      </c>
    </row>
    <row r="18" spans="1:31" x14ac:dyDescent="0.25">
      <c r="A18" s="3" t="s">
        <v>49</v>
      </c>
      <c r="B18" s="8" t="s">
        <v>50</v>
      </c>
      <c r="C18" s="8" t="s">
        <v>51</v>
      </c>
      <c r="D18" s="8" t="s">
        <v>51</v>
      </c>
      <c r="E18" s="8" t="s">
        <v>52</v>
      </c>
      <c r="F18" s="8" t="s">
        <v>53</v>
      </c>
      <c r="G18" s="8" t="s">
        <v>54</v>
      </c>
      <c r="H18" s="8" t="s">
        <v>55</v>
      </c>
      <c r="I18" s="8" t="s">
        <v>55</v>
      </c>
      <c r="J18" s="8" t="s">
        <v>50</v>
      </c>
      <c r="K18" s="8" t="s">
        <v>51</v>
      </c>
      <c r="L18" s="8" t="s">
        <v>51</v>
      </c>
      <c r="M18" s="8" t="s">
        <v>56</v>
      </c>
      <c r="N18" s="8" t="s">
        <v>57</v>
      </c>
      <c r="O18" s="8" t="s">
        <v>58</v>
      </c>
      <c r="P18" s="8" t="s">
        <v>55</v>
      </c>
      <c r="Q18" s="8" t="s">
        <v>51</v>
      </c>
      <c r="R18" s="8" t="s">
        <v>59</v>
      </c>
      <c r="S18" s="8" t="s">
        <v>60</v>
      </c>
      <c r="T18" s="8" t="s">
        <v>55</v>
      </c>
      <c r="U18" s="8" t="s">
        <v>61</v>
      </c>
      <c r="V18" s="8" t="s">
        <v>51</v>
      </c>
      <c r="W18" s="8" t="s">
        <v>59</v>
      </c>
      <c r="X18" s="8" t="s">
        <v>60</v>
      </c>
      <c r="Y18" s="8" t="s">
        <v>62</v>
      </c>
      <c r="Z18" s="8" t="s">
        <v>51</v>
      </c>
      <c r="AA18" s="8" t="s">
        <v>51</v>
      </c>
      <c r="AB18" s="8" t="s">
        <v>59</v>
      </c>
      <c r="AC18" s="8" t="s">
        <v>60</v>
      </c>
      <c r="AD18" s="8" t="s">
        <v>57</v>
      </c>
      <c r="AE18" s="8" t="s">
        <v>51</v>
      </c>
    </row>
    <row r="19" spans="1:31" x14ac:dyDescent="0.25">
      <c r="A19" s="3" t="s">
        <v>63</v>
      </c>
      <c r="B19" s="9">
        <v>3220.03</v>
      </c>
      <c r="C19" s="9">
        <v>3188.67</v>
      </c>
      <c r="D19" s="9">
        <v>3188.94</v>
      </c>
      <c r="E19" s="9">
        <v>3458.45</v>
      </c>
      <c r="F19" s="9">
        <v>13049</v>
      </c>
      <c r="G19" s="9">
        <v>3333.34</v>
      </c>
      <c r="H19" s="9">
        <v>3143.94</v>
      </c>
      <c r="I19" s="9">
        <v>3150.85</v>
      </c>
      <c r="J19" s="9">
        <v>3247.31</v>
      </c>
      <c r="K19" s="9">
        <v>12942.91</v>
      </c>
      <c r="L19" s="9">
        <v>3229.39</v>
      </c>
      <c r="M19" s="9">
        <v>3001.67</v>
      </c>
      <c r="N19" s="9">
        <v>3110.78</v>
      </c>
      <c r="O19" s="9">
        <v>3182.48</v>
      </c>
      <c r="P19" s="9">
        <v>12831.13</v>
      </c>
      <c r="Q19" s="9">
        <v>3261.44</v>
      </c>
      <c r="R19" s="9">
        <v>3055.38</v>
      </c>
      <c r="S19" s="9">
        <v>3142.25</v>
      </c>
      <c r="T19" s="9">
        <v>3214.87</v>
      </c>
      <c r="U19" s="9">
        <v>13101.1</v>
      </c>
      <c r="V19" s="9">
        <v>3227.43</v>
      </c>
      <c r="W19" s="9">
        <v>3017.71</v>
      </c>
      <c r="X19" s="9">
        <v>3099.85</v>
      </c>
      <c r="Y19" s="9">
        <v>3068.76</v>
      </c>
      <c r="Z19" s="9">
        <v>13265.78</v>
      </c>
      <c r="AA19" s="9">
        <v>3233.74</v>
      </c>
      <c r="AB19" s="9">
        <v>3024.39</v>
      </c>
      <c r="AC19" s="9">
        <v>3105.27</v>
      </c>
      <c r="AD19" s="9">
        <v>3074.33</v>
      </c>
      <c r="AE19" s="9">
        <v>13422.48</v>
      </c>
    </row>
    <row r="20" spans="1:31" x14ac:dyDescent="0.25">
      <c r="A20" s="4" t="s">
        <v>64</v>
      </c>
      <c r="B20" s="10">
        <v>-253</v>
      </c>
      <c r="C20" s="9">
        <v>90</v>
      </c>
      <c r="D20" s="10">
        <v>-74</v>
      </c>
      <c r="E20" s="9">
        <v>818</v>
      </c>
      <c r="F20" s="9">
        <v>581</v>
      </c>
      <c r="G20" s="10">
        <v>-158.59</v>
      </c>
      <c r="H20" s="9">
        <v>140.93</v>
      </c>
      <c r="I20" s="9">
        <v>120.61</v>
      </c>
      <c r="J20" s="9">
        <v>772.96</v>
      </c>
      <c r="K20" s="9">
        <v>914.62</v>
      </c>
      <c r="L20" s="10">
        <v>-168.07</v>
      </c>
      <c r="M20" s="9">
        <v>193.31</v>
      </c>
      <c r="N20" s="9">
        <v>0.17</v>
      </c>
      <c r="O20" s="9">
        <v>844.01</v>
      </c>
      <c r="P20" s="9">
        <v>1049.58</v>
      </c>
      <c r="Q20" s="10">
        <v>-249.08</v>
      </c>
      <c r="R20" s="9">
        <v>95.54</v>
      </c>
      <c r="S20" s="10">
        <v>-110.17</v>
      </c>
      <c r="T20" s="9">
        <v>744.35</v>
      </c>
      <c r="U20" s="9">
        <v>951.12</v>
      </c>
      <c r="V20" s="10">
        <v>-362.69</v>
      </c>
      <c r="W20" s="10">
        <v>-77.66</v>
      </c>
      <c r="X20" s="10">
        <v>-99.57</v>
      </c>
      <c r="Y20" s="9">
        <v>536.44000000000005</v>
      </c>
      <c r="Z20" s="9">
        <v>796.91</v>
      </c>
      <c r="AA20" s="10">
        <v>-390.88</v>
      </c>
      <c r="AB20" s="10">
        <v>-111.27</v>
      </c>
      <c r="AC20" s="10">
        <v>-128.37</v>
      </c>
      <c r="AD20" s="9">
        <v>499.37</v>
      </c>
      <c r="AE20" s="9">
        <v>721.95</v>
      </c>
    </row>
    <row r="21" spans="1:31" x14ac:dyDescent="0.25">
      <c r="A21" s="3" t="s">
        <v>65</v>
      </c>
      <c r="B21" s="10">
        <v>-11</v>
      </c>
      <c r="C21" s="9">
        <v>4</v>
      </c>
      <c r="D21" s="10">
        <v>-4</v>
      </c>
      <c r="E21" s="10">
        <v>-10</v>
      </c>
      <c r="F21" s="10">
        <v>-21</v>
      </c>
      <c r="G21" s="10">
        <v>-8.25</v>
      </c>
      <c r="H21" s="10">
        <v>-52.5</v>
      </c>
      <c r="I21" s="8" t="s">
        <v>66</v>
      </c>
      <c r="J21" s="8" t="s">
        <v>66</v>
      </c>
      <c r="K21" s="10">
        <v>-60.75</v>
      </c>
      <c r="L21" s="8" t="s">
        <v>66</v>
      </c>
      <c r="M21" s="8" t="s">
        <v>66</v>
      </c>
      <c r="N21" s="8" t="s">
        <v>66</v>
      </c>
      <c r="O21" s="8" t="s">
        <v>66</v>
      </c>
      <c r="P21" s="8" t="s">
        <v>66</v>
      </c>
      <c r="Q21" s="8" t="s">
        <v>66</v>
      </c>
      <c r="R21" s="8" t="s">
        <v>66</v>
      </c>
      <c r="S21" s="8" t="s">
        <v>66</v>
      </c>
      <c r="T21" s="8" t="s">
        <v>66</v>
      </c>
      <c r="U21" s="8" t="s">
        <v>66</v>
      </c>
      <c r="V21" s="8" t="s">
        <v>66</v>
      </c>
      <c r="W21" s="8" t="s">
        <v>66</v>
      </c>
      <c r="X21" s="8" t="s">
        <v>66</v>
      </c>
      <c r="Y21" s="8" t="s">
        <v>66</v>
      </c>
      <c r="Z21" s="8" t="s">
        <v>66</v>
      </c>
      <c r="AA21" s="8" t="s">
        <v>66</v>
      </c>
      <c r="AB21" s="8" t="s">
        <v>66</v>
      </c>
      <c r="AC21" s="8" t="s">
        <v>66</v>
      </c>
      <c r="AD21" s="8" t="s">
        <v>66</v>
      </c>
      <c r="AE21" s="8" t="s">
        <v>66</v>
      </c>
    </row>
    <row r="22" spans="1:31" x14ac:dyDescent="0.25">
      <c r="A22" s="4" t="s">
        <v>67</v>
      </c>
      <c r="B22" s="10">
        <v>-264</v>
      </c>
      <c r="C22" s="9">
        <v>94</v>
      </c>
      <c r="D22" s="10">
        <v>-78</v>
      </c>
      <c r="E22" s="9">
        <v>808</v>
      </c>
      <c r="F22" s="9">
        <v>560</v>
      </c>
      <c r="G22" s="10">
        <v>-161.59</v>
      </c>
      <c r="H22" s="9">
        <v>121.84</v>
      </c>
      <c r="I22" s="9">
        <v>120.61</v>
      </c>
      <c r="J22" s="9">
        <v>772.96</v>
      </c>
      <c r="K22" s="9">
        <v>894.37</v>
      </c>
      <c r="L22" s="10">
        <v>-168.07</v>
      </c>
      <c r="M22" s="9">
        <v>193.31</v>
      </c>
      <c r="N22" s="9">
        <v>0.17</v>
      </c>
      <c r="O22" s="9">
        <v>844.01</v>
      </c>
      <c r="P22" s="9">
        <v>1049.58</v>
      </c>
      <c r="Q22" s="10">
        <v>-249.08</v>
      </c>
      <c r="R22" s="9">
        <v>95.54</v>
      </c>
      <c r="S22" s="10">
        <v>-110.17</v>
      </c>
      <c r="T22" s="9">
        <v>744.35</v>
      </c>
      <c r="U22" s="9">
        <v>951.12</v>
      </c>
      <c r="V22" s="10">
        <v>-362.69</v>
      </c>
      <c r="W22" s="10">
        <v>-77.66</v>
      </c>
      <c r="X22" s="10">
        <v>-99.57</v>
      </c>
      <c r="Y22" s="9">
        <v>536.44000000000005</v>
      </c>
      <c r="Z22" s="9">
        <v>796.91</v>
      </c>
      <c r="AA22" s="10">
        <v>-390.88</v>
      </c>
      <c r="AB22" s="10">
        <v>-111.27</v>
      </c>
      <c r="AC22" s="10">
        <v>-128.37</v>
      </c>
      <c r="AD22" s="9">
        <v>499.37</v>
      </c>
      <c r="AE22" s="9">
        <v>721.95</v>
      </c>
    </row>
    <row r="23" spans="1:31" x14ac:dyDescent="0.25">
      <c r="A23" s="4" t="s">
        <v>68</v>
      </c>
      <c r="B23" s="9">
        <v>94854</v>
      </c>
      <c r="C23" s="9">
        <v>94948</v>
      </c>
      <c r="D23" s="9">
        <v>94870</v>
      </c>
      <c r="E23" s="9">
        <v>95678</v>
      </c>
      <c r="F23" s="9">
        <v>95678</v>
      </c>
      <c r="G23" s="9">
        <v>95516.41</v>
      </c>
      <c r="H23" s="9">
        <v>95638.25</v>
      </c>
      <c r="I23" s="9">
        <v>95799.42</v>
      </c>
      <c r="J23" s="9">
        <v>96572.37</v>
      </c>
      <c r="K23" s="9">
        <v>96572.37</v>
      </c>
      <c r="L23" s="9">
        <v>96333.88</v>
      </c>
      <c r="M23" s="9">
        <v>96527.19</v>
      </c>
      <c r="N23" s="9">
        <v>96527.360000000001</v>
      </c>
      <c r="O23" s="9">
        <v>97371.37</v>
      </c>
      <c r="P23" s="9">
        <v>97621.95</v>
      </c>
      <c r="Q23" s="9">
        <v>96664.81</v>
      </c>
      <c r="R23" s="9">
        <v>96760.34</v>
      </c>
      <c r="S23" s="9">
        <v>96650.18</v>
      </c>
      <c r="T23" s="9">
        <v>97394.53</v>
      </c>
      <c r="U23" s="9">
        <v>98602.98</v>
      </c>
      <c r="V23" s="9">
        <v>96046.27</v>
      </c>
      <c r="W23" s="9">
        <v>95968.6</v>
      </c>
      <c r="X23" s="9">
        <v>95869.03</v>
      </c>
      <c r="Y23" s="9">
        <v>96405.47</v>
      </c>
      <c r="Z23" s="9">
        <v>99339.91</v>
      </c>
      <c r="AA23" s="9">
        <v>96014.59</v>
      </c>
      <c r="AB23" s="9">
        <v>95903.32</v>
      </c>
      <c r="AC23" s="9">
        <v>95774.96</v>
      </c>
      <c r="AD23" s="9">
        <v>96274.33</v>
      </c>
      <c r="AE23" s="9">
        <v>100061.86</v>
      </c>
    </row>
    <row r="24" spans="1:31" x14ac:dyDescent="0.25">
      <c r="A24" s="4" t="s">
        <v>69</v>
      </c>
      <c r="B24" s="9">
        <v>94986</v>
      </c>
      <c r="C24" s="9">
        <v>94901</v>
      </c>
      <c r="D24" s="9">
        <v>94909</v>
      </c>
      <c r="E24" s="9">
        <v>95274</v>
      </c>
      <c r="F24" s="9">
        <v>95398</v>
      </c>
      <c r="G24" s="9">
        <v>95597.21</v>
      </c>
      <c r="H24" s="9">
        <v>95577.33</v>
      </c>
      <c r="I24" s="9">
        <v>95739.12</v>
      </c>
      <c r="J24" s="9">
        <v>96185.9</v>
      </c>
      <c r="K24" s="9">
        <v>96037.59</v>
      </c>
      <c r="L24" s="9">
        <v>96417.919999999998</v>
      </c>
      <c r="M24" s="9">
        <v>96430.54</v>
      </c>
      <c r="N24" s="9">
        <v>96527.27</v>
      </c>
      <c r="O24" s="9">
        <v>96949.36</v>
      </c>
      <c r="P24" s="9">
        <v>97074.64</v>
      </c>
      <c r="Q24" s="9">
        <v>96789.35</v>
      </c>
      <c r="R24" s="9">
        <v>96712.58</v>
      </c>
      <c r="S24" s="9">
        <v>96705.26</v>
      </c>
      <c r="T24" s="9">
        <v>97022.35</v>
      </c>
      <c r="U24" s="9">
        <v>98104.21</v>
      </c>
      <c r="V24" s="9">
        <v>96227.61</v>
      </c>
      <c r="W24" s="9">
        <v>96007.43</v>
      </c>
      <c r="X24" s="9">
        <v>95918.82</v>
      </c>
      <c r="Y24" s="9">
        <v>96137.25</v>
      </c>
      <c r="Z24" s="9">
        <v>98914.44</v>
      </c>
      <c r="AA24" s="9">
        <v>96210.03</v>
      </c>
      <c r="AB24" s="9">
        <v>95958.96</v>
      </c>
      <c r="AC24" s="9">
        <v>95839.14</v>
      </c>
      <c r="AD24" s="9">
        <v>96024.639999999999</v>
      </c>
      <c r="AE24" s="9">
        <v>99674.94</v>
      </c>
    </row>
    <row r="25" spans="1:31" x14ac:dyDescent="0.25">
      <c r="A25" s="4" t="s">
        <v>70</v>
      </c>
      <c r="B25" s="9">
        <v>50.43</v>
      </c>
      <c r="C25" s="9">
        <v>50.65</v>
      </c>
      <c r="D25" s="9">
        <v>50.57</v>
      </c>
      <c r="E25" s="9">
        <v>50.06</v>
      </c>
      <c r="F25" s="9">
        <v>50.23</v>
      </c>
      <c r="G25" s="9">
        <v>50.09</v>
      </c>
      <c r="H25" s="9">
        <v>49.7</v>
      </c>
      <c r="I25" s="9">
        <v>49.79</v>
      </c>
      <c r="J25" s="9">
        <v>49.81</v>
      </c>
      <c r="K25" s="9">
        <v>49.72</v>
      </c>
      <c r="L25" s="9">
        <v>49.48</v>
      </c>
      <c r="M25" s="9">
        <v>49.66</v>
      </c>
      <c r="N25" s="9">
        <v>49.81</v>
      </c>
      <c r="O25" s="9">
        <v>49.87</v>
      </c>
      <c r="P25" s="9">
        <v>49.47</v>
      </c>
      <c r="Q25" s="9">
        <v>49.17</v>
      </c>
      <c r="R25" s="9">
        <v>49.49</v>
      </c>
      <c r="S25" s="9">
        <v>49.65</v>
      </c>
      <c r="T25" s="9">
        <v>49.71</v>
      </c>
      <c r="U25" s="9">
        <v>64.34</v>
      </c>
      <c r="V25" s="9">
        <v>49.62</v>
      </c>
      <c r="W25" s="9">
        <v>50.05</v>
      </c>
      <c r="X25" s="9">
        <v>50.27</v>
      </c>
      <c r="Y25" s="9">
        <v>50.57</v>
      </c>
      <c r="Z25" s="9">
        <v>66.290000000000006</v>
      </c>
      <c r="AA25" s="9">
        <v>49.95</v>
      </c>
      <c r="AB25" s="9">
        <v>50.38</v>
      </c>
      <c r="AC25" s="9">
        <v>50.6</v>
      </c>
      <c r="AD25" s="9">
        <v>50.91</v>
      </c>
      <c r="AE25" s="9">
        <v>66.459999999999994</v>
      </c>
    </row>
    <row r="26" spans="1:31" x14ac:dyDescent="0.25">
      <c r="A26" s="4" t="s">
        <v>71</v>
      </c>
      <c r="B26" s="9">
        <v>32620</v>
      </c>
      <c r="C26" s="9">
        <v>32550</v>
      </c>
      <c r="D26" s="9">
        <v>32353</v>
      </c>
      <c r="E26" s="9">
        <v>32384</v>
      </c>
      <c r="F26" s="9">
        <v>32384</v>
      </c>
      <c r="G26" s="9">
        <v>32297.69</v>
      </c>
      <c r="H26" s="9">
        <v>32278.07</v>
      </c>
      <c r="I26" s="9">
        <v>32237.05</v>
      </c>
      <c r="J26" s="9">
        <v>32354.86</v>
      </c>
      <c r="K26" s="9">
        <v>32354.86</v>
      </c>
      <c r="L26" s="9">
        <v>32225.02</v>
      </c>
      <c r="M26" s="9">
        <v>32185.5</v>
      </c>
      <c r="N26" s="9">
        <v>32106.080000000002</v>
      </c>
      <c r="O26" s="9">
        <v>32268.94</v>
      </c>
      <c r="P26" s="9">
        <v>32347.46</v>
      </c>
      <c r="Q26" s="9">
        <v>31995.66</v>
      </c>
      <c r="R26" s="9">
        <v>31969.91</v>
      </c>
      <c r="S26" s="9">
        <v>31832.880000000001</v>
      </c>
      <c r="T26" s="9">
        <v>31941.22</v>
      </c>
      <c r="U26" s="9">
        <v>32347.69</v>
      </c>
      <c r="V26" s="9">
        <v>31526.3</v>
      </c>
      <c r="W26" s="9">
        <v>31428.26</v>
      </c>
      <c r="X26" s="9">
        <v>31290.52</v>
      </c>
      <c r="Y26" s="9">
        <v>31312.44</v>
      </c>
      <c r="Z26" s="9">
        <v>32313.14</v>
      </c>
      <c r="AA26" s="9">
        <v>31224</v>
      </c>
      <c r="AB26" s="9">
        <v>31116.34</v>
      </c>
      <c r="AC26" s="9">
        <v>30971.08</v>
      </c>
      <c r="AD26" s="9">
        <v>30981.74</v>
      </c>
      <c r="AE26" s="9">
        <v>32287.58</v>
      </c>
    </row>
    <row r="27" spans="1:31" x14ac:dyDescent="0.25">
      <c r="A27" s="4" t="s">
        <v>72</v>
      </c>
      <c r="B27" s="9">
        <v>32707</v>
      </c>
      <c r="C27" s="9">
        <v>32585</v>
      </c>
      <c r="D27" s="9">
        <v>32451.5</v>
      </c>
      <c r="E27" s="9">
        <v>32368.5</v>
      </c>
      <c r="F27" s="9">
        <v>32589</v>
      </c>
      <c r="G27" s="9">
        <v>32343.08</v>
      </c>
      <c r="H27" s="9">
        <v>32287.88</v>
      </c>
      <c r="I27" s="9">
        <v>32268.41</v>
      </c>
      <c r="J27" s="9">
        <v>32295.95</v>
      </c>
      <c r="K27" s="9">
        <v>32359.46</v>
      </c>
      <c r="L27" s="9">
        <v>32279.29</v>
      </c>
      <c r="M27" s="9">
        <v>32205.26</v>
      </c>
      <c r="N27" s="9">
        <v>32145.79</v>
      </c>
      <c r="O27" s="9">
        <v>32187.52</v>
      </c>
      <c r="P27" s="9">
        <v>32345.22</v>
      </c>
      <c r="Q27" s="9">
        <v>32043.09</v>
      </c>
      <c r="R27" s="9">
        <v>31982.79</v>
      </c>
      <c r="S27" s="9">
        <v>31901.4</v>
      </c>
      <c r="T27" s="9">
        <v>31887.05</v>
      </c>
      <c r="U27" s="9">
        <v>32332.41</v>
      </c>
      <c r="V27" s="9">
        <v>31566.43</v>
      </c>
      <c r="W27" s="9">
        <v>31477.29</v>
      </c>
      <c r="X27" s="9">
        <v>31359.39</v>
      </c>
      <c r="Y27" s="9">
        <v>31301.47</v>
      </c>
      <c r="Z27" s="9">
        <v>32311.96</v>
      </c>
      <c r="AA27" s="9">
        <v>31268.23</v>
      </c>
      <c r="AB27" s="9">
        <v>31170.18</v>
      </c>
      <c r="AC27" s="9">
        <v>31043.71</v>
      </c>
      <c r="AD27" s="9">
        <v>30976.41</v>
      </c>
      <c r="AE27" s="9">
        <v>32292.54</v>
      </c>
    </row>
    <row r="28" spans="1:31" x14ac:dyDescent="0.25">
      <c r="A28" s="4" t="s">
        <v>73</v>
      </c>
      <c r="B28" s="9">
        <v>146.46</v>
      </c>
      <c r="C28" s="9">
        <v>147.5</v>
      </c>
      <c r="D28" s="9">
        <v>147.91</v>
      </c>
      <c r="E28" s="9">
        <v>147.36000000000001</v>
      </c>
      <c r="F28" s="9">
        <v>147.31</v>
      </c>
      <c r="G28" s="9">
        <v>148.35</v>
      </c>
      <c r="H28" s="9">
        <v>147.04</v>
      </c>
      <c r="I28" s="9">
        <v>147.68</v>
      </c>
      <c r="J28" s="9">
        <v>147.96</v>
      </c>
      <c r="K28" s="9">
        <v>147.63</v>
      </c>
      <c r="L28" s="9">
        <v>147.93</v>
      </c>
      <c r="M28" s="9">
        <v>148.52000000000001</v>
      </c>
      <c r="N28" s="9">
        <v>149.41999999999999</v>
      </c>
      <c r="O28" s="9">
        <v>149.65</v>
      </c>
      <c r="P28" s="9">
        <v>148.19999999999999</v>
      </c>
      <c r="Q28" s="9">
        <v>148.08000000000001</v>
      </c>
      <c r="R28" s="9">
        <v>148.63999999999999</v>
      </c>
      <c r="S28" s="9">
        <v>149.6</v>
      </c>
      <c r="T28" s="9">
        <v>149.55000000000001</v>
      </c>
      <c r="U28" s="9">
        <v>149.21</v>
      </c>
      <c r="V28" s="9">
        <v>149.62</v>
      </c>
      <c r="W28" s="9">
        <v>149.93</v>
      </c>
      <c r="X28" s="9">
        <v>151.38999999999999</v>
      </c>
      <c r="Y28" s="9">
        <v>151.71</v>
      </c>
      <c r="Z28" s="9">
        <v>150.54</v>
      </c>
      <c r="AA28" s="9">
        <v>151.05000000000001</v>
      </c>
      <c r="AB28" s="9">
        <v>151.37</v>
      </c>
      <c r="AC28" s="9">
        <v>152.86000000000001</v>
      </c>
      <c r="AD28" s="9">
        <v>153.18</v>
      </c>
      <c r="AE28" s="9">
        <v>151.44</v>
      </c>
    </row>
    <row r="29" spans="1:31" x14ac:dyDescent="0.25">
      <c r="A29" s="4" t="s">
        <v>74</v>
      </c>
      <c r="B29" s="9">
        <v>2.91</v>
      </c>
      <c r="C29" s="9">
        <v>2.92</v>
      </c>
      <c r="D29" s="9">
        <v>2.93</v>
      </c>
      <c r="E29" s="9">
        <v>2.95</v>
      </c>
      <c r="F29" s="9">
        <v>2.95</v>
      </c>
      <c r="G29" s="9">
        <v>2.96</v>
      </c>
      <c r="H29" s="9">
        <v>2.97</v>
      </c>
      <c r="I29" s="9">
        <v>2.97</v>
      </c>
      <c r="J29" s="9">
        <v>2.98</v>
      </c>
      <c r="K29" s="9">
        <v>2.98</v>
      </c>
      <c r="L29" s="9">
        <v>2.99</v>
      </c>
      <c r="M29" s="9">
        <v>3</v>
      </c>
      <c r="N29" s="9">
        <v>3.01</v>
      </c>
      <c r="O29" s="9">
        <v>3.02</v>
      </c>
      <c r="P29" s="9">
        <v>3.02</v>
      </c>
      <c r="Q29" s="9">
        <v>3.02</v>
      </c>
      <c r="R29" s="9">
        <v>3.03</v>
      </c>
      <c r="S29" s="9">
        <v>3.04</v>
      </c>
      <c r="T29" s="9">
        <v>3.05</v>
      </c>
      <c r="U29" s="9">
        <v>3.05</v>
      </c>
      <c r="V29" s="9">
        <v>3.05</v>
      </c>
      <c r="W29" s="9">
        <v>3.05</v>
      </c>
      <c r="X29" s="9">
        <v>3.06</v>
      </c>
      <c r="Y29" s="9">
        <v>3.08</v>
      </c>
      <c r="Z29" s="9">
        <v>3.08</v>
      </c>
      <c r="AA29" s="9">
        <v>3.08</v>
      </c>
      <c r="AB29" s="9">
        <v>3.08</v>
      </c>
      <c r="AC29" s="9">
        <v>3.09</v>
      </c>
      <c r="AD29" s="9">
        <v>3.11</v>
      </c>
      <c r="AE29" s="9">
        <v>3.1</v>
      </c>
    </row>
    <row r="30" spans="1:31" x14ac:dyDescent="0.25">
      <c r="A30" s="4" t="s">
        <v>75</v>
      </c>
      <c r="B30" s="9">
        <v>14370.8</v>
      </c>
      <c r="C30" s="9">
        <v>14418.86</v>
      </c>
      <c r="D30" s="9">
        <v>14399.7</v>
      </c>
      <c r="E30" s="9">
        <v>14309.47</v>
      </c>
      <c r="F30" s="9">
        <v>57498.83</v>
      </c>
      <c r="G30" s="9">
        <v>14326.79</v>
      </c>
      <c r="H30" s="9">
        <v>14232.52</v>
      </c>
      <c r="I30" s="9">
        <v>14297.68</v>
      </c>
      <c r="J30" s="9">
        <v>14367.46</v>
      </c>
      <c r="K30" s="9">
        <v>57271.73</v>
      </c>
      <c r="L30" s="9">
        <v>14311.59</v>
      </c>
      <c r="M30" s="9">
        <v>14366.19</v>
      </c>
      <c r="N30" s="9">
        <v>14422.48</v>
      </c>
      <c r="O30" s="9">
        <v>14504.06</v>
      </c>
      <c r="P30" s="9">
        <v>57616.49</v>
      </c>
      <c r="Q30" s="9">
        <v>14275.36</v>
      </c>
      <c r="R30" s="9">
        <v>14356.52</v>
      </c>
      <c r="S30" s="9">
        <v>14400.32</v>
      </c>
      <c r="T30" s="9">
        <v>14464.79</v>
      </c>
      <c r="U30" s="9">
        <v>58143.39</v>
      </c>
      <c r="V30" s="9">
        <v>14321.41</v>
      </c>
      <c r="W30" s="9">
        <v>14410.47</v>
      </c>
      <c r="X30" s="9">
        <v>14460.21</v>
      </c>
      <c r="Y30" s="9">
        <v>14579.82</v>
      </c>
      <c r="Z30" s="9">
        <v>58834.16</v>
      </c>
      <c r="AA30" s="9">
        <v>14409.14</v>
      </c>
      <c r="AB30" s="9">
        <v>14495.51</v>
      </c>
      <c r="AC30" s="9">
        <v>14541.31</v>
      </c>
      <c r="AD30" s="9">
        <v>14657.3</v>
      </c>
      <c r="AE30" s="9">
        <v>59340.85</v>
      </c>
    </row>
    <row r="31" spans="1:31" x14ac:dyDescent="0.25">
      <c r="A31" s="4" t="s">
        <v>76</v>
      </c>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row>
    <row r="32" spans="1:31" x14ac:dyDescent="0.25">
      <c r="A32" s="4" t="s">
        <v>77</v>
      </c>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spans="1:31" x14ac:dyDescent="0.25">
      <c r="A33" s="3" t="s">
        <v>78</v>
      </c>
      <c r="B33" s="8" t="s">
        <v>79</v>
      </c>
      <c r="C33" s="8" t="s">
        <v>80</v>
      </c>
      <c r="D33" s="8" t="s">
        <v>81</v>
      </c>
      <c r="E33" s="8" t="s">
        <v>82</v>
      </c>
      <c r="F33" s="8" t="s">
        <v>83</v>
      </c>
      <c r="G33" s="8" t="s">
        <v>84</v>
      </c>
      <c r="H33" s="8" t="s">
        <v>85</v>
      </c>
      <c r="I33" s="8" t="s">
        <v>86</v>
      </c>
      <c r="J33" s="8" t="s">
        <v>87</v>
      </c>
      <c r="K33" s="8" t="s">
        <v>88</v>
      </c>
      <c r="L33" s="8" t="s">
        <v>89</v>
      </c>
      <c r="M33" s="8" t="s">
        <v>90</v>
      </c>
      <c r="N33" s="8" t="s">
        <v>91</v>
      </c>
      <c r="O33" s="8" t="s">
        <v>92</v>
      </c>
      <c r="P33" s="8" t="s">
        <v>93</v>
      </c>
      <c r="Q33" s="8" t="s">
        <v>94</v>
      </c>
      <c r="R33" s="8" t="s">
        <v>95</v>
      </c>
      <c r="S33" s="8" t="s">
        <v>96</v>
      </c>
      <c r="T33" s="8" t="s">
        <v>97</v>
      </c>
      <c r="U33" s="8" t="s">
        <v>98</v>
      </c>
      <c r="V33" s="8" t="s">
        <v>99</v>
      </c>
      <c r="W33" s="8" t="s">
        <v>94</v>
      </c>
      <c r="X33" s="8" t="s">
        <v>100</v>
      </c>
      <c r="Y33" s="8" t="s">
        <v>101</v>
      </c>
      <c r="Z33" s="8" t="s">
        <v>102</v>
      </c>
      <c r="AA33" s="8" t="s">
        <v>99</v>
      </c>
      <c r="AB33" s="8" t="s">
        <v>94</v>
      </c>
      <c r="AC33" s="8" t="s">
        <v>100</v>
      </c>
      <c r="AD33" s="8" t="s">
        <v>101</v>
      </c>
      <c r="AE33" s="8" t="s">
        <v>103</v>
      </c>
    </row>
    <row r="34" spans="1:31" x14ac:dyDescent="0.25">
      <c r="A34" s="3" t="s">
        <v>104</v>
      </c>
      <c r="B34" s="9">
        <v>2849.58</v>
      </c>
      <c r="C34" s="9">
        <v>3796.04</v>
      </c>
      <c r="D34" s="9">
        <v>3416.72</v>
      </c>
      <c r="E34" s="9">
        <v>4763.7</v>
      </c>
      <c r="F34" s="9">
        <v>14826.04</v>
      </c>
      <c r="G34" s="9">
        <v>3081.64</v>
      </c>
      <c r="H34" s="9">
        <v>2906.49</v>
      </c>
      <c r="I34" s="9">
        <v>3059.97</v>
      </c>
      <c r="J34" s="9">
        <v>4391.1499999999996</v>
      </c>
      <c r="K34" s="9">
        <v>13420.9</v>
      </c>
      <c r="L34" s="9">
        <v>3198.33</v>
      </c>
      <c r="M34" s="9">
        <v>3121.41</v>
      </c>
      <c r="N34" s="9">
        <v>3072.68</v>
      </c>
      <c r="O34" s="9">
        <v>4360.07</v>
      </c>
      <c r="P34" s="9">
        <v>13629.71</v>
      </c>
      <c r="Q34" s="9">
        <v>3196.2</v>
      </c>
      <c r="R34" s="9">
        <v>3301.7</v>
      </c>
      <c r="S34" s="9">
        <v>3072.65</v>
      </c>
      <c r="T34" s="9">
        <v>4297.3100000000004</v>
      </c>
      <c r="U34" s="9">
        <v>13775.33</v>
      </c>
      <c r="V34" s="9">
        <v>3275.91</v>
      </c>
      <c r="W34" s="9">
        <v>3161.55</v>
      </c>
      <c r="X34" s="9">
        <v>2783.97</v>
      </c>
      <c r="Y34" s="9">
        <v>4066.47</v>
      </c>
      <c r="Z34" s="9">
        <v>13540.52</v>
      </c>
      <c r="AA34" s="9">
        <v>3275.14</v>
      </c>
      <c r="AB34" s="9">
        <v>3159.51</v>
      </c>
      <c r="AC34" s="9">
        <v>2782.09</v>
      </c>
      <c r="AD34" s="9">
        <v>4062.1</v>
      </c>
      <c r="AE34" s="9">
        <v>13578.89</v>
      </c>
    </row>
    <row r="35" spans="1:31" x14ac:dyDescent="0.25">
      <c r="A35" s="3" t="s">
        <v>48</v>
      </c>
      <c r="B35" s="9">
        <v>2970</v>
      </c>
      <c r="C35" s="9">
        <v>3277</v>
      </c>
      <c r="D35" s="9">
        <v>3104</v>
      </c>
      <c r="E35" s="9">
        <v>4279</v>
      </c>
      <c r="F35" s="9">
        <v>13630</v>
      </c>
      <c r="G35" s="9">
        <v>3158.67</v>
      </c>
      <c r="H35" s="9">
        <v>3258.14</v>
      </c>
      <c r="I35" s="9">
        <v>3239.2</v>
      </c>
      <c r="J35" s="9">
        <v>3994.1</v>
      </c>
      <c r="K35" s="9">
        <v>13692.51</v>
      </c>
      <c r="L35" s="9">
        <v>3057.48</v>
      </c>
      <c r="M35" s="9">
        <v>3191.13</v>
      </c>
      <c r="N35" s="9">
        <v>3107.42</v>
      </c>
      <c r="O35" s="9">
        <v>4018.78</v>
      </c>
      <c r="P35" s="9">
        <v>13735.21</v>
      </c>
      <c r="Q35" s="9">
        <v>3012.58</v>
      </c>
      <c r="R35" s="9">
        <v>3150.28</v>
      </c>
      <c r="S35" s="9">
        <v>3032.12</v>
      </c>
      <c r="T35" s="9">
        <v>3955.39</v>
      </c>
      <c r="U35" s="9">
        <v>13893.94</v>
      </c>
      <c r="V35" s="9">
        <v>2864.74</v>
      </c>
      <c r="W35" s="9">
        <v>2940.05</v>
      </c>
      <c r="X35" s="9">
        <v>3000.28</v>
      </c>
      <c r="Y35" s="9">
        <v>3605.2</v>
      </c>
      <c r="Z35" s="9">
        <v>13845.22</v>
      </c>
      <c r="AA35" s="9">
        <v>2842.86</v>
      </c>
      <c r="AB35" s="9">
        <v>2913.12</v>
      </c>
      <c r="AC35" s="9">
        <v>2976.9</v>
      </c>
      <c r="AD35" s="9">
        <v>3573.7</v>
      </c>
      <c r="AE35" s="9">
        <v>13899.98</v>
      </c>
    </row>
    <row r="36" spans="1:31" x14ac:dyDescent="0.25">
      <c r="A36" s="4" t="s">
        <v>105</v>
      </c>
      <c r="B36" s="9">
        <v>5819.58</v>
      </c>
      <c r="C36" s="9">
        <v>7073.04</v>
      </c>
      <c r="D36" s="9">
        <v>6520.72</v>
      </c>
      <c r="E36" s="9">
        <v>9042.7000000000007</v>
      </c>
      <c r="F36" s="9">
        <v>28456.04</v>
      </c>
      <c r="G36" s="9">
        <v>6247.6</v>
      </c>
      <c r="H36" s="9">
        <v>6202.57</v>
      </c>
      <c r="I36" s="9">
        <v>6318.36</v>
      </c>
      <c r="J36" s="9">
        <v>8488.4599999999991</v>
      </c>
      <c r="K36" s="9">
        <v>27238.65</v>
      </c>
      <c r="L36" s="9">
        <v>6268.1</v>
      </c>
      <c r="M36" s="9">
        <v>6366.02</v>
      </c>
      <c r="N36" s="9">
        <v>6218.06</v>
      </c>
      <c r="O36" s="9">
        <v>8417.4699999999993</v>
      </c>
      <c r="P36" s="9">
        <v>27496.93</v>
      </c>
      <c r="Q36" s="9">
        <v>6208.78</v>
      </c>
      <c r="R36" s="9">
        <v>6451.98</v>
      </c>
      <c r="S36" s="9">
        <v>6104.77</v>
      </c>
      <c r="T36" s="9">
        <v>8252.7099999999991</v>
      </c>
      <c r="U36" s="9">
        <v>27652.71</v>
      </c>
      <c r="V36" s="9">
        <v>6140.64</v>
      </c>
      <c r="W36" s="9">
        <v>6101.6</v>
      </c>
      <c r="X36" s="9">
        <v>5784.25</v>
      </c>
      <c r="Y36" s="9">
        <v>7671.67</v>
      </c>
      <c r="Z36" s="9">
        <v>27337.43</v>
      </c>
      <c r="AA36" s="9">
        <v>6117.99</v>
      </c>
      <c r="AB36" s="9">
        <v>6072.63</v>
      </c>
      <c r="AC36" s="9">
        <v>5759</v>
      </c>
      <c r="AD36" s="9">
        <v>7635.8</v>
      </c>
      <c r="AE36" s="9">
        <v>27418.11</v>
      </c>
    </row>
    <row r="37" spans="1:31" x14ac:dyDescent="0.25">
      <c r="A37" s="3" t="s">
        <v>106</v>
      </c>
      <c r="B37" s="9">
        <v>778.75</v>
      </c>
      <c r="C37" s="9">
        <v>759.08</v>
      </c>
      <c r="D37" s="9">
        <v>730.9</v>
      </c>
      <c r="E37" s="9">
        <v>786.49</v>
      </c>
      <c r="F37" s="9">
        <v>765.36</v>
      </c>
      <c r="G37" s="9">
        <v>781.08</v>
      </c>
      <c r="H37" s="9">
        <v>731.64</v>
      </c>
      <c r="I37" s="9">
        <v>747.71</v>
      </c>
      <c r="J37" s="9">
        <v>815.63</v>
      </c>
      <c r="K37" s="9">
        <v>772.88</v>
      </c>
      <c r="L37" s="9">
        <v>815.56</v>
      </c>
      <c r="M37" s="9">
        <v>788.24</v>
      </c>
      <c r="N37" s="9">
        <v>775.22</v>
      </c>
      <c r="O37" s="9">
        <v>855.22</v>
      </c>
      <c r="P37" s="9">
        <v>814.27</v>
      </c>
      <c r="Q37" s="9">
        <v>850.71</v>
      </c>
      <c r="R37" s="9">
        <v>817.41</v>
      </c>
      <c r="S37" s="9">
        <v>810.01</v>
      </c>
      <c r="T37" s="9">
        <v>909.33</v>
      </c>
      <c r="U37" s="9">
        <v>828.29</v>
      </c>
      <c r="V37" s="9">
        <v>866.94</v>
      </c>
      <c r="W37" s="9">
        <v>772.47</v>
      </c>
      <c r="X37" s="9">
        <v>831.3</v>
      </c>
      <c r="Y37" s="9">
        <v>918.52</v>
      </c>
      <c r="Z37" s="9">
        <v>822.23</v>
      </c>
      <c r="AA37" s="9">
        <v>885.41</v>
      </c>
      <c r="AB37" s="9">
        <v>789.35</v>
      </c>
      <c r="AC37" s="9">
        <v>849.21</v>
      </c>
      <c r="AD37" s="9">
        <v>938.92</v>
      </c>
      <c r="AE37" s="9">
        <v>834.28</v>
      </c>
    </row>
    <row r="38" spans="1:31" x14ac:dyDescent="0.25">
      <c r="A38" s="4" t="s">
        <v>107</v>
      </c>
      <c r="B38" s="9">
        <v>4532</v>
      </c>
      <c r="C38" s="9">
        <v>5369</v>
      </c>
      <c r="D38" s="9">
        <v>4766</v>
      </c>
      <c r="E38" s="9">
        <v>7112</v>
      </c>
      <c r="F38" s="9">
        <v>21779</v>
      </c>
      <c r="G38" s="9">
        <v>4824</v>
      </c>
      <c r="H38" s="9">
        <v>4178</v>
      </c>
      <c r="I38" s="9">
        <v>4778.46</v>
      </c>
      <c r="J38" s="9">
        <v>6978.87</v>
      </c>
      <c r="K38" s="9">
        <v>21481.4</v>
      </c>
      <c r="L38" s="9">
        <v>5045.6400000000003</v>
      </c>
      <c r="M38" s="9">
        <v>5066.07</v>
      </c>
      <c r="N38" s="9">
        <v>4824.3999999999996</v>
      </c>
      <c r="O38" s="9">
        <v>7190.74</v>
      </c>
      <c r="P38" s="9">
        <v>22419.81</v>
      </c>
      <c r="Q38" s="9">
        <v>5277.6</v>
      </c>
      <c r="R38" s="9">
        <v>5284.66</v>
      </c>
      <c r="S38" s="9">
        <v>4929.8999999999996</v>
      </c>
      <c r="T38" s="9">
        <v>7508.37</v>
      </c>
      <c r="U38" s="9">
        <v>23249.09</v>
      </c>
      <c r="V38" s="9">
        <v>5309</v>
      </c>
      <c r="W38" s="9">
        <v>4707.6499999999996</v>
      </c>
      <c r="X38" s="9">
        <v>4782.18</v>
      </c>
      <c r="Y38" s="9">
        <v>7030.12</v>
      </c>
      <c r="Z38" s="9">
        <v>23109.25</v>
      </c>
      <c r="AA38" s="9">
        <v>5398.91</v>
      </c>
      <c r="AB38" s="9">
        <v>4786.25</v>
      </c>
      <c r="AC38" s="9">
        <v>4859.58</v>
      </c>
      <c r="AD38" s="9">
        <v>7150.06</v>
      </c>
      <c r="AE38" s="9">
        <v>23550.12</v>
      </c>
    </row>
    <row r="39" spans="1:31" x14ac:dyDescent="0.25">
      <c r="A39" s="4" t="s">
        <v>76</v>
      </c>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spans="1:31" x14ac:dyDescent="0.25">
      <c r="A40" s="4" t="s">
        <v>108</v>
      </c>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spans="1:31" x14ac:dyDescent="0.25">
      <c r="A41" s="3" t="s">
        <v>109</v>
      </c>
      <c r="B41" s="9">
        <v>2105.5300000000002</v>
      </c>
      <c r="C41" s="9">
        <v>2101.6799999999998</v>
      </c>
      <c r="D41" s="9">
        <v>2177.52</v>
      </c>
      <c r="E41" s="9">
        <v>2248.02</v>
      </c>
      <c r="F41" s="9">
        <v>8632.75</v>
      </c>
      <c r="G41" s="9">
        <v>2104.6799999999998</v>
      </c>
      <c r="H41" s="9">
        <v>2153.23</v>
      </c>
      <c r="I41" s="9">
        <v>2210.87</v>
      </c>
      <c r="J41" s="9">
        <v>2280.12</v>
      </c>
      <c r="K41" s="9">
        <v>8743.07</v>
      </c>
      <c r="L41" s="9">
        <v>2115.87</v>
      </c>
      <c r="M41" s="9">
        <v>2164.65</v>
      </c>
      <c r="N41" s="9">
        <v>2228.63</v>
      </c>
      <c r="O41" s="9">
        <v>2297.46</v>
      </c>
      <c r="P41" s="9">
        <v>8751.9599999999991</v>
      </c>
      <c r="Q41" s="9">
        <v>2126.7600000000002</v>
      </c>
      <c r="R41" s="9">
        <v>2174.85</v>
      </c>
      <c r="S41" s="9">
        <v>2246.34</v>
      </c>
      <c r="T41" s="9">
        <v>2316.31</v>
      </c>
      <c r="U41" s="9">
        <v>8780.9500000000007</v>
      </c>
      <c r="V41" s="9">
        <v>2121.65</v>
      </c>
      <c r="W41" s="9">
        <v>2167.7600000000002</v>
      </c>
      <c r="X41" s="9">
        <v>2243.85</v>
      </c>
      <c r="Y41" s="9">
        <v>2315.31</v>
      </c>
      <c r="Z41" s="9">
        <v>8773.85</v>
      </c>
      <c r="AA41" s="9">
        <v>2068.12</v>
      </c>
      <c r="AB41" s="9">
        <v>2133.2600000000002</v>
      </c>
      <c r="AC41" s="9">
        <v>2242.11</v>
      </c>
      <c r="AD41" s="9">
        <v>2311.29</v>
      </c>
      <c r="AE41" s="9">
        <v>8728.59</v>
      </c>
    </row>
    <row r="42" spans="1:31" x14ac:dyDescent="0.25">
      <c r="A42" s="3" t="s">
        <v>110</v>
      </c>
      <c r="B42" s="8" t="s">
        <v>111</v>
      </c>
      <c r="C42" s="8" t="s">
        <v>81</v>
      </c>
      <c r="D42" s="8" t="s">
        <v>112</v>
      </c>
      <c r="E42" s="8" t="s">
        <v>112</v>
      </c>
      <c r="F42" s="8" t="s">
        <v>113</v>
      </c>
      <c r="G42" s="8" t="s">
        <v>114</v>
      </c>
      <c r="H42" s="8" t="s">
        <v>115</v>
      </c>
      <c r="I42" s="8" t="s">
        <v>116</v>
      </c>
      <c r="J42" s="8" t="s">
        <v>117</v>
      </c>
      <c r="K42" s="8" t="s">
        <v>118</v>
      </c>
      <c r="L42" s="8" t="s">
        <v>114</v>
      </c>
      <c r="M42" s="8" t="s">
        <v>119</v>
      </c>
      <c r="N42" s="8" t="s">
        <v>116</v>
      </c>
      <c r="O42" s="8" t="s">
        <v>120</v>
      </c>
      <c r="P42" s="8" t="s">
        <v>118</v>
      </c>
      <c r="Q42" s="8" t="s">
        <v>114</v>
      </c>
      <c r="R42" s="8" t="s">
        <v>119</v>
      </c>
      <c r="S42" s="8" t="s">
        <v>117</v>
      </c>
      <c r="T42" s="8" t="s">
        <v>121</v>
      </c>
      <c r="U42" s="8" t="s">
        <v>118</v>
      </c>
      <c r="V42" s="8" t="s">
        <v>122</v>
      </c>
      <c r="W42" s="8" t="s">
        <v>123</v>
      </c>
      <c r="X42" s="8" t="s">
        <v>112</v>
      </c>
      <c r="Y42" s="8" t="s">
        <v>121</v>
      </c>
      <c r="Z42" s="8" t="s">
        <v>81</v>
      </c>
      <c r="AA42" s="8" t="s">
        <v>95</v>
      </c>
      <c r="AB42" s="8" t="s">
        <v>124</v>
      </c>
      <c r="AC42" s="8" t="s">
        <v>125</v>
      </c>
      <c r="AD42" s="8" t="s">
        <v>117</v>
      </c>
      <c r="AE42" s="8" t="s">
        <v>115</v>
      </c>
    </row>
    <row r="43" spans="1:31" x14ac:dyDescent="0.25">
      <c r="A43" s="3" t="s">
        <v>126</v>
      </c>
      <c r="B43" s="9">
        <v>1968.53</v>
      </c>
      <c r="C43" s="9">
        <v>2051.6799999999998</v>
      </c>
      <c r="D43" s="9">
        <v>2130.52</v>
      </c>
      <c r="E43" s="9">
        <v>2139.02</v>
      </c>
      <c r="F43" s="9">
        <v>8289.75</v>
      </c>
      <c r="G43" s="9">
        <v>1989.68</v>
      </c>
      <c r="H43" s="9">
        <v>2080.23</v>
      </c>
      <c r="I43" s="9">
        <v>2158.1799999999998</v>
      </c>
      <c r="J43" s="9">
        <v>2176.11</v>
      </c>
      <c r="K43" s="9">
        <v>8383.56</v>
      </c>
      <c r="L43" s="9">
        <v>2012.53</v>
      </c>
      <c r="M43" s="9">
        <v>2090.08</v>
      </c>
      <c r="N43" s="9">
        <v>2182.67</v>
      </c>
      <c r="O43" s="9">
        <v>2201.38</v>
      </c>
      <c r="P43" s="9">
        <v>8443.7000000000007</v>
      </c>
      <c r="Q43" s="9">
        <v>2041.78</v>
      </c>
      <c r="R43" s="9">
        <v>2129.19</v>
      </c>
      <c r="S43" s="9">
        <v>2223.54</v>
      </c>
      <c r="T43" s="9">
        <v>2243.2600000000002</v>
      </c>
      <c r="U43" s="9">
        <v>8573.4</v>
      </c>
      <c r="V43" s="9">
        <v>2053.65</v>
      </c>
      <c r="W43" s="9">
        <v>2140.2199999999998</v>
      </c>
      <c r="X43" s="9">
        <v>2236.16</v>
      </c>
      <c r="Y43" s="9">
        <v>2257.7800000000002</v>
      </c>
      <c r="Z43" s="9">
        <v>8619.06</v>
      </c>
      <c r="AA43" s="9">
        <v>2053.59</v>
      </c>
      <c r="AB43" s="9">
        <v>2135.64</v>
      </c>
      <c r="AC43" s="9">
        <v>2229.67</v>
      </c>
      <c r="AD43" s="9">
        <v>2251.7199999999998</v>
      </c>
      <c r="AE43" s="9">
        <v>8634.0300000000007</v>
      </c>
    </row>
    <row r="44" spans="1:31" x14ac:dyDescent="0.25">
      <c r="A44" s="3" t="s">
        <v>127</v>
      </c>
      <c r="B44" s="9">
        <v>137</v>
      </c>
      <c r="C44" s="9">
        <v>50</v>
      </c>
      <c r="D44" s="9">
        <v>47</v>
      </c>
      <c r="E44" s="9">
        <v>109</v>
      </c>
      <c r="F44" s="9">
        <v>343</v>
      </c>
      <c r="G44" s="9">
        <v>115</v>
      </c>
      <c r="H44" s="9">
        <v>73</v>
      </c>
      <c r="I44" s="9">
        <v>42.05</v>
      </c>
      <c r="J44" s="9">
        <v>91.53</v>
      </c>
      <c r="K44" s="9">
        <v>321.58</v>
      </c>
      <c r="L44" s="9">
        <v>86.43</v>
      </c>
      <c r="M44" s="9">
        <v>59.88</v>
      </c>
      <c r="N44" s="9">
        <v>30.63</v>
      </c>
      <c r="O44" s="9">
        <v>77.150000000000006</v>
      </c>
      <c r="P44" s="9">
        <v>259.83</v>
      </c>
      <c r="Q44" s="9">
        <v>85.7</v>
      </c>
      <c r="R44" s="9">
        <v>46.05</v>
      </c>
      <c r="S44" s="9">
        <v>22.82</v>
      </c>
      <c r="T44" s="9">
        <v>73.69</v>
      </c>
      <c r="U44" s="9">
        <v>206.12</v>
      </c>
      <c r="V44" s="9">
        <v>67.989999999999995</v>
      </c>
      <c r="W44" s="9">
        <v>27.54</v>
      </c>
      <c r="X44" s="9">
        <v>7.68</v>
      </c>
      <c r="Y44" s="9">
        <v>57.54</v>
      </c>
      <c r="Z44" s="9">
        <v>153.66</v>
      </c>
      <c r="AA44" s="9">
        <v>14.54</v>
      </c>
      <c r="AB44" s="10">
        <v>-2.38</v>
      </c>
      <c r="AC44" s="9">
        <v>12.44</v>
      </c>
      <c r="AD44" s="9">
        <v>47.76</v>
      </c>
      <c r="AE44" s="9">
        <v>120.59</v>
      </c>
    </row>
    <row r="45" spans="1:31" x14ac:dyDescent="0.25">
      <c r="A45" s="3" t="s">
        <v>128</v>
      </c>
      <c r="B45" s="10">
        <v>-3</v>
      </c>
      <c r="C45" s="10">
        <v>-10</v>
      </c>
      <c r="D45" s="10">
        <v>-2</v>
      </c>
      <c r="E45" s="10">
        <v>-2</v>
      </c>
      <c r="F45" s="10">
        <v>-17</v>
      </c>
      <c r="G45" s="10">
        <v>-5</v>
      </c>
      <c r="H45" s="10">
        <v>-1</v>
      </c>
      <c r="I45" s="8" t="s">
        <v>66</v>
      </c>
      <c r="J45" s="8" t="s">
        <v>66</v>
      </c>
      <c r="K45" s="10">
        <v>-6</v>
      </c>
      <c r="L45" s="8" t="s">
        <v>66</v>
      </c>
      <c r="M45" s="8" t="s">
        <v>66</v>
      </c>
      <c r="N45" s="8" t="s">
        <v>66</v>
      </c>
      <c r="O45" s="8" t="s">
        <v>66</v>
      </c>
      <c r="P45" s="8" t="s">
        <v>66</v>
      </c>
      <c r="Q45" s="8" t="s">
        <v>66</v>
      </c>
      <c r="R45" s="8" t="s">
        <v>66</v>
      </c>
      <c r="S45" s="8" t="s">
        <v>66</v>
      </c>
      <c r="T45" s="8" t="s">
        <v>66</v>
      </c>
      <c r="U45" s="8" t="s">
        <v>66</v>
      </c>
      <c r="V45" s="8" t="s">
        <v>66</v>
      </c>
      <c r="W45" s="8" t="s">
        <v>66</v>
      </c>
      <c r="X45" s="8" t="s">
        <v>66</v>
      </c>
      <c r="Y45" s="8" t="s">
        <v>66</v>
      </c>
      <c r="Z45" s="8" t="s">
        <v>66</v>
      </c>
      <c r="AA45" s="8" t="s">
        <v>66</v>
      </c>
      <c r="AB45" s="8" t="s">
        <v>66</v>
      </c>
      <c r="AC45" s="8" t="s">
        <v>66</v>
      </c>
      <c r="AD45" s="8" t="s">
        <v>66</v>
      </c>
      <c r="AE45" s="8" t="s">
        <v>66</v>
      </c>
    </row>
    <row r="46" spans="1:31" x14ac:dyDescent="0.25">
      <c r="A46" s="4" t="s">
        <v>129</v>
      </c>
      <c r="B46" s="9">
        <v>134</v>
      </c>
      <c r="C46" s="9">
        <v>40</v>
      </c>
      <c r="D46" s="9">
        <v>45</v>
      </c>
      <c r="E46" s="9">
        <v>107</v>
      </c>
      <c r="F46" s="9">
        <v>326</v>
      </c>
      <c r="G46" s="9">
        <v>110</v>
      </c>
      <c r="H46" s="9">
        <v>72</v>
      </c>
      <c r="I46" s="9">
        <v>43.41</v>
      </c>
      <c r="J46" s="9">
        <v>79.900000000000006</v>
      </c>
      <c r="K46" s="9">
        <v>269.26</v>
      </c>
      <c r="L46" s="9">
        <v>66.099999999999994</v>
      </c>
      <c r="M46" s="9">
        <v>45.94</v>
      </c>
      <c r="N46" s="9">
        <v>38.82</v>
      </c>
      <c r="O46" s="9">
        <v>73.08</v>
      </c>
      <c r="P46" s="9">
        <v>234.27</v>
      </c>
      <c r="Q46" s="9">
        <v>85.7</v>
      </c>
      <c r="R46" s="9">
        <v>46.05</v>
      </c>
      <c r="S46" s="9">
        <v>22.82</v>
      </c>
      <c r="T46" s="9">
        <v>73.69</v>
      </c>
      <c r="U46" s="9">
        <v>207.83</v>
      </c>
      <c r="V46" s="9">
        <v>67.989999999999995</v>
      </c>
      <c r="W46" s="9">
        <v>27.54</v>
      </c>
      <c r="X46" s="9">
        <v>7.68</v>
      </c>
      <c r="Y46" s="9">
        <v>57.54</v>
      </c>
      <c r="Z46" s="9">
        <v>167.81</v>
      </c>
      <c r="AA46" s="9">
        <v>14.54</v>
      </c>
      <c r="AB46" s="10">
        <v>-2.38</v>
      </c>
      <c r="AC46" s="9">
        <v>12.44</v>
      </c>
      <c r="AD46" s="9">
        <v>47.76</v>
      </c>
      <c r="AE46" s="9">
        <v>144.58000000000001</v>
      </c>
    </row>
    <row r="47" spans="1:31" x14ac:dyDescent="0.25">
      <c r="A47" s="4" t="s">
        <v>130</v>
      </c>
      <c r="B47" s="9">
        <v>18977</v>
      </c>
      <c r="C47" s="9">
        <v>19017</v>
      </c>
      <c r="D47" s="9">
        <v>19062</v>
      </c>
      <c r="E47" s="9">
        <v>19169</v>
      </c>
      <c r="F47" s="9">
        <v>19169</v>
      </c>
      <c r="G47" s="9">
        <v>19279</v>
      </c>
      <c r="H47" s="9">
        <v>19351</v>
      </c>
      <c r="I47" s="9">
        <v>19358.36</v>
      </c>
      <c r="J47" s="9">
        <v>19438.259999999998</v>
      </c>
      <c r="K47" s="9">
        <v>19438.259999999998</v>
      </c>
      <c r="L47" s="9">
        <v>19494.78</v>
      </c>
      <c r="M47" s="9">
        <v>19540.72</v>
      </c>
      <c r="N47" s="9">
        <v>19579.54</v>
      </c>
      <c r="O47" s="9">
        <v>19652.61</v>
      </c>
      <c r="P47" s="9">
        <v>19672.52</v>
      </c>
      <c r="Q47" s="9">
        <v>19866.54</v>
      </c>
      <c r="R47" s="9">
        <v>19912.59</v>
      </c>
      <c r="S47" s="9">
        <v>19935.419999999998</v>
      </c>
      <c r="T47" s="9">
        <v>20009.099999999999</v>
      </c>
      <c r="U47" s="9">
        <v>19944.7</v>
      </c>
      <c r="V47" s="9">
        <v>20107.96</v>
      </c>
      <c r="W47" s="9">
        <v>20135.490000000002</v>
      </c>
      <c r="X47" s="9">
        <v>20143.18</v>
      </c>
      <c r="Y47" s="9">
        <v>20200.71</v>
      </c>
      <c r="Z47" s="9">
        <v>20119.89</v>
      </c>
      <c r="AA47" s="9">
        <v>20215.25</v>
      </c>
      <c r="AB47" s="9">
        <v>20212.87</v>
      </c>
      <c r="AC47" s="9">
        <v>20225.310000000001</v>
      </c>
      <c r="AD47" s="9">
        <v>20284.88</v>
      </c>
      <c r="AE47" s="9">
        <v>20246.39</v>
      </c>
    </row>
    <row r="48" spans="1:31" x14ac:dyDescent="0.25">
      <c r="A48" s="4" t="s">
        <v>131</v>
      </c>
      <c r="B48" s="9">
        <v>18910</v>
      </c>
      <c r="C48" s="9">
        <v>18997</v>
      </c>
      <c r="D48" s="9">
        <v>19039.5</v>
      </c>
      <c r="E48" s="9">
        <v>19115.5</v>
      </c>
      <c r="F48" s="9">
        <v>19006</v>
      </c>
      <c r="G48" s="9">
        <v>19224</v>
      </c>
      <c r="H48" s="9">
        <v>19315</v>
      </c>
      <c r="I48" s="9">
        <v>19326.669999999998</v>
      </c>
      <c r="J48" s="9">
        <v>19390.919999999998</v>
      </c>
      <c r="K48" s="9">
        <v>19298.48</v>
      </c>
      <c r="L48" s="9">
        <v>19434.27</v>
      </c>
      <c r="M48" s="9">
        <v>19487.95</v>
      </c>
      <c r="N48" s="9">
        <v>19530.48</v>
      </c>
      <c r="O48" s="9">
        <v>19589.66</v>
      </c>
      <c r="P48" s="9">
        <v>19534.98</v>
      </c>
      <c r="Q48" s="9">
        <v>19743.84</v>
      </c>
      <c r="R48" s="9">
        <v>19805.48</v>
      </c>
      <c r="S48" s="9">
        <v>19840.21</v>
      </c>
      <c r="T48" s="9">
        <v>19894.37</v>
      </c>
      <c r="U48" s="9">
        <v>19798.68</v>
      </c>
      <c r="V48" s="9">
        <v>19935.78</v>
      </c>
      <c r="W48" s="9">
        <v>19978.310000000001</v>
      </c>
      <c r="X48" s="9">
        <v>19996.39</v>
      </c>
      <c r="Y48" s="9">
        <v>20036.55</v>
      </c>
      <c r="Z48" s="9">
        <v>19969.14</v>
      </c>
      <c r="AA48" s="9">
        <v>20035.349999999999</v>
      </c>
      <c r="AB48" s="9">
        <v>20036.25</v>
      </c>
      <c r="AC48" s="9">
        <v>20041.830000000002</v>
      </c>
      <c r="AD48" s="9">
        <v>20085.53</v>
      </c>
      <c r="AE48" s="9">
        <v>20098.810000000001</v>
      </c>
    </row>
    <row r="49" spans="1:31" x14ac:dyDescent="0.25">
      <c r="A49" s="4" t="s">
        <v>132</v>
      </c>
      <c r="B49" s="9">
        <v>31.92</v>
      </c>
      <c r="C49" s="9">
        <v>32.56</v>
      </c>
      <c r="D49" s="9">
        <v>32.700000000000003</v>
      </c>
      <c r="E49" s="9">
        <v>32.9</v>
      </c>
      <c r="F49" s="9">
        <v>32.520000000000003</v>
      </c>
      <c r="G49" s="9">
        <v>33.31</v>
      </c>
      <c r="H49" s="9">
        <v>33.369999999999997</v>
      </c>
      <c r="I49" s="9">
        <v>33.19</v>
      </c>
      <c r="J49" s="9">
        <v>33.31</v>
      </c>
      <c r="K49" s="9">
        <v>33.26</v>
      </c>
      <c r="L49" s="9">
        <v>33.44</v>
      </c>
      <c r="M49" s="9">
        <v>33.56</v>
      </c>
      <c r="N49" s="9">
        <v>33.47</v>
      </c>
      <c r="O49" s="9">
        <v>33.58</v>
      </c>
      <c r="P49" s="9">
        <v>33.630000000000003</v>
      </c>
      <c r="Q49" s="9">
        <v>34.020000000000003</v>
      </c>
      <c r="R49" s="9">
        <v>34.08</v>
      </c>
      <c r="S49" s="9">
        <v>34.01</v>
      </c>
      <c r="T49" s="9">
        <v>34.130000000000003</v>
      </c>
      <c r="U49" s="9">
        <v>34.14</v>
      </c>
      <c r="V49" s="9">
        <v>34.46</v>
      </c>
      <c r="W49" s="9">
        <v>34.520000000000003</v>
      </c>
      <c r="X49" s="9">
        <v>34.44</v>
      </c>
      <c r="Y49" s="9">
        <v>34.630000000000003</v>
      </c>
      <c r="Z49" s="9">
        <v>34.58</v>
      </c>
      <c r="AA49" s="9">
        <v>34.86</v>
      </c>
      <c r="AB49" s="9">
        <v>34.92</v>
      </c>
      <c r="AC49" s="9">
        <v>34.840000000000003</v>
      </c>
      <c r="AD49" s="9">
        <v>35.03</v>
      </c>
      <c r="AE49" s="9">
        <v>34.979999999999997</v>
      </c>
    </row>
    <row r="50" spans="1:31" x14ac:dyDescent="0.25">
      <c r="A50" s="4" t="s">
        <v>133</v>
      </c>
      <c r="B50" s="9">
        <v>1810.82</v>
      </c>
      <c r="C50" s="9">
        <v>1855.63</v>
      </c>
      <c r="D50" s="9">
        <v>1867.77</v>
      </c>
      <c r="E50" s="9">
        <v>1886.7</v>
      </c>
      <c r="F50" s="9">
        <v>7420.92</v>
      </c>
      <c r="G50" s="9">
        <v>1921.05</v>
      </c>
      <c r="H50" s="9">
        <v>1933.62</v>
      </c>
      <c r="I50" s="9">
        <v>1924.63</v>
      </c>
      <c r="J50" s="9">
        <v>1938.04</v>
      </c>
      <c r="K50" s="9">
        <v>7700.16</v>
      </c>
      <c r="L50" s="9">
        <v>1949.93</v>
      </c>
      <c r="M50" s="9">
        <v>1962.55</v>
      </c>
      <c r="N50" s="9">
        <v>1961.36</v>
      </c>
      <c r="O50" s="9">
        <v>1973.87</v>
      </c>
      <c r="P50" s="9">
        <v>7872.05</v>
      </c>
      <c r="Q50" s="9">
        <v>2015.06</v>
      </c>
      <c r="R50" s="9">
        <v>2024.98</v>
      </c>
      <c r="S50" s="9">
        <v>2024.52</v>
      </c>
      <c r="T50" s="9">
        <v>2037.26</v>
      </c>
      <c r="U50" s="9">
        <v>8118.75</v>
      </c>
      <c r="V50" s="9">
        <v>2061.4</v>
      </c>
      <c r="W50" s="9">
        <v>2069.4299999999998</v>
      </c>
      <c r="X50" s="9">
        <v>2066.46</v>
      </c>
      <c r="Y50" s="9">
        <v>2081.65</v>
      </c>
      <c r="Z50" s="9">
        <v>8291.41</v>
      </c>
      <c r="AA50" s="9">
        <v>2095.7399999999998</v>
      </c>
      <c r="AB50" s="9">
        <v>2099.46</v>
      </c>
      <c r="AC50" s="9">
        <v>2095.14</v>
      </c>
      <c r="AD50" s="9">
        <v>2110.6999999999998</v>
      </c>
      <c r="AE50" s="9">
        <v>8427.92</v>
      </c>
    </row>
    <row r="51" spans="1:31" x14ac:dyDescent="0.25">
      <c r="A51" s="4" t="s">
        <v>76</v>
      </c>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spans="1:31" x14ac:dyDescent="0.25">
      <c r="A52" s="3" t="s">
        <v>134</v>
      </c>
      <c r="B52" s="10">
        <v>-42.5</v>
      </c>
      <c r="C52" s="10">
        <v>-28.5</v>
      </c>
      <c r="D52" s="10">
        <v>-80.5</v>
      </c>
      <c r="E52" s="10">
        <v>-87.5</v>
      </c>
      <c r="F52" s="10">
        <v>-239</v>
      </c>
      <c r="G52" s="10">
        <v>-35.380000000000003</v>
      </c>
      <c r="H52" s="10">
        <v>-37.729999999999997</v>
      </c>
      <c r="I52" s="10">
        <v>-64.75</v>
      </c>
      <c r="J52" s="10">
        <v>-67.599999999999994</v>
      </c>
      <c r="K52" s="10">
        <v>-205.45</v>
      </c>
      <c r="L52" s="10">
        <v>-42.5</v>
      </c>
      <c r="M52" s="10">
        <v>-42.5</v>
      </c>
      <c r="N52" s="10">
        <v>-60</v>
      </c>
      <c r="O52" s="10">
        <v>-60</v>
      </c>
      <c r="P52" s="10">
        <v>-194.06</v>
      </c>
      <c r="Q52" s="10">
        <v>-30</v>
      </c>
      <c r="R52" s="10">
        <v>-30</v>
      </c>
      <c r="S52" s="10">
        <v>-47.5</v>
      </c>
      <c r="T52" s="10">
        <v>-47.5</v>
      </c>
      <c r="U52" s="10">
        <v>-160.75</v>
      </c>
      <c r="V52" s="10">
        <v>-12.5</v>
      </c>
      <c r="W52" s="10">
        <v>-12.5</v>
      </c>
      <c r="X52" s="10">
        <v>-12.5</v>
      </c>
      <c r="Y52" s="10">
        <v>-12.5</v>
      </c>
      <c r="Z52" s="10">
        <v>-118.8</v>
      </c>
      <c r="AA52" s="10">
        <v>-10</v>
      </c>
      <c r="AB52" s="10">
        <v>-10</v>
      </c>
      <c r="AC52" s="10">
        <v>-10</v>
      </c>
      <c r="AD52" s="10">
        <v>-10</v>
      </c>
      <c r="AE52" s="10">
        <v>-88.87</v>
      </c>
    </row>
    <row r="53" spans="1:31" x14ac:dyDescent="0.25">
      <c r="A53" s="4" t="s">
        <v>135</v>
      </c>
      <c r="B53" s="9">
        <v>1253</v>
      </c>
      <c r="C53" s="9">
        <v>1224</v>
      </c>
      <c r="D53" s="9">
        <v>1144</v>
      </c>
      <c r="E53" s="9">
        <v>1056</v>
      </c>
      <c r="F53" s="9">
        <v>1056</v>
      </c>
      <c r="G53" s="9">
        <v>1020.12</v>
      </c>
      <c r="H53" s="9">
        <v>982.9</v>
      </c>
      <c r="I53" s="9">
        <v>918.15</v>
      </c>
      <c r="J53" s="9">
        <v>850.55</v>
      </c>
      <c r="K53" s="9">
        <v>850.55</v>
      </c>
      <c r="L53" s="9">
        <v>793</v>
      </c>
      <c r="M53" s="9">
        <v>750.5</v>
      </c>
      <c r="N53" s="9">
        <v>690.5</v>
      </c>
      <c r="O53" s="9">
        <v>630.5</v>
      </c>
      <c r="P53" s="9">
        <v>656.49</v>
      </c>
      <c r="Q53" s="9">
        <v>600.5</v>
      </c>
      <c r="R53" s="9">
        <v>570.5</v>
      </c>
      <c r="S53" s="9">
        <v>523</v>
      </c>
      <c r="T53" s="9">
        <v>475.5</v>
      </c>
      <c r="U53" s="9">
        <v>495.74</v>
      </c>
      <c r="V53" s="9">
        <v>520.5</v>
      </c>
      <c r="W53" s="9">
        <v>508</v>
      </c>
      <c r="X53" s="9">
        <v>495.5</v>
      </c>
      <c r="Y53" s="9">
        <v>483</v>
      </c>
      <c r="Z53" s="9">
        <v>402.86</v>
      </c>
      <c r="AA53" s="9">
        <v>473</v>
      </c>
      <c r="AB53" s="9">
        <v>463</v>
      </c>
      <c r="AC53" s="9">
        <v>453</v>
      </c>
      <c r="AD53" s="9">
        <v>443</v>
      </c>
      <c r="AE53" s="9">
        <v>313.99</v>
      </c>
    </row>
    <row r="54" spans="1:31" x14ac:dyDescent="0.25">
      <c r="A54" s="3" t="s">
        <v>136</v>
      </c>
      <c r="B54" s="9">
        <v>10.84</v>
      </c>
      <c r="C54" s="9">
        <v>10.84</v>
      </c>
      <c r="D54" s="9">
        <v>10.84</v>
      </c>
      <c r="E54" s="9">
        <v>10.84</v>
      </c>
      <c r="F54" s="9">
        <v>11.06</v>
      </c>
      <c r="G54" s="9">
        <v>10.84</v>
      </c>
      <c r="H54" s="9">
        <v>10.84</v>
      </c>
      <c r="I54" s="9">
        <v>10.84</v>
      </c>
      <c r="J54" s="9">
        <v>10.84</v>
      </c>
      <c r="K54" s="9">
        <v>11.15</v>
      </c>
      <c r="L54" s="9">
        <v>10.84</v>
      </c>
      <c r="M54" s="9">
        <v>10.84</v>
      </c>
      <c r="N54" s="9">
        <v>10.84</v>
      </c>
      <c r="O54" s="9">
        <v>10.84</v>
      </c>
      <c r="P54" s="9">
        <v>11.2</v>
      </c>
      <c r="Q54" s="9">
        <v>10.84</v>
      </c>
      <c r="R54" s="9">
        <v>10.84</v>
      </c>
      <c r="S54" s="9">
        <v>10.84</v>
      </c>
      <c r="T54" s="9">
        <v>10.84</v>
      </c>
      <c r="U54" s="9">
        <v>11.23</v>
      </c>
      <c r="V54" s="8" t="s">
        <v>66</v>
      </c>
      <c r="W54" s="8" t="s">
        <v>66</v>
      </c>
      <c r="X54" s="8" t="s">
        <v>66</v>
      </c>
      <c r="Y54" s="8" t="s">
        <v>66</v>
      </c>
      <c r="Z54" s="8" t="s">
        <v>66</v>
      </c>
      <c r="AA54" s="8" t="s">
        <v>66</v>
      </c>
      <c r="AB54" s="8" t="s">
        <v>66</v>
      </c>
      <c r="AC54" s="8" t="s">
        <v>66</v>
      </c>
      <c r="AD54" s="8" t="s">
        <v>66</v>
      </c>
      <c r="AE54" s="8" t="s">
        <v>66</v>
      </c>
    </row>
    <row r="55" spans="1:31" x14ac:dyDescent="0.25">
      <c r="A55" s="4" t="s">
        <v>137</v>
      </c>
      <c r="B55" s="9">
        <v>41.43</v>
      </c>
      <c r="C55" s="9">
        <v>40.28</v>
      </c>
      <c r="D55" s="9">
        <v>38.51</v>
      </c>
      <c r="E55" s="9">
        <v>35.78</v>
      </c>
      <c r="F55" s="9">
        <v>156</v>
      </c>
      <c r="G55" s="9">
        <v>33</v>
      </c>
      <c r="H55" s="9">
        <v>57.08</v>
      </c>
      <c r="I55" s="9">
        <v>50</v>
      </c>
      <c r="J55" s="9">
        <v>50</v>
      </c>
      <c r="K55" s="9">
        <v>190.08</v>
      </c>
      <c r="L55" s="9">
        <v>50</v>
      </c>
      <c r="M55" s="9">
        <v>50</v>
      </c>
      <c r="N55" s="9">
        <v>50</v>
      </c>
      <c r="O55" s="9">
        <v>50</v>
      </c>
      <c r="P55" s="9">
        <v>200</v>
      </c>
      <c r="Q55" s="9">
        <v>50</v>
      </c>
      <c r="R55" s="9">
        <v>50</v>
      </c>
      <c r="S55" s="9">
        <v>50</v>
      </c>
      <c r="T55" s="9">
        <v>50</v>
      </c>
      <c r="U55" s="9">
        <v>200</v>
      </c>
      <c r="V55" s="8" t="s">
        <v>66</v>
      </c>
      <c r="W55" s="8" t="s">
        <v>66</v>
      </c>
      <c r="X55" s="8" t="s">
        <v>66</v>
      </c>
      <c r="Y55" s="8" t="s">
        <v>66</v>
      </c>
      <c r="Z55" s="8" t="s">
        <v>66</v>
      </c>
      <c r="AA55" s="8" t="s">
        <v>66</v>
      </c>
      <c r="AB55" s="8" t="s">
        <v>66</v>
      </c>
      <c r="AC55" s="8" t="s">
        <v>66</v>
      </c>
      <c r="AD55" s="8" t="s">
        <v>66</v>
      </c>
      <c r="AE55" s="8" t="s">
        <v>66</v>
      </c>
    </row>
    <row r="56" spans="1:31" x14ac:dyDescent="0.25">
      <c r="A56" s="4" t="s">
        <v>76</v>
      </c>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row>
    <row r="57" spans="1:31" x14ac:dyDescent="0.25">
      <c r="A57" s="3" t="s">
        <v>138</v>
      </c>
      <c r="B57" s="9">
        <v>2377.14</v>
      </c>
      <c r="C57" s="9">
        <v>2412.86</v>
      </c>
      <c r="D57" s="9">
        <v>2465.14</v>
      </c>
      <c r="E57" s="9">
        <v>2448.81</v>
      </c>
      <c r="F57" s="9">
        <v>9703.9500000000007</v>
      </c>
      <c r="G57" s="9">
        <v>2413.02</v>
      </c>
      <c r="H57" s="9">
        <v>2457.38</v>
      </c>
      <c r="I57" s="9">
        <v>2427.63</v>
      </c>
      <c r="J57" s="9">
        <v>2455.37</v>
      </c>
      <c r="K57" s="9">
        <v>9753.4</v>
      </c>
      <c r="L57" s="9">
        <v>2440.1999999999998</v>
      </c>
      <c r="M57" s="9">
        <v>2474.88</v>
      </c>
      <c r="N57" s="9">
        <v>2474.88</v>
      </c>
      <c r="O57" s="9">
        <v>2494.5500000000002</v>
      </c>
      <c r="P57" s="9">
        <v>9678.2800000000007</v>
      </c>
      <c r="Q57" s="9">
        <v>2334.89</v>
      </c>
      <c r="R57" s="9">
        <v>2378.94</v>
      </c>
      <c r="S57" s="9">
        <v>2383.4</v>
      </c>
      <c r="T57" s="9">
        <v>2418.5500000000002</v>
      </c>
      <c r="U57" s="9">
        <v>9710.5</v>
      </c>
      <c r="V57" s="9">
        <v>2236.75</v>
      </c>
      <c r="W57" s="9">
        <v>2372.7800000000002</v>
      </c>
      <c r="X57" s="9">
        <v>2291.15</v>
      </c>
      <c r="Y57" s="9">
        <v>2334.86</v>
      </c>
      <c r="Z57" s="9">
        <v>9784.1200000000008</v>
      </c>
      <c r="AA57" s="9">
        <v>2067.5500000000002</v>
      </c>
      <c r="AB57" s="9">
        <v>2276.6799999999998</v>
      </c>
      <c r="AC57" s="9">
        <v>2342.17</v>
      </c>
      <c r="AD57" s="9">
        <v>2383.7399999999998</v>
      </c>
      <c r="AE57" s="9">
        <v>9808.5</v>
      </c>
    </row>
    <row r="58" spans="1:31" x14ac:dyDescent="0.25">
      <c r="A58" s="3" t="s">
        <v>139</v>
      </c>
      <c r="B58" s="8" t="s">
        <v>117</v>
      </c>
      <c r="C58" s="8" t="s">
        <v>140</v>
      </c>
      <c r="D58" s="8" t="s">
        <v>141</v>
      </c>
      <c r="E58" s="8" t="s">
        <v>142</v>
      </c>
      <c r="F58" s="8" t="s">
        <v>143</v>
      </c>
      <c r="G58" s="8" t="s">
        <v>144</v>
      </c>
      <c r="H58" s="8" t="s">
        <v>145</v>
      </c>
      <c r="I58" s="8" t="s">
        <v>141</v>
      </c>
      <c r="J58" s="8" t="s">
        <v>146</v>
      </c>
      <c r="K58" s="8" t="s">
        <v>147</v>
      </c>
      <c r="L58" s="8" t="s">
        <v>148</v>
      </c>
      <c r="M58" s="8" t="s">
        <v>146</v>
      </c>
      <c r="N58" s="8" t="s">
        <v>80</v>
      </c>
      <c r="O58" s="8" t="s">
        <v>147</v>
      </c>
      <c r="P58" s="8" t="s">
        <v>149</v>
      </c>
      <c r="Q58" s="8" t="s">
        <v>150</v>
      </c>
      <c r="R58" s="8" t="s">
        <v>143</v>
      </c>
      <c r="S58" s="8" t="s">
        <v>144</v>
      </c>
      <c r="T58" s="8" t="s">
        <v>112</v>
      </c>
      <c r="U58" s="8" t="s">
        <v>148</v>
      </c>
      <c r="V58" s="8" t="s">
        <v>119</v>
      </c>
      <c r="W58" s="8" t="s">
        <v>148</v>
      </c>
      <c r="X58" s="8" t="s">
        <v>151</v>
      </c>
      <c r="Y58" s="8" t="s">
        <v>152</v>
      </c>
      <c r="Z58" s="8" t="s">
        <v>140</v>
      </c>
      <c r="AA58" s="8" t="s">
        <v>123</v>
      </c>
      <c r="AB58" s="8" t="s">
        <v>153</v>
      </c>
      <c r="AC58" s="8" t="s">
        <v>143</v>
      </c>
      <c r="AD58" s="8" t="s">
        <v>154</v>
      </c>
      <c r="AE58" s="8" t="s">
        <v>155</v>
      </c>
    </row>
    <row r="59" spans="1:31" x14ac:dyDescent="0.25">
      <c r="A59" s="3" t="s">
        <v>156</v>
      </c>
      <c r="B59" s="9">
        <v>2226.34</v>
      </c>
      <c r="C59" s="9">
        <v>2332.7600000000002</v>
      </c>
      <c r="D59" s="9">
        <v>2392.89</v>
      </c>
      <c r="E59" s="9">
        <v>2363.96</v>
      </c>
      <c r="F59" s="9">
        <v>9313.36</v>
      </c>
      <c r="G59" s="9">
        <v>2330.9</v>
      </c>
      <c r="H59" s="9">
        <v>2419.54</v>
      </c>
      <c r="I59" s="9">
        <v>2436.38</v>
      </c>
      <c r="J59" s="9">
        <v>2427.73</v>
      </c>
      <c r="K59" s="9">
        <v>9612.73</v>
      </c>
      <c r="L59" s="9">
        <v>2371.14</v>
      </c>
      <c r="M59" s="9">
        <v>2444.91</v>
      </c>
      <c r="N59" s="9">
        <v>2459.91</v>
      </c>
      <c r="O59" s="9">
        <v>2426.5100000000002</v>
      </c>
      <c r="P59" s="9">
        <v>9530.23</v>
      </c>
      <c r="Q59" s="9">
        <v>2267.4</v>
      </c>
      <c r="R59" s="9">
        <v>2356.4</v>
      </c>
      <c r="S59" s="9">
        <v>2377.87</v>
      </c>
      <c r="T59" s="9">
        <v>2315.73</v>
      </c>
      <c r="U59" s="9">
        <v>9555.85</v>
      </c>
      <c r="V59" s="9">
        <v>2191.9699999999998</v>
      </c>
      <c r="W59" s="9">
        <v>2372.25</v>
      </c>
      <c r="X59" s="9">
        <v>2339.2600000000002</v>
      </c>
      <c r="Y59" s="9">
        <v>2317.42</v>
      </c>
      <c r="Z59" s="9">
        <v>9687.07</v>
      </c>
      <c r="AA59" s="9">
        <v>2178.1799999999998</v>
      </c>
      <c r="AB59" s="9">
        <v>2334.85</v>
      </c>
      <c r="AC59" s="9">
        <v>2305.17</v>
      </c>
      <c r="AD59" s="9">
        <v>2293.94</v>
      </c>
      <c r="AE59" s="9">
        <v>9707.2199999999993</v>
      </c>
    </row>
    <row r="60" spans="1:31" x14ac:dyDescent="0.25">
      <c r="A60" s="4" t="s">
        <v>157</v>
      </c>
      <c r="B60" s="9">
        <v>94</v>
      </c>
      <c r="C60" s="9">
        <v>22</v>
      </c>
      <c r="D60" s="10">
        <v>-34</v>
      </c>
      <c r="E60" s="9">
        <v>22</v>
      </c>
      <c r="F60" s="9">
        <v>104</v>
      </c>
      <c r="G60" s="9">
        <v>80.959999999999994</v>
      </c>
      <c r="H60" s="9">
        <v>35</v>
      </c>
      <c r="I60" s="10">
        <v>-5.5</v>
      </c>
      <c r="J60" s="9">
        <v>27.77</v>
      </c>
      <c r="K60" s="9">
        <v>132.05000000000001</v>
      </c>
      <c r="L60" s="9">
        <v>68.67</v>
      </c>
      <c r="M60" s="9">
        <v>29.99</v>
      </c>
      <c r="N60" s="9">
        <v>16.55</v>
      </c>
      <c r="O60" s="9">
        <v>68.819999999999993</v>
      </c>
      <c r="P60" s="9">
        <v>148.1</v>
      </c>
      <c r="Q60" s="9">
        <v>66.56</v>
      </c>
      <c r="R60" s="9">
        <v>22.18</v>
      </c>
      <c r="S60" s="9">
        <v>7.25</v>
      </c>
      <c r="T60" s="9">
        <v>103.54</v>
      </c>
      <c r="U60" s="9">
        <v>149.11000000000001</v>
      </c>
      <c r="V60" s="9">
        <v>42.5</v>
      </c>
      <c r="W60" s="9">
        <v>0.5</v>
      </c>
      <c r="X60" s="10">
        <v>-45.5</v>
      </c>
      <c r="Y60" s="9">
        <v>16.5</v>
      </c>
      <c r="Z60" s="9">
        <v>101.81</v>
      </c>
      <c r="AA60" s="10">
        <v>-105</v>
      </c>
      <c r="AB60" s="10">
        <v>-55</v>
      </c>
      <c r="AC60" s="9">
        <v>35</v>
      </c>
      <c r="AD60" s="9">
        <v>85</v>
      </c>
      <c r="AE60" s="9">
        <v>101.76</v>
      </c>
    </row>
    <row r="61" spans="1:31" x14ac:dyDescent="0.25">
      <c r="A61" s="3" t="s">
        <v>158</v>
      </c>
      <c r="B61" s="10">
        <v>-2</v>
      </c>
      <c r="C61" s="10">
        <v>-11</v>
      </c>
      <c r="D61" s="10">
        <v>-1</v>
      </c>
      <c r="E61" s="10">
        <v>-3</v>
      </c>
      <c r="F61" s="10">
        <v>-17</v>
      </c>
      <c r="G61" s="10">
        <v>-1.33</v>
      </c>
      <c r="H61" s="10">
        <v>-1</v>
      </c>
      <c r="I61" s="8" t="s">
        <v>66</v>
      </c>
      <c r="J61" s="8" t="s">
        <v>66</v>
      </c>
      <c r="K61" s="10">
        <v>-2</v>
      </c>
      <c r="L61" s="8" t="s">
        <v>66</v>
      </c>
      <c r="M61" s="8" t="s">
        <v>66</v>
      </c>
      <c r="N61" s="8" t="s">
        <v>66</v>
      </c>
      <c r="O61" s="8" t="s">
        <v>66</v>
      </c>
      <c r="P61" s="8" t="s">
        <v>66</v>
      </c>
      <c r="Q61" s="8" t="s">
        <v>66</v>
      </c>
      <c r="R61" s="8" t="s">
        <v>66</v>
      </c>
      <c r="S61" s="8" t="s">
        <v>66</v>
      </c>
      <c r="T61" s="8" t="s">
        <v>66</v>
      </c>
      <c r="U61" s="8" t="s">
        <v>66</v>
      </c>
      <c r="V61" s="8" t="s">
        <v>66</v>
      </c>
      <c r="W61" s="8" t="s">
        <v>66</v>
      </c>
      <c r="X61" s="8" t="s">
        <v>66</v>
      </c>
      <c r="Y61" s="8" t="s">
        <v>66</v>
      </c>
      <c r="Z61" s="8" t="s">
        <v>66</v>
      </c>
      <c r="AA61" s="8" t="s">
        <v>66</v>
      </c>
      <c r="AB61" s="8" t="s">
        <v>66</v>
      </c>
      <c r="AC61" s="8" t="s">
        <v>66</v>
      </c>
      <c r="AD61" s="8" t="s">
        <v>66</v>
      </c>
      <c r="AE61" s="8" t="s">
        <v>66</v>
      </c>
    </row>
    <row r="62" spans="1:31" x14ac:dyDescent="0.25">
      <c r="A62" s="4" t="s">
        <v>159</v>
      </c>
      <c r="B62" s="9">
        <v>92</v>
      </c>
      <c r="C62" s="9">
        <v>11</v>
      </c>
      <c r="D62" s="10">
        <v>-35</v>
      </c>
      <c r="E62" s="9">
        <v>19</v>
      </c>
      <c r="F62" s="9">
        <v>87</v>
      </c>
      <c r="G62" s="9">
        <v>81.099999999999994</v>
      </c>
      <c r="H62" s="9">
        <v>37.22</v>
      </c>
      <c r="I62" s="10">
        <v>-5.5</v>
      </c>
      <c r="J62" s="9">
        <v>27.77</v>
      </c>
      <c r="K62" s="9">
        <v>132.05000000000001</v>
      </c>
      <c r="L62" s="9">
        <v>68.67</v>
      </c>
      <c r="M62" s="9">
        <v>29.99</v>
      </c>
      <c r="N62" s="9">
        <v>16.55</v>
      </c>
      <c r="O62" s="9">
        <v>68.819999999999993</v>
      </c>
      <c r="P62" s="9">
        <v>148.1</v>
      </c>
      <c r="Q62" s="9">
        <v>66.56</v>
      </c>
      <c r="R62" s="9">
        <v>22.18</v>
      </c>
      <c r="S62" s="9">
        <v>7.25</v>
      </c>
      <c r="T62" s="9">
        <v>103.54</v>
      </c>
      <c r="U62" s="9">
        <v>149.11000000000001</v>
      </c>
      <c r="V62" s="9">
        <v>42.5</v>
      </c>
      <c r="W62" s="9">
        <v>0.5</v>
      </c>
      <c r="X62" s="10">
        <v>-45.5</v>
      </c>
      <c r="Y62" s="9">
        <v>16.5</v>
      </c>
      <c r="Z62" s="9">
        <v>101.81</v>
      </c>
      <c r="AA62" s="10">
        <v>-105</v>
      </c>
      <c r="AB62" s="10">
        <v>-55</v>
      </c>
      <c r="AC62" s="9">
        <v>35</v>
      </c>
      <c r="AD62" s="9">
        <v>85</v>
      </c>
      <c r="AE62" s="9">
        <v>101.76</v>
      </c>
    </row>
    <row r="63" spans="1:31" x14ac:dyDescent="0.25">
      <c r="A63" s="3" t="s">
        <v>160</v>
      </c>
      <c r="B63" s="9">
        <v>20230</v>
      </c>
      <c r="C63" s="9">
        <v>20241</v>
      </c>
      <c r="D63" s="9">
        <v>20206</v>
      </c>
      <c r="E63" s="9">
        <v>20225</v>
      </c>
      <c r="F63" s="9">
        <v>20225</v>
      </c>
      <c r="G63" s="9">
        <v>20305.96</v>
      </c>
      <c r="H63" s="9">
        <v>20343.32</v>
      </c>
      <c r="I63" s="9">
        <v>20329.28</v>
      </c>
      <c r="J63" s="9">
        <v>20357.05</v>
      </c>
      <c r="K63" s="9">
        <v>20357.05</v>
      </c>
      <c r="L63" s="9">
        <v>20454.439999999999</v>
      </c>
      <c r="M63" s="9">
        <v>20484.43</v>
      </c>
      <c r="N63" s="9">
        <v>20500.98</v>
      </c>
      <c r="O63" s="9">
        <v>20569.8</v>
      </c>
      <c r="P63" s="9">
        <v>20505.150000000001</v>
      </c>
      <c r="Q63" s="9">
        <v>20646.310000000001</v>
      </c>
      <c r="R63" s="9">
        <v>20668.48</v>
      </c>
      <c r="S63" s="9">
        <v>20675.73</v>
      </c>
      <c r="T63" s="9">
        <v>20779.28</v>
      </c>
      <c r="U63" s="9">
        <v>20654.259999999998</v>
      </c>
      <c r="V63" s="9">
        <v>20410.5</v>
      </c>
      <c r="W63" s="9">
        <v>20411</v>
      </c>
      <c r="X63" s="9">
        <v>20365.5</v>
      </c>
      <c r="Y63" s="9">
        <v>20382</v>
      </c>
      <c r="Z63" s="9">
        <v>20645.849999999999</v>
      </c>
      <c r="AA63" s="9">
        <v>20277</v>
      </c>
      <c r="AB63" s="9">
        <v>20222</v>
      </c>
      <c r="AC63" s="9">
        <v>20257</v>
      </c>
      <c r="AD63" s="9">
        <v>20342</v>
      </c>
      <c r="AE63" s="9">
        <v>20747.61</v>
      </c>
    </row>
    <row r="64" spans="1:31" x14ac:dyDescent="0.25">
      <c r="A64" s="3" t="s">
        <v>161</v>
      </c>
      <c r="B64" s="9">
        <v>20184</v>
      </c>
      <c r="C64" s="9">
        <v>20235.5</v>
      </c>
      <c r="D64" s="9">
        <v>20223.5</v>
      </c>
      <c r="E64" s="9">
        <v>20215.5</v>
      </c>
      <c r="F64" s="9">
        <v>20181.5</v>
      </c>
      <c r="G64" s="9">
        <v>20265.48</v>
      </c>
      <c r="H64" s="9">
        <v>20324.64</v>
      </c>
      <c r="I64" s="9">
        <v>20332.03</v>
      </c>
      <c r="J64" s="9">
        <v>20343.16</v>
      </c>
      <c r="K64" s="9">
        <v>20297.96</v>
      </c>
      <c r="L64" s="9">
        <v>20420.099999999999</v>
      </c>
      <c r="M64" s="9">
        <v>20469.43</v>
      </c>
      <c r="N64" s="9">
        <v>20492.71</v>
      </c>
      <c r="O64" s="9">
        <v>20535.39</v>
      </c>
      <c r="P64" s="9">
        <v>20433.03</v>
      </c>
      <c r="Q64" s="9">
        <v>20613.03</v>
      </c>
      <c r="R64" s="9">
        <v>20657.39</v>
      </c>
      <c r="S64" s="9">
        <v>20672.11</v>
      </c>
      <c r="T64" s="9">
        <v>20727.509999999998</v>
      </c>
      <c r="U64" s="9">
        <v>20581.64</v>
      </c>
      <c r="V64" s="9">
        <v>20389.25</v>
      </c>
      <c r="W64" s="9">
        <v>20410.75</v>
      </c>
      <c r="X64" s="9">
        <v>20388.25</v>
      </c>
      <c r="Y64" s="9">
        <v>20373.75</v>
      </c>
      <c r="Z64" s="9">
        <v>20597.53</v>
      </c>
      <c r="AA64" s="9">
        <v>20329.5</v>
      </c>
      <c r="AB64" s="9">
        <v>20249.5</v>
      </c>
      <c r="AC64" s="9">
        <v>20239.5</v>
      </c>
      <c r="AD64" s="9">
        <v>20299.5</v>
      </c>
      <c r="AE64" s="9">
        <v>20682.98</v>
      </c>
    </row>
    <row r="65" spans="1:31" x14ac:dyDescent="0.25">
      <c r="A65" s="3" t="s">
        <v>162</v>
      </c>
      <c r="B65" s="9">
        <v>30.91</v>
      </c>
      <c r="C65" s="9">
        <v>31.55</v>
      </c>
      <c r="D65" s="9">
        <v>31.57</v>
      </c>
      <c r="E65" s="9">
        <v>31.82</v>
      </c>
      <c r="F65" s="9">
        <v>31.5</v>
      </c>
      <c r="G65" s="9">
        <v>31.8</v>
      </c>
      <c r="H65" s="9">
        <v>31.84</v>
      </c>
      <c r="I65" s="9">
        <v>31.77</v>
      </c>
      <c r="J65" s="9">
        <v>31.98</v>
      </c>
      <c r="K65" s="9">
        <v>31.72</v>
      </c>
      <c r="L65" s="9">
        <v>31.91</v>
      </c>
      <c r="M65" s="9">
        <v>32.090000000000003</v>
      </c>
      <c r="N65" s="9">
        <v>31.97</v>
      </c>
      <c r="O65" s="9">
        <v>32.200000000000003</v>
      </c>
      <c r="P65" s="9">
        <v>31.9</v>
      </c>
      <c r="Q65" s="9">
        <v>32.47</v>
      </c>
      <c r="R65" s="9">
        <v>32.67</v>
      </c>
      <c r="S65" s="9">
        <v>32.479999999999997</v>
      </c>
      <c r="T65" s="9">
        <v>32.76</v>
      </c>
      <c r="U65" s="9">
        <v>32.22</v>
      </c>
      <c r="V65" s="9">
        <v>33.25</v>
      </c>
      <c r="W65" s="9">
        <v>33.33</v>
      </c>
      <c r="X65" s="9">
        <v>33.049999999999997</v>
      </c>
      <c r="Y65" s="9">
        <v>33.36</v>
      </c>
      <c r="Z65" s="9">
        <v>32.659999999999997</v>
      </c>
      <c r="AA65" s="9">
        <v>33.5</v>
      </c>
      <c r="AB65" s="9">
        <v>33.590000000000003</v>
      </c>
      <c r="AC65" s="9">
        <v>33.299999999999997</v>
      </c>
      <c r="AD65" s="9">
        <v>33.619999999999997</v>
      </c>
      <c r="AE65" s="9">
        <v>32.97</v>
      </c>
    </row>
    <row r="66" spans="1:31" x14ac:dyDescent="0.25">
      <c r="A66" s="3" t="s">
        <v>163</v>
      </c>
      <c r="B66" s="9">
        <v>1871.62</v>
      </c>
      <c r="C66" s="9">
        <v>1915.05</v>
      </c>
      <c r="D66" s="9">
        <v>1915.63</v>
      </c>
      <c r="E66" s="9">
        <v>1929.75</v>
      </c>
      <c r="F66" s="9">
        <v>7632.05</v>
      </c>
      <c r="G66" s="9">
        <v>1932.63</v>
      </c>
      <c r="H66" s="9">
        <v>1940.42</v>
      </c>
      <c r="I66" s="9">
        <v>1937.56</v>
      </c>
      <c r="J66" s="9">
        <v>1951.31</v>
      </c>
      <c r="K66" s="9">
        <v>7761.93</v>
      </c>
      <c r="L66" s="9">
        <v>1950.57</v>
      </c>
      <c r="M66" s="9">
        <v>1963.42</v>
      </c>
      <c r="N66" s="9">
        <v>1957.51</v>
      </c>
      <c r="O66" s="9">
        <v>1973.5</v>
      </c>
      <c r="P66" s="9">
        <v>7835.63</v>
      </c>
      <c r="Q66" s="9">
        <v>1988.41</v>
      </c>
      <c r="R66" s="9">
        <v>2000.22</v>
      </c>
      <c r="S66" s="9">
        <v>1987.16</v>
      </c>
      <c r="T66" s="9">
        <v>2004.21</v>
      </c>
      <c r="U66" s="9">
        <v>7926.51</v>
      </c>
      <c r="V66" s="9">
        <v>2022.43</v>
      </c>
      <c r="W66" s="9">
        <v>2026.27</v>
      </c>
      <c r="X66" s="9">
        <v>2005.7</v>
      </c>
      <c r="Y66" s="9">
        <v>2021.22</v>
      </c>
      <c r="Z66" s="9">
        <v>8020.79</v>
      </c>
      <c r="AA66" s="9">
        <v>2024.98</v>
      </c>
      <c r="AB66" s="9">
        <v>2023.62</v>
      </c>
      <c r="AC66" s="9">
        <v>2003.63</v>
      </c>
      <c r="AD66" s="9">
        <v>2023.07</v>
      </c>
      <c r="AE66" s="9">
        <v>8089.73</v>
      </c>
    </row>
    <row r="67" spans="1:31" x14ac:dyDescent="0.25">
      <c r="A67" s="4" t="s">
        <v>76</v>
      </c>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row>
    <row r="68" spans="1:31" x14ac:dyDescent="0.25">
      <c r="A68" s="3" t="s">
        <v>164</v>
      </c>
      <c r="B68" s="9">
        <v>976.84</v>
      </c>
      <c r="C68" s="9">
        <v>1053.18</v>
      </c>
      <c r="D68" s="9">
        <v>1136.76</v>
      </c>
      <c r="E68" s="9">
        <v>1148.8900000000001</v>
      </c>
      <c r="F68" s="9">
        <v>4193.49</v>
      </c>
      <c r="G68" s="9">
        <v>1115.48</v>
      </c>
      <c r="H68" s="9">
        <v>1167.26</v>
      </c>
      <c r="I68" s="9">
        <v>1191.76</v>
      </c>
      <c r="J68" s="9">
        <v>1212.71</v>
      </c>
      <c r="K68" s="9">
        <v>4615.54</v>
      </c>
      <c r="L68" s="9">
        <v>1184.01</v>
      </c>
      <c r="M68" s="9">
        <v>1217.71</v>
      </c>
      <c r="N68" s="9">
        <v>1264.1099999999999</v>
      </c>
      <c r="O68" s="9">
        <v>1276.97</v>
      </c>
      <c r="P68" s="9">
        <v>5003.09</v>
      </c>
      <c r="Q68" s="9">
        <v>1270.81</v>
      </c>
      <c r="R68" s="9">
        <v>1305.07</v>
      </c>
      <c r="S68" s="9">
        <v>1357.22</v>
      </c>
      <c r="T68" s="9">
        <v>1363.87</v>
      </c>
      <c r="U68" s="9">
        <v>5384.25</v>
      </c>
      <c r="V68" s="9">
        <v>1274.47</v>
      </c>
      <c r="W68" s="9">
        <v>1300.3699999999999</v>
      </c>
      <c r="X68" s="9">
        <v>1338.94</v>
      </c>
      <c r="Y68" s="9">
        <v>1334.69</v>
      </c>
      <c r="Z68" s="9">
        <v>5603.92</v>
      </c>
      <c r="AA68" s="9">
        <v>1300.9100000000001</v>
      </c>
      <c r="AB68" s="9">
        <v>1326.9</v>
      </c>
      <c r="AC68" s="9">
        <v>1366.09</v>
      </c>
      <c r="AD68" s="9">
        <v>1360.94</v>
      </c>
      <c r="AE68" s="9">
        <v>5837.36</v>
      </c>
    </row>
    <row r="69" spans="1:31" x14ac:dyDescent="0.25">
      <c r="A69" s="4" t="s">
        <v>76</v>
      </c>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spans="1:31" x14ac:dyDescent="0.25">
      <c r="A70" s="3" t="s">
        <v>161</v>
      </c>
      <c r="B70" s="9">
        <v>20184</v>
      </c>
      <c r="C70" s="9">
        <v>20235.5</v>
      </c>
      <c r="D70" s="9">
        <v>20223.5</v>
      </c>
      <c r="E70" s="9">
        <v>20215.5</v>
      </c>
      <c r="F70" s="9">
        <v>20181.5</v>
      </c>
      <c r="G70" s="9">
        <v>20265.48</v>
      </c>
      <c r="H70" s="9">
        <v>20324.64</v>
      </c>
      <c r="I70" s="9">
        <v>20332.03</v>
      </c>
      <c r="J70" s="9">
        <v>20343.16</v>
      </c>
      <c r="K70" s="9">
        <v>20297.96</v>
      </c>
      <c r="L70" s="9">
        <v>20420.099999999999</v>
      </c>
      <c r="M70" s="9">
        <v>20469.43</v>
      </c>
      <c r="N70" s="9">
        <v>20492.71</v>
      </c>
      <c r="O70" s="9">
        <v>20535.39</v>
      </c>
      <c r="P70" s="9">
        <v>20433.03</v>
      </c>
      <c r="Q70" s="9">
        <v>20613.03</v>
      </c>
      <c r="R70" s="9">
        <v>20657.39</v>
      </c>
      <c r="S70" s="9">
        <v>20672.11</v>
      </c>
      <c r="T70" s="9">
        <v>20727.509999999998</v>
      </c>
      <c r="U70" s="9">
        <v>20581.64</v>
      </c>
      <c r="V70" s="9">
        <v>20389.25</v>
      </c>
      <c r="W70" s="9">
        <v>20410.75</v>
      </c>
      <c r="X70" s="9">
        <v>20388.25</v>
      </c>
      <c r="Y70" s="9">
        <v>20373.75</v>
      </c>
      <c r="Z70" s="9">
        <v>20597.53</v>
      </c>
      <c r="AA70" s="9">
        <v>20329.5</v>
      </c>
      <c r="AB70" s="9">
        <v>20249.5</v>
      </c>
      <c r="AC70" s="9">
        <v>20239.5</v>
      </c>
      <c r="AD70" s="9">
        <v>20299.5</v>
      </c>
      <c r="AE70" s="9">
        <v>20682.98</v>
      </c>
    </row>
    <row r="71" spans="1:31" x14ac:dyDescent="0.25">
      <c r="A71" s="3" t="s">
        <v>165</v>
      </c>
      <c r="B71" s="9">
        <v>46.71</v>
      </c>
      <c r="C71" s="9">
        <v>48.6</v>
      </c>
      <c r="D71" s="9">
        <v>50.13</v>
      </c>
      <c r="E71" s="9">
        <v>50.51</v>
      </c>
      <c r="F71" s="9">
        <v>49.07</v>
      </c>
      <c r="G71" s="9">
        <v>48.75</v>
      </c>
      <c r="H71" s="9">
        <v>50.27</v>
      </c>
      <c r="I71" s="9">
        <v>51.01</v>
      </c>
      <c r="J71" s="9">
        <v>51.62</v>
      </c>
      <c r="K71" s="9">
        <v>50.04</v>
      </c>
      <c r="L71" s="9">
        <v>49.75</v>
      </c>
      <c r="M71" s="9">
        <v>51.02</v>
      </c>
      <c r="N71" s="9">
        <v>52.11</v>
      </c>
      <c r="O71" s="9">
        <v>52.55</v>
      </c>
      <c r="P71" s="9">
        <v>51.79</v>
      </c>
      <c r="Q71" s="9">
        <v>51.12</v>
      </c>
      <c r="R71" s="9">
        <v>52.64</v>
      </c>
      <c r="S71" s="9">
        <v>53.92</v>
      </c>
      <c r="T71" s="9">
        <v>54.27</v>
      </c>
      <c r="U71" s="9">
        <v>53.4</v>
      </c>
      <c r="V71" s="9">
        <v>52.59</v>
      </c>
      <c r="W71" s="9">
        <v>53.85</v>
      </c>
      <c r="X71" s="9">
        <v>54.68</v>
      </c>
      <c r="Y71" s="9">
        <v>54.62</v>
      </c>
      <c r="Z71" s="9">
        <v>55</v>
      </c>
      <c r="AA71" s="9">
        <v>53.33</v>
      </c>
      <c r="AB71" s="9">
        <v>54.7</v>
      </c>
      <c r="AC71" s="9">
        <v>55.53</v>
      </c>
      <c r="AD71" s="9">
        <v>55.35</v>
      </c>
      <c r="AE71" s="9">
        <v>56.18</v>
      </c>
    </row>
    <row r="72" spans="1:31" x14ac:dyDescent="0.25">
      <c r="A72" s="4" t="s">
        <v>166</v>
      </c>
      <c r="B72" s="9">
        <v>2828.2</v>
      </c>
      <c r="C72" s="9">
        <v>2950.14</v>
      </c>
      <c r="D72" s="9">
        <v>3041.3</v>
      </c>
      <c r="E72" s="9">
        <v>3063.53</v>
      </c>
      <c r="F72" s="9">
        <v>11883.17</v>
      </c>
      <c r="G72" s="9">
        <v>2997.53</v>
      </c>
      <c r="H72" s="9">
        <v>3064.3</v>
      </c>
      <c r="I72" s="9">
        <v>3092.53</v>
      </c>
      <c r="J72" s="9">
        <v>3125.68</v>
      </c>
      <c r="K72" s="9">
        <v>12180.81</v>
      </c>
      <c r="L72" s="9">
        <v>3088.25</v>
      </c>
      <c r="M72" s="9">
        <v>3140.26</v>
      </c>
      <c r="N72" s="9">
        <v>3183.48</v>
      </c>
      <c r="O72" s="9">
        <v>3200.28</v>
      </c>
      <c r="P72" s="9">
        <v>12666.89</v>
      </c>
      <c r="Q72" s="9">
        <v>3204.72</v>
      </c>
      <c r="R72" s="9">
        <v>3268.5</v>
      </c>
      <c r="S72" s="9">
        <v>3325.25</v>
      </c>
      <c r="T72" s="9">
        <v>3351.53</v>
      </c>
      <c r="U72" s="9">
        <v>13189.41</v>
      </c>
      <c r="V72" s="9">
        <v>3285.33</v>
      </c>
      <c r="W72" s="9">
        <v>3317.67</v>
      </c>
      <c r="X72" s="9">
        <v>3346.89</v>
      </c>
      <c r="Y72" s="9">
        <v>3357.8</v>
      </c>
      <c r="Z72" s="9">
        <v>13567.43</v>
      </c>
      <c r="AA72" s="9">
        <v>3320.19</v>
      </c>
      <c r="AB72" s="9">
        <v>3349.03</v>
      </c>
      <c r="AC72" s="9">
        <v>3379.21</v>
      </c>
      <c r="AD72" s="9">
        <v>3391.85</v>
      </c>
      <c r="AE72" s="9">
        <v>13895.35</v>
      </c>
    </row>
    <row r="73" spans="1:31" x14ac:dyDescent="0.25">
      <c r="A73" s="4" t="s">
        <v>76</v>
      </c>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row>
    <row r="74" spans="1:31" x14ac:dyDescent="0.25">
      <c r="A74" s="4" t="s">
        <v>167</v>
      </c>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row>
    <row r="75" spans="1:31" x14ac:dyDescent="0.25">
      <c r="A75" s="3" t="s">
        <v>168</v>
      </c>
      <c r="B75" s="9">
        <v>115256</v>
      </c>
      <c r="C75" s="9">
        <v>115084</v>
      </c>
      <c r="D75" s="9">
        <v>115189</v>
      </c>
      <c r="E75" s="9">
        <v>115076</v>
      </c>
      <c r="F75" s="9">
        <v>115256</v>
      </c>
      <c r="G75" s="9">
        <v>115903</v>
      </c>
      <c r="H75" s="9">
        <v>115789.65</v>
      </c>
      <c r="I75" s="9">
        <v>115976.8</v>
      </c>
      <c r="J75" s="9">
        <v>116103.33</v>
      </c>
      <c r="K75" s="9">
        <v>115811.63</v>
      </c>
      <c r="L75" s="9">
        <v>116696.92</v>
      </c>
      <c r="M75" s="9">
        <v>116540.49</v>
      </c>
      <c r="N75" s="9">
        <v>116743.4</v>
      </c>
      <c r="O75" s="9">
        <v>116744.2</v>
      </c>
      <c r="P75" s="9">
        <v>116822.23</v>
      </c>
      <c r="Q75" s="9">
        <v>117475.16</v>
      </c>
      <c r="R75" s="9">
        <v>117276.77</v>
      </c>
      <c r="S75" s="9">
        <v>117388.79</v>
      </c>
      <c r="T75" s="9">
        <v>117277.48</v>
      </c>
      <c r="U75" s="9">
        <v>118033.68</v>
      </c>
      <c r="V75" s="9">
        <v>116892.26</v>
      </c>
      <c r="W75" s="9">
        <v>116559.93</v>
      </c>
      <c r="X75" s="9">
        <v>116486.63</v>
      </c>
      <c r="Y75" s="9">
        <v>116362.37</v>
      </c>
      <c r="Z75" s="9">
        <v>118883.79</v>
      </c>
      <c r="AA75" s="9">
        <v>116894.79</v>
      </c>
      <c r="AB75" s="9">
        <v>116483.46</v>
      </c>
      <c r="AC75" s="9">
        <v>116357.01</v>
      </c>
      <c r="AD75" s="9">
        <v>116230.44</v>
      </c>
      <c r="AE75" s="9">
        <v>119768.04</v>
      </c>
    </row>
    <row r="76" spans="1:31" x14ac:dyDescent="0.25">
      <c r="A76" s="3" t="s">
        <v>169</v>
      </c>
      <c r="B76" s="9">
        <v>5265.51</v>
      </c>
      <c r="C76" s="9">
        <v>5569.47</v>
      </c>
      <c r="D76" s="9">
        <v>5452.9</v>
      </c>
      <c r="E76" s="9">
        <v>6660.67</v>
      </c>
      <c r="F76" s="9">
        <v>23014.959999999999</v>
      </c>
      <c r="G76" s="9">
        <v>5288.54</v>
      </c>
      <c r="H76" s="9">
        <v>5459.07</v>
      </c>
      <c r="I76" s="9">
        <v>5401.77</v>
      </c>
      <c r="J76" s="9">
        <v>6245.2</v>
      </c>
      <c r="K76" s="9">
        <v>22402.48</v>
      </c>
      <c r="L76" s="9">
        <v>5430.71</v>
      </c>
      <c r="M76" s="9">
        <v>5646.4</v>
      </c>
      <c r="N76" s="9">
        <v>5510.53</v>
      </c>
      <c r="O76" s="9">
        <v>6459.08</v>
      </c>
      <c r="P76" s="9">
        <v>22466</v>
      </c>
      <c r="Q76" s="9">
        <v>5317.89</v>
      </c>
      <c r="R76" s="9">
        <v>5490.63</v>
      </c>
      <c r="S76" s="9">
        <v>5362.28</v>
      </c>
      <c r="T76" s="9">
        <v>6343.85</v>
      </c>
      <c r="U76" s="9">
        <v>22529.26</v>
      </c>
      <c r="V76" s="9">
        <v>5113.1499999999996</v>
      </c>
      <c r="W76" s="9">
        <v>5248.23</v>
      </c>
      <c r="X76" s="9">
        <v>5260.02</v>
      </c>
      <c r="Y76" s="9">
        <v>5941.25</v>
      </c>
      <c r="Z76" s="9">
        <v>22263.05</v>
      </c>
      <c r="AA76" s="9">
        <v>5030.43</v>
      </c>
      <c r="AB76" s="9">
        <v>5184.91</v>
      </c>
      <c r="AC76" s="9">
        <v>5249.5</v>
      </c>
      <c r="AD76" s="9">
        <v>5921.6</v>
      </c>
      <c r="AE76" s="9">
        <v>22366.43</v>
      </c>
    </row>
    <row r="77" spans="1:31" x14ac:dyDescent="0.25">
      <c r="A77" s="3" t="s">
        <v>170</v>
      </c>
      <c r="B77" s="8" t="s">
        <v>171</v>
      </c>
      <c r="C77" s="8" t="s">
        <v>172</v>
      </c>
      <c r="D77" s="8" t="s">
        <v>173</v>
      </c>
      <c r="E77" s="8" t="s">
        <v>174</v>
      </c>
      <c r="F77" s="8" t="s">
        <v>173</v>
      </c>
      <c r="G77" s="8" t="s">
        <v>175</v>
      </c>
      <c r="H77" s="8" t="s">
        <v>176</v>
      </c>
      <c r="I77" s="8" t="s">
        <v>177</v>
      </c>
      <c r="J77" s="8" t="s">
        <v>178</v>
      </c>
      <c r="K77" s="8" t="s">
        <v>179</v>
      </c>
      <c r="L77" s="8" t="s">
        <v>177</v>
      </c>
      <c r="M77" s="8" t="s">
        <v>180</v>
      </c>
      <c r="N77" s="8" t="s">
        <v>181</v>
      </c>
      <c r="O77" s="8" t="s">
        <v>182</v>
      </c>
      <c r="P77" s="8" t="s">
        <v>177</v>
      </c>
      <c r="Q77" s="8" t="s">
        <v>171</v>
      </c>
      <c r="R77" s="8" t="s">
        <v>183</v>
      </c>
      <c r="S77" s="8" t="s">
        <v>175</v>
      </c>
      <c r="T77" s="8" t="s">
        <v>184</v>
      </c>
      <c r="U77" s="8" t="s">
        <v>185</v>
      </c>
      <c r="V77" s="8" t="s">
        <v>184</v>
      </c>
      <c r="W77" s="8" t="s">
        <v>179</v>
      </c>
      <c r="X77" s="8" t="s">
        <v>183</v>
      </c>
      <c r="Y77" s="8" t="s">
        <v>183</v>
      </c>
      <c r="Z77" s="8" t="s">
        <v>185</v>
      </c>
      <c r="AA77" s="8" t="s">
        <v>184</v>
      </c>
      <c r="AB77" s="8" t="s">
        <v>179</v>
      </c>
      <c r="AC77" s="8" t="s">
        <v>183</v>
      </c>
      <c r="AD77" s="8" t="s">
        <v>175</v>
      </c>
      <c r="AE77" s="8" t="s">
        <v>185</v>
      </c>
    </row>
    <row r="78" spans="1:31" x14ac:dyDescent="0.25">
      <c r="A78" s="3" t="s">
        <v>186</v>
      </c>
      <c r="B78" s="9">
        <v>5424.51</v>
      </c>
      <c r="C78" s="9">
        <v>5457.47</v>
      </c>
      <c r="D78" s="9">
        <v>5560.9</v>
      </c>
      <c r="E78" s="9">
        <v>5820.67</v>
      </c>
      <c r="F78" s="9">
        <v>22263.55</v>
      </c>
      <c r="G78" s="9">
        <v>5400.66</v>
      </c>
      <c r="H78" s="9">
        <v>5257.27</v>
      </c>
      <c r="I78" s="9">
        <v>5233.62</v>
      </c>
      <c r="J78" s="9">
        <v>5332.55</v>
      </c>
      <c r="K78" s="9">
        <v>21227.01</v>
      </c>
      <c r="L78" s="9">
        <v>5241.8500000000004</v>
      </c>
      <c r="M78" s="9">
        <v>5061.3900000000003</v>
      </c>
      <c r="N78" s="9">
        <v>5113.8100000000004</v>
      </c>
      <c r="O78" s="9">
        <v>5161.16</v>
      </c>
      <c r="P78" s="9">
        <v>21116.77</v>
      </c>
      <c r="Q78" s="9">
        <v>5524.26</v>
      </c>
      <c r="R78" s="9">
        <v>5388.2</v>
      </c>
      <c r="S78" s="9">
        <v>5455.11</v>
      </c>
      <c r="T78" s="9">
        <v>5499.3</v>
      </c>
      <c r="U78" s="9">
        <v>22503.87</v>
      </c>
      <c r="V78" s="9">
        <v>5446.27</v>
      </c>
      <c r="W78" s="9">
        <v>5321.16</v>
      </c>
      <c r="X78" s="9">
        <v>5385.44</v>
      </c>
      <c r="Y78" s="9">
        <v>5404.45</v>
      </c>
      <c r="Z78" s="9">
        <v>22622.11</v>
      </c>
      <c r="AA78" s="9">
        <v>5443.9</v>
      </c>
      <c r="AB78" s="9">
        <v>5311.82</v>
      </c>
      <c r="AC78" s="9">
        <v>5376.92</v>
      </c>
      <c r="AD78" s="9">
        <v>5399.35</v>
      </c>
      <c r="AE78" s="9">
        <v>22773.93</v>
      </c>
    </row>
    <row r="79" spans="1:31" x14ac:dyDescent="0.25">
      <c r="A79" s="4" t="s">
        <v>187</v>
      </c>
      <c r="B79" s="10">
        <v>-159</v>
      </c>
      <c r="C79" s="9">
        <v>112</v>
      </c>
      <c r="D79" s="10">
        <v>-108</v>
      </c>
      <c r="E79" s="9">
        <v>840</v>
      </c>
      <c r="F79" s="9">
        <v>685</v>
      </c>
      <c r="G79" s="10">
        <v>-100.44</v>
      </c>
      <c r="H79" s="9">
        <v>177.35</v>
      </c>
      <c r="I79" s="9">
        <v>121</v>
      </c>
      <c r="J79" s="9">
        <v>761.51</v>
      </c>
      <c r="K79" s="9">
        <v>1001.43</v>
      </c>
      <c r="L79" s="10">
        <v>-146.4</v>
      </c>
      <c r="M79" s="9">
        <v>231.95</v>
      </c>
      <c r="N79" s="10">
        <v>-30.77</v>
      </c>
      <c r="O79" s="9">
        <v>843.08</v>
      </c>
      <c r="P79" s="9">
        <v>1147.55</v>
      </c>
      <c r="Q79" s="10">
        <v>-198.39</v>
      </c>
      <c r="R79" s="9">
        <v>112.02</v>
      </c>
      <c r="S79" s="10">
        <v>-111.3</v>
      </c>
      <c r="T79" s="9">
        <v>800.99</v>
      </c>
      <c r="U79" s="9">
        <v>1044.9100000000001</v>
      </c>
      <c r="V79" s="10">
        <v>-332.33</v>
      </c>
      <c r="W79" s="10">
        <v>-73.3</v>
      </c>
      <c r="X79" s="10">
        <v>-124.26</v>
      </c>
      <c r="Y79" s="9">
        <v>532.41999999999996</v>
      </c>
      <c r="Z79" s="9">
        <v>884.26</v>
      </c>
      <c r="AA79" s="10">
        <v>-411.33</v>
      </c>
      <c r="AB79" s="10">
        <v>-126.45</v>
      </c>
      <c r="AC79" s="10">
        <v>-126.58</v>
      </c>
      <c r="AD79" s="9">
        <v>517.82000000000005</v>
      </c>
      <c r="AE79" s="9">
        <v>819.29</v>
      </c>
    </row>
    <row r="80" spans="1:31" x14ac:dyDescent="0.25">
      <c r="A80" s="3" t="s">
        <v>188</v>
      </c>
      <c r="B80" s="10">
        <v>-13</v>
      </c>
      <c r="C80" s="10">
        <v>-7</v>
      </c>
      <c r="D80" s="10">
        <v>-5</v>
      </c>
      <c r="E80" s="10">
        <v>-13</v>
      </c>
      <c r="F80" s="10">
        <v>-38</v>
      </c>
      <c r="G80" s="10">
        <v>-8</v>
      </c>
      <c r="H80" s="10">
        <v>-43</v>
      </c>
      <c r="I80" s="8" t="s">
        <v>66</v>
      </c>
      <c r="J80" s="8" t="s">
        <v>66</v>
      </c>
      <c r="K80" s="10">
        <v>-51</v>
      </c>
      <c r="L80" s="8" t="s">
        <v>66</v>
      </c>
      <c r="M80" s="8" t="s">
        <v>66</v>
      </c>
      <c r="N80" s="8" t="s">
        <v>66</v>
      </c>
      <c r="O80" s="8" t="s">
        <v>66</v>
      </c>
      <c r="P80" s="8" t="s">
        <v>66</v>
      </c>
      <c r="Q80" s="8" t="s">
        <v>66</v>
      </c>
      <c r="R80" s="8" t="s">
        <v>66</v>
      </c>
      <c r="S80" s="8" t="s">
        <v>66</v>
      </c>
      <c r="T80" s="8" t="s">
        <v>66</v>
      </c>
      <c r="U80" s="8" t="s">
        <v>66</v>
      </c>
      <c r="V80" s="8" t="s">
        <v>66</v>
      </c>
      <c r="W80" s="8" t="s">
        <v>66</v>
      </c>
      <c r="X80" s="8" t="s">
        <v>66</v>
      </c>
      <c r="Y80" s="8" t="s">
        <v>66</v>
      </c>
      <c r="Z80" s="8" t="s">
        <v>66</v>
      </c>
      <c r="AA80" s="8" t="s">
        <v>66</v>
      </c>
      <c r="AB80" s="8" t="s">
        <v>66</v>
      </c>
      <c r="AC80" s="8" t="s">
        <v>66</v>
      </c>
      <c r="AD80" s="8" t="s">
        <v>66</v>
      </c>
      <c r="AE80" s="8" t="s">
        <v>66</v>
      </c>
    </row>
    <row r="81" spans="1:31" x14ac:dyDescent="0.25">
      <c r="A81" s="4" t="s">
        <v>189</v>
      </c>
      <c r="B81" s="10">
        <v>-172</v>
      </c>
      <c r="C81" s="9">
        <v>105</v>
      </c>
      <c r="D81" s="10">
        <v>-113</v>
      </c>
      <c r="E81" s="9">
        <v>827</v>
      </c>
      <c r="F81" s="9">
        <v>647</v>
      </c>
      <c r="G81" s="10">
        <v>-114.31</v>
      </c>
      <c r="H81" s="9">
        <v>155.43</v>
      </c>
      <c r="I81" s="9">
        <v>127.99</v>
      </c>
      <c r="J81" s="9">
        <v>718.9</v>
      </c>
      <c r="K81" s="9">
        <v>929.46</v>
      </c>
      <c r="L81" s="10">
        <v>-156.43</v>
      </c>
      <c r="M81" s="9">
        <v>202.91</v>
      </c>
      <c r="N81" s="9">
        <v>0.8</v>
      </c>
      <c r="O81" s="9">
        <v>763.41</v>
      </c>
      <c r="P81" s="9">
        <v>1069.3800000000001</v>
      </c>
      <c r="Q81" s="10">
        <v>-198.39</v>
      </c>
      <c r="R81" s="9">
        <v>112.02</v>
      </c>
      <c r="S81" s="10">
        <v>-111.3</v>
      </c>
      <c r="T81" s="9">
        <v>800.99</v>
      </c>
      <c r="U81" s="9">
        <v>1044.9100000000001</v>
      </c>
      <c r="V81" s="10">
        <v>-332.33</v>
      </c>
      <c r="W81" s="10">
        <v>-73.3</v>
      </c>
      <c r="X81" s="10">
        <v>-124.26</v>
      </c>
      <c r="Y81" s="9">
        <v>532.41999999999996</v>
      </c>
      <c r="Z81" s="9">
        <v>884.26</v>
      </c>
      <c r="AA81" s="10">
        <v>-411.33</v>
      </c>
      <c r="AB81" s="10">
        <v>-126.45</v>
      </c>
      <c r="AC81" s="10">
        <v>-126.58</v>
      </c>
      <c r="AD81" s="9">
        <v>517.82000000000005</v>
      </c>
      <c r="AE81" s="9">
        <v>819.29</v>
      </c>
    </row>
    <row r="82" spans="1:31" x14ac:dyDescent="0.25">
      <c r="A82" s="4" t="s">
        <v>190</v>
      </c>
      <c r="B82" s="9">
        <v>115084</v>
      </c>
      <c r="C82" s="9">
        <v>115189</v>
      </c>
      <c r="D82" s="9">
        <v>115076</v>
      </c>
      <c r="E82" s="9">
        <v>115903</v>
      </c>
      <c r="F82" s="9">
        <v>115903</v>
      </c>
      <c r="G82" s="9">
        <v>115784.15</v>
      </c>
      <c r="H82" s="9">
        <v>115932.88</v>
      </c>
      <c r="I82" s="9">
        <v>116103.33</v>
      </c>
      <c r="J82" s="9">
        <v>116822.23</v>
      </c>
      <c r="K82" s="9">
        <v>116822.24</v>
      </c>
      <c r="L82" s="9">
        <v>116540.49</v>
      </c>
      <c r="M82" s="9">
        <v>116743.4</v>
      </c>
      <c r="N82" s="9">
        <v>116744.2</v>
      </c>
      <c r="O82" s="9">
        <v>117507.61</v>
      </c>
      <c r="P82" s="9">
        <v>117891.61</v>
      </c>
      <c r="Q82" s="9">
        <v>117276.77</v>
      </c>
      <c r="R82" s="9">
        <v>117388.79</v>
      </c>
      <c r="S82" s="9">
        <v>117277.48</v>
      </c>
      <c r="T82" s="9">
        <v>118078.47</v>
      </c>
      <c r="U82" s="9">
        <v>119078.59</v>
      </c>
      <c r="V82" s="9">
        <v>116559.93</v>
      </c>
      <c r="W82" s="9">
        <v>116486.63</v>
      </c>
      <c r="X82" s="9">
        <v>116362.37</v>
      </c>
      <c r="Y82" s="9">
        <v>116894.79</v>
      </c>
      <c r="Z82" s="9">
        <v>119768.04</v>
      </c>
      <c r="AA82" s="9">
        <v>116483.46</v>
      </c>
      <c r="AB82" s="9">
        <v>116357.01</v>
      </c>
      <c r="AC82" s="9">
        <v>116230.44</v>
      </c>
      <c r="AD82" s="9">
        <v>116748.26</v>
      </c>
      <c r="AE82" s="9">
        <v>120587.33</v>
      </c>
    </row>
    <row r="83" spans="1:31" x14ac:dyDescent="0.25">
      <c r="A83" s="4" t="s">
        <v>191</v>
      </c>
      <c r="B83" s="9">
        <v>115170</v>
      </c>
      <c r="C83" s="9">
        <v>115136.5</v>
      </c>
      <c r="D83" s="9">
        <v>115132.5</v>
      </c>
      <c r="E83" s="9">
        <v>115489.5</v>
      </c>
      <c r="F83" s="9">
        <v>115579.5</v>
      </c>
      <c r="G83" s="9">
        <v>115841.55</v>
      </c>
      <c r="H83" s="9">
        <v>115858.51</v>
      </c>
      <c r="I83" s="9">
        <v>116039.34</v>
      </c>
      <c r="J83" s="9">
        <v>116462.78</v>
      </c>
      <c r="K83" s="9">
        <v>116242.85</v>
      </c>
      <c r="L83" s="9">
        <v>116618.71</v>
      </c>
      <c r="M83" s="9">
        <v>116641.95</v>
      </c>
      <c r="N83" s="9">
        <v>116743.8</v>
      </c>
      <c r="O83" s="9">
        <v>117125.91</v>
      </c>
      <c r="P83" s="9">
        <v>117302.44</v>
      </c>
      <c r="Q83" s="9">
        <v>117375.96</v>
      </c>
      <c r="R83" s="9">
        <v>117332.78</v>
      </c>
      <c r="S83" s="9">
        <v>117333.14</v>
      </c>
      <c r="T83" s="9">
        <v>117677.98</v>
      </c>
      <c r="U83" s="9">
        <v>118497.42</v>
      </c>
      <c r="V83" s="9">
        <v>116726.09</v>
      </c>
      <c r="W83" s="9">
        <v>116523.28</v>
      </c>
      <c r="X83" s="9">
        <v>116424.5</v>
      </c>
      <c r="Y83" s="9">
        <v>116628.58</v>
      </c>
      <c r="Z83" s="9">
        <v>119253.7</v>
      </c>
      <c r="AA83" s="9">
        <v>116689.13</v>
      </c>
      <c r="AB83" s="9">
        <v>116420.24</v>
      </c>
      <c r="AC83" s="9">
        <v>116293.73</v>
      </c>
      <c r="AD83" s="9">
        <v>116489.35</v>
      </c>
      <c r="AE83" s="9">
        <v>120094.12</v>
      </c>
    </row>
    <row r="84" spans="1:31" x14ac:dyDescent="0.25">
      <c r="A84" s="4" t="s">
        <v>192</v>
      </c>
      <c r="B84" s="9">
        <v>49.78</v>
      </c>
      <c r="C84" s="9">
        <v>50.29</v>
      </c>
      <c r="D84" s="9">
        <v>50.5</v>
      </c>
      <c r="E84" s="9">
        <v>50.14</v>
      </c>
      <c r="F84" s="9">
        <v>50.02</v>
      </c>
      <c r="G84" s="9">
        <v>49.35</v>
      </c>
      <c r="H84" s="9">
        <v>49.77</v>
      </c>
      <c r="I84" s="9">
        <v>49.98</v>
      </c>
      <c r="J84" s="9">
        <v>50.09</v>
      </c>
      <c r="K84" s="9">
        <v>49.72</v>
      </c>
      <c r="L84" s="9">
        <v>49.66</v>
      </c>
      <c r="M84" s="9">
        <v>49.97</v>
      </c>
      <c r="N84" s="9">
        <v>50.21</v>
      </c>
      <c r="O84" s="9">
        <v>50.3</v>
      </c>
      <c r="P84" s="9">
        <v>49.9</v>
      </c>
      <c r="Q84" s="9">
        <v>49.65</v>
      </c>
      <c r="R84" s="9">
        <v>50.08</v>
      </c>
      <c r="S84" s="9">
        <v>50.36</v>
      </c>
      <c r="T84" s="9">
        <v>50.47</v>
      </c>
      <c r="U84" s="9">
        <v>50.07</v>
      </c>
      <c r="V84" s="9">
        <v>50.29</v>
      </c>
      <c r="W84" s="9">
        <v>50.72</v>
      </c>
      <c r="X84" s="9">
        <v>50.99</v>
      </c>
      <c r="Y84" s="9">
        <v>51.28</v>
      </c>
      <c r="Z84" s="9">
        <v>50.44</v>
      </c>
      <c r="AA84" s="9">
        <v>50.66</v>
      </c>
      <c r="AB84" s="9">
        <v>51.1</v>
      </c>
      <c r="AC84" s="9">
        <v>51.38</v>
      </c>
      <c r="AD84" s="9">
        <v>51.66</v>
      </c>
      <c r="AE84" s="9">
        <v>50.62</v>
      </c>
    </row>
    <row r="85" spans="1:31" x14ac:dyDescent="0.25">
      <c r="A85" s="4" t="s">
        <v>193</v>
      </c>
      <c r="B85" s="9">
        <v>17199</v>
      </c>
      <c r="C85" s="9">
        <v>17369</v>
      </c>
      <c r="D85" s="9">
        <v>17441</v>
      </c>
      <c r="E85" s="9">
        <v>17373</v>
      </c>
      <c r="F85" s="9">
        <v>69382</v>
      </c>
      <c r="G85" s="9">
        <v>17151.759999999998</v>
      </c>
      <c r="H85" s="9">
        <v>17296.89</v>
      </c>
      <c r="I85" s="9">
        <v>17390.38</v>
      </c>
      <c r="J85" s="9">
        <v>17493.12</v>
      </c>
      <c r="K85" s="9">
        <v>69336.429999999993</v>
      </c>
      <c r="L85" s="9">
        <v>17398.87</v>
      </c>
      <c r="M85" s="9">
        <v>17504.36</v>
      </c>
      <c r="N85" s="9">
        <v>17602.830000000002</v>
      </c>
      <c r="O85" s="9">
        <v>17699.97</v>
      </c>
      <c r="P85" s="9">
        <v>70276.33</v>
      </c>
      <c r="Q85" s="9">
        <v>17480.09</v>
      </c>
      <c r="R85" s="9">
        <v>17625.02</v>
      </c>
      <c r="S85" s="9">
        <v>17725.560000000001</v>
      </c>
      <c r="T85" s="9">
        <v>17816.32</v>
      </c>
      <c r="U85" s="9">
        <v>71311.929999999993</v>
      </c>
      <c r="V85" s="9">
        <v>17606.75</v>
      </c>
      <c r="W85" s="9">
        <v>17728.14</v>
      </c>
      <c r="X85" s="9">
        <v>17807.099999999999</v>
      </c>
      <c r="Y85" s="9">
        <v>17937.62</v>
      </c>
      <c r="Z85" s="9">
        <v>72361.27</v>
      </c>
      <c r="AA85" s="9">
        <v>17729.32</v>
      </c>
      <c r="AB85" s="9">
        <v>17844.54</v>
      </c>
      <c r="AC85" s="9">
        <v>17920.509999999998</v>
      </c>
      <c r="AD85" s="9">
        <v>18049.14</v>
      </c>
      <c r="AE85" s="9">
        <v>73182.59</v>
      </c>
    </row>
    <row r="86" spans="1:31" x14ac:dyDescent="0.25">
      <c r="A86" s="4" t="s">
        <v>76</v>
      </c>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row>
    <row r="87" spans="1:31" x14ac:dyDescent="0.25">
      <c r="A87" s="4" t="s">
        <v>194</v>
      </c>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row>
    <row r="88" spans="1:31" x14ac:dyDescent="0.25">
      <c r="A88" s="4" t="s">
        <v>195</v>
      </c>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row>
    <row r="89" spans="1:31" x14ac:dyDescent="0.25">
      <c r="A89" s="3" t="s">
        <v>196</v>
      </c>
      <c r="B89" s="8" t="s">
        <v>66</v>
      </c>
      <c r="C89" s="8" t="s">
        <v>66</v>
      </c>
      <c r="D89" s="8" t="s">
        <v>66</v>
      </c>
      <c r="E89" s="8" t="s">
        <v>66</v>
      </c>
      <c r="F89" s="8" t="s">
        <v>66</v>
      </c>
      <c r="G89" s="9">
        <v>110</v>
      </c>
      <c r="H89" s="8" t="s">
        <v>66</v>
      </c>
      <c r="I89" s="8" t="s">
        <v>66</v>
      </c>
      <c r="J89" s="8" t="s">
        <v>66</v>
      </c>
      <c r="K89" s="9">
        <v>110</v>
      </c>
      <c r="L89" s="8" t="s">
        <v>66</v>
      </c>
      <c r="M89" s="8" t="s">
        <v>66</v>
      </c>
      <c r="N89" s="8" t="s">
        <v>66</v>
      </c>
      <c r="O89" s="8" t="s">
        <v>66</v>
      </c>
      <c r="P89" s="8" t="s">
        <v>66</v>
      </c>
      <c r="Q89" s="8" t="s">
        <v>66</v>
      </c>
      <c r="R89" s="8" t="s">
        <v>66</v>
      </c>
      <c r="S89" s="8" t="s">
        <v>66</v>
      </c>
      <c r="T89" s="8" t="s">
        <v>66</v>
      </c>
      <c r="U89" s="8" t="s">
        <v>66</v>
      </c>
      <c r="V89" s="8" t="s">
        <v>66</v>
      </c>
      <c r="W89" s="8" t="s">
        <v>66</v>
      </c>
      <c r="X89" s="8" t="s">
        <v>66</v>
      </c>
      <c r="Y89" s="8" t="s">
        <v>66</v>
      </c>
      <c r="Z89" s="8" t="s">
        <v>66</v>
      </c>
      <c r="AA89" s="8" t="s">
        <v>66</v>
      </c>
      <c r="AB89" s="8" t="s">
        <v>66</v>
      </c>
      <c r="AC89" s="8" t="s">
        <v>66</v>
      </c>
      <c r="AD89" s="8" t="s">
        <v>66</v>
      </c>
      <c r="AE89" s="8" t="s">
        <v>66</v>
      </c>
    </row>
    <row r="90" spans="1:31" x14ac:dyDescent="0.25">
      <c r="A90" s="3" t="s">
        <v>197</v>
      </c>
      <c r="B90" s="10">
        <v>-58</v>
      </c>
      <c r="C90" s="10">
        <v>-62</v>
      </c>
      <c r="D90" s="10">
        <v>-70</v>
      </c>
      <c r="E90" s="10">
        <v>-53</v>
      </c>
      <c r="F90" s="10">
        <v>-243</v>
      </c>
      <c r="G90" s="10">
        <v>-65.05</v>
      </c>
      <c r="H90" s="10">
        <v>-66.95</v>
      </c>
      <c r="I90" s="10">
        <v>-73.25</v>
      </c>
      <c r="J90" s="10">
        <v>-60.17</v>
      </c>
      <c r="K90" s="10">
        <v>-265.43</v>
      </c>
      <c r="L90" s="10">
        <v>-63.67</v>
      </c>
      <c r="M90" s="10">
        <v>-65.48</v>
      </c>
      <c r="N90" s="10">
        <v>-71.59</v>
      </c>
      <c r="O90" s="10">
        <v>-58.92</v>
      </c>
      <c r="P90" s="10">
        <v>-259.64999999999998</v>
      </c>
      <c r="Q90" s="10">
        <v>-62.36</v>
      </c>
      <c r="R90" s="10">
        <v>-64.08</v>
      </c>
      <c r="S90" s="10">
        <v>-70.010000000000005</v>
      </c>
      <c r="T90" s="10">
        <v>-57.72</v>
      </c>
      <c r="U90" s="10">
        <v>-254.17</v>
      </c>
      <c r="V90" s="10">
        <v>-47.24</v>
      </c>
      <c r="W90" s="10">
        <v>-50.5</v>
      </c>
      <c r="X90" s="10">
        <v>-57.02</v>
      </c>
      <c r="Y90" s="10">
        <v>-43.17</v>
      </c>
      <c r="Z90" s="10">
        <v>-197.93</v>
      </c>
      <c r="AA90" s="10">
        <v>-44.88</v>
      </c>
      <c r="AB90" s="10">
        <v>-47.97</v>
      </c>
      <c r="AC90" s="10">
        <v>-54.16</v>
      </c>
      <c r="AD90" s="10">
        <v>-41.01</v>
      </c>
      <c r="AE90" s="10">
        <v>-188.03</v>
      </c>
    </row>
    <row r="91" spans="1:31" x14ac:dyDescent="0.25">
      <c r="A91" s="4" t="s">
        <v>198</v>
      </c>
      <c r="B91" s="10">
        <v>-58</v>
      </c>
      <c r="C91" s="10">
        <v>-62</v>
      </c>
      <c r="D91" s="10">
        <v>-70</v>
      </c>
      <c r="E91" s="10">
        <v>-53</v>
      </c>
      <c r="F91" s="10">
        <v>-243</v>
      </c>
      <c r="G91" s="10">
        <v>-29.19</v>
      </c>
      <c r="H91" s="10">
        <v>-66.78</v>
      </c>
      <c r="I91" s="10">
        <v>-69</v>
      </c>
      <c r="J91" s="10">
        <v>-59.85</v>
      </c>
      <c r="K91" s="10">
        <v>-215.31</v>
      </c>
      <c r="L91" s="10">
        <v>-63.47</v>
      </c>
      <c r="M91" s="10">
        <v>-68.56</v>
      </c>
      <c r="N91" s="10">
        <v>-68.03</v>
      </c>
      <c r="O91" s="10">
        <v>-57.83</v>
      </c>
      <c r="P91" s="10">
        <v>-248.03</v>
      </c>
      <c r="Q91" s="10">
        <v>-63.94</v>
      </c>
      <c r="R91" s="10">
        <v>-67.92</v>
      </c>
      <c r="S91" s="10">
        <v>-68.239999999999995</v>
      </c>
      <c r="T91" s="10">
        <v>-56.36</v>
      </c>
      <c r="U91" s="10">
        <v>-242.78</v>
      </c>
      <c r="V91" s="10">
        <v>-56.92</v>
      </c>
      <c r="W91" s="10">
        <v>-61.58</v>
      </c>
      <c r="X91" s="10">
        <v>-58.56</v>
      </c>
      <c r="Y91" s="10">
        <v>-48.3</v>
      </c>
      <c r="Z91" s="10">
        <v>-226.71</v>
      </c>
      <c r="AA91" s="10">
        <v>-53.45</v>
      </c>
      <c r="AB91" s="10">
        <v>-57.53</v>
      </c>
      <c r="AC91" s="10">
        <v>-55.25</v>
      </c>
      <c r="AD91" s="10">
        <v>-45.52</v>
      </c>
      <c r="AE91" s="10">
        <v>-222.27</v>
      </c>
    </row>
    <row r="92" spans="1:31" x14ac:dyDescent="0.25">
      <c r="A92" s="3" t="s">
        <v>199</v>
      </c>
      <c r="B92" s="9">
        <v>41</v>
      </c>
      <c r="C92" s="9">
        <v>28</v>
      </c>
      <c r="D92" s="9">
        <v>59</v>
      </c>
      <c r="E92" s="9">
        <v>65</v>
      </c>
      <c r="F92" s="9">
        <v>193</v>
      </c>
      <c r="G92" s="9">
        <v>127.17</v>
      </c>
      <c r="H92" s="9">
        <v>151.47999999999999</v>
      </c>
      <c r="I92" s="9">
        <v>155.86000000000001</v>
      </c>
      <c r="J92" s="9">
        <v>153.13999999999999</v>
      </c>
      <c r="K92" s="9">
        <v>587.65</v>
      </c>
      <c r="L92" s="9">
        <v>146.72</v>
      </c>
      <c r="M92" s="9">
        <v>145.77000000000001</v>
      </c>
      <c r="N92" s="9">
        <v>160.81</v>
      </c>
      <c r="O92" s="9">
        <v>155.57</v>
      </c>
      <c r="P92" s="9">
        <v>633.94000000000005</v>
      </c>
      <c r="Q92" s="9">
        <v>147.88999999999999</v>
      </c>
      <c r="R92" s="9">
        <v>156.22</v>
      </c>
      <c r="S92" s="9">
        <v>158.88</v>
      </c>
      <c r="T92" s="9">
        <v>148.75</v>
      </c>
      <c r="U92" s="9">
        <v>643.12</v>
      </c>
      <c r="V92" s="9">
        <v>129.88</v>
      </c>
      <c r="W92" s="9">
        <v>135.07</v>
      </c>
      <c r="X92" s="9">
        <v>121.43</v>
      </c>
      <c r="Y92" s="9">
        <v>119.5</v>
      </c>
      <c r="Z92" s="9">
        <v>588.55999999999995</v>
      </c>
      <c r="AA92" s="9">
        <v>116</v>
      </c>
      <c r="AB92" s="9">
        <v>128.82</v>
      </c>
      <c r="AC92" s="9">
        <v>116.57</v>
      </c>
      <c r="AD92" s="9">
        <v>116.25</v>
      </c>
      <c r="AE92" s="9">
        <v>539.84</v>
      </c>
    </row>
    <row r="93" spans="1:31" x14ac:dyDescent="0.25">
      <c r="A93" s="3" t="s">
        <v>200</v>
      </c>
      <c r="B93" s="9">
        <v>401</v>
      </c>
      <c r="C93" s="8" t="s">
        <v>66</v>
      </c>
      <c r="D93" s="8" t="s">
        <v>66</v>
      </c>
      <c r="E93" s="8" t="s">
        <v>66</v>
      </c>
      <c r="F93" s="9">
        <v>401</v>
      </c>
      <c r="G93" s="9">
        <v>2752.68</v>
      </c>
      <c r="H93" s="9">
        <v>0.98</v>
      </c>
      <c r="I93" s="8" t="s">
        <v>66</v>
      </c>
      <c r="J93" s="8" t="s">
        <v>66</v>
      </c>
      <c r="K93" s="9">
        <v>2753.1</v>
      </c>
      <c r="L93" s="8" t="s">
        <v>66</v>
      </c>
      <c r="M93" s="8" t="s">
        <v>66</v>
      </c>
      <c r="N93" s="8" t="s">
        <v>66</v>
      </c>
      <c r="O93" s="8" t="s">
        <v>66</v>
      </c>
      <c r="P93" s="8" t="s">
        <v>66</v>
      </c>
      <c r="Q93" s="8" t="s">
        <v>66</v>
      </c>
      <c r="R93" s="8" t="s">
        <v>66</v>
      </c>
      <c r="S93" s="8" t="s">
        <v>66</v>
      </c>
      <c r="T93" s="8" t="s">
        <v>66</v>
      </c>
      <c r="U93" s="8" t="s">
        <v>66</v>
      </c>
      <c r="V93" s="8" t="s">
        <v>66</v>
      </c>
      <c r="W93" s="8" t="s">
        <v>66</v>
      </c>
      <c r="X93" s="8" t="s">
        <v>66</v>
      </c>
      <c r="Y93" s="8" t="s">
        <v>66</v>
      </c>
      <c r="Z93" s="8" t="s">
        <v>66</v>
      </c>
      <c r="AA93" s="8" t="s">
        <v>66</v>
      </c>
      <c r="AB93" s="8" t="s">
        <v>66</v>
      </c>
      <c r="AC93" s="8" t="s">
        <v>66</v>
      </c>
      <c r="AD93" s="8" t="s">
        <v>66</v>
      </c>
      <c r="AE93" s="8" t="s">
        <v>66</v>
      </c>
    </row>
    <row r="94" spans="1:31" x14ac:dyDescent="0.25">
      <c r="A94" s="4" t="s">
        <v>201</v>
      </c>
      <c r="B94" s="9">
        <v>41</v>
      </c>
      <c r="C94" s="9">
        <v>28</v>
      </c>
      <c r="D94" s="9">
        <v>59</v>
      </c>
      <c r="E94" s="9">
        <v>65</v>
      </c>
      <c r="F94" s="9">
        <v>193</v>
      </c>
      <c r="G94" s="9">
        <v>2255.5500000000002</v>
      </c>
      <c r="H94" s="9">
        <v>138.97</v>
      </c>
      <c r="I94" s="9">
        <v>136.84</v>
      </c>
      <c r="J94" s="9">
        <v>137</v>
      </c>
      <c r="K94" s="9">
        <v>2685.76</v>
      </c>
      <c r="L94" s="9">
        <v>147.35</v>
      </c>
      <c r="M94" s="9">
        <v>145.09</v>
      </c>
      <c r="N94" s="9">
        <v>161.81</v>
      </c>
      <c r="O94" s="9">
        <v>158.25</v>
      </c>
      <c r="P94" s="9">
        <v>585.69000000000005</v>
      </c>
      <c r="Q94" s="9">
        <v>147.75</v>
      </c>
      <c r="R94" s="9">
        <v>152.02000000000001</v>
      </c>
      <c r="S94" s="9">
        <v>159.66</v>
      </c>
      <c r="T94" s="9">
        <v>153.16</v>
      </c>
      <c r="U94" s="9">
        <v>590.79</v>
      </c>
      <c r="V94" s="9">
        <v>134.76</v>
      </c>
      <c r="W94" s="9">
        <v>135.84</v>
      </c>
      <c r="X94" s="9">
        <v>133.52000000000001</v>
      </c>
      <c r="Y94" s="9">
        <v>133.55000000000001</v>
      </c>
      <c r="Z94" s="9">
        <v>541.16999999999996</v>
      </c>
      <c r="AA94" s="9">
        <v>124.65</v>
      </c>
      <c r="AB94" s="9">
        <v>131.06</v>
      </c>
      <c r="AC94" s="9">
        <v>128.99</v>
      </c>
      <c r="AD94" s="9">
        <v>129.96</v>
      </c>
      <c r="AE94" s="9">
        <v>502.61</v>
      </c>
    </row>
    <row r="95" spans="1:31" x14ac:dyDescent="0.25">
      <c r="A95" s="3" t="s">
        <v>202</v>
      </c>
      <c r="B95" s="10">
        <v>-70</v>
      </c>
      <c r="C95" s="10">
        <v>-70</v>
      </c>
      <c r="D95" s="10">
        <v>-70</v>
      </c>
      <c r="E95" s="10">
        <v>-70</v>
      </c>
      <c r="F95" s="10">
        <v>-280</v>
      </c>
      <c r="G95" s="10">
        <v>-56</v>
      </c>
      <c r="H95" s="10">
        <v>-56</v>
      </c>
      <c r="I95" s="10">
        <v>-56</v>
      </c>
      <c r="J95" s="10">
        <v>-56</v>
      </c>
      <c r="K95" s="10">
        <v>-224</v>
      </c>
      <c r="L95" s="10">
        <v>-44.8</v>
      </c>
      <c r="M95" s="10">
        <v>-44.8</v>
      </c>
      <c r="N95" s="10">
        <v>-44.8</v>
      </c>
      <c r="O95" s="10">
        <v>-44.8</v>
      </c>
      <c r="P95" s="10">
        <v>-179.2</v>
      </c>
      <c r="Q95" s="10">
        <v>-35.840000000000003</v>
      </c>
      <c r="R95" s="10">
        <v>-35.840000000000003</v>
      </c>
      <c r="S95" s="10">
        <v>-35.840000000000003</v>
      </c>
      <c r="T95" s="10">
        <v>-35.840000000000003</v>
      </c>
      <c r="U95" s="10">
        <v>-143.36000000000001</v>
      </c>
      <c r="V95" s="10">
        <v>-28.67</v>
      </c>
      <c r="W95" s="10">
        <v>-28.67</v>
      </c>
      <c r="X95" s="10">
        <v>-28.67</v>
      </c>
      <c r="Y95" s="10">
        <v>-28.67</v>
      </c>
      <c r="Z95" s="10">
        <v>-114.69</v>
      </c>
      <c r="AA95" s="10">
        <v>-22.94</v>
      </c>
      <c r="AB95" s="10">
        <v>-22.94</v>
      </c>
      <c r="AC95" s="10">
        <v>-22.94</v>
      </c>
      <c r="AD95" s="10">
        <v>-22.94</v>
      </c>
      <c r="AE95" s="10">
        <v>-91.75</v>
      </c>
    </row>
    <row r="96" spans="1:31" x14ac:dyDescent="0.25">
      <c r="A96" s="3" t="s">
        <v>203</v>
      </c>
      <c r="B96" s="8" t="s">
        <v>66</v>
      </c>
      <c r="C96" s="8" t="s">
        <v>66</v>
      </c>
      <c r="D96" s="8" t="s">
        <v>66</v>
      </c>
      <c r="E96" s="8" t="s">
        <v>66</v>
      </c>
      <c r="F96" s="8" t="s">
        <v>66</v>
      </c>
      <c r="G96" s="9">
        <v>75</v>
      </c>
      <c r="H96" s="8" t="s">
        <v>66</v>
      </c>
      <c r="I96" s="8" t="s">
        <v>66</v>
      </c>
      <c r="J96" s="8" t="s">
        <v>66</v>
      </c>
      <c r="K96" s="9">
        <v>75</v>
      </c>
      <c r="L96" s="8" t="s">
        <v>66</v>
      </c>
      <c r="M96" s="8" t="s">
        <v>66</v>
      </c>
      <c r="N96" s="8" t="s">
        <v>66</v>
      </c>
      <c r="O96" s="8" t="s">
        <v>66</v>
      </c>
      <c r="P96" s="8" t="s">
        <v>66</v>
      </c>
      <c r="Q96" s="8" t="s">
        <v>66</v>
      </c>
      <c r="R96" s="8" t="s">
        <v>66</v>
      </c>
      <c r="S96" s="8" t="s">
        <v>66</v>
      </c>
      <c r="T96" s="8" t="s">
        <v>66</v>
      </c>
      <c r="U96" s="8" t="s">
        <v>66</v>
      </c>
      <c r="V96" s="8" t="s">
        <v>66</v>
      </c>
      <c r="W96" s="8" t="s">
        <v>66</v>
      </c>
      <c r="X96" s="8" t="s">
        <v>66</v>
      </c>
      <c r="Y96" s="8" t="s">
        <v>66</v>
      </c>
      <c r="Z96" s="8" t="s">
        <v>66</v>
      </c>
      <c r="AA96" s="8" t="s">
        <v>66</v>
      </c>
      <c r="AB96" s="8" t="s">
        <v>66</v>
      </c>
      <c r="AC96" s="8" t="s">
        <v>66</v>
      </c>
      <c r="AD96" s="8" t="s">
        <v>66</v>
      </c>
      <c r="AE96" s="8" t="s">
        <v>66</v>
      </c>
    </row>
    <row r="97" spans="1:31" x14ac:dyDescent="0.25">
      <c r="A97" s="4" t="s">
        <v>204</v>
      </c>
      <c r="B97" s="10">
        <v>-64.14</v>
      </c>
      <c r="C97" s="10">
        <v>-61.08</v>
      </c>
      <c r="D97" s="10">
        <v>-70</v>
      </c>
      <c r="E97" s="10">
        <v>-61.15</v>
      </c>
      <c r="F97" s="10">
        <v>-280</v>
      </c>
      <c r="G97" s="9">
        <v>32.119999999999997</v>
      </c>
      <c r="H97" s="10">
        <v>-67.92</v>
      </c>
      <c r="I97" s="10">
        <v>-68.650000000000006</v>
      </c>
      <c r="J97" s="10">
        <v>-69.81</v>
      </c>
      <c r="K97" s="10">
        <v>-174.26</v>
      </c>
      <c r="L97" s="10">
        <v>-64.11</v>
      </c>
      <c r="M97" s="10">
        <v>-64.489999999999995</v>
      </c>
      <c r="N97" s="10">
        <v>-64.31</v>
      </c>
      <c r="O97" s="10">
        <v>-65.209999999999994</v>
      </c>
      <c r="P97" s="10">
        <v>-261.26</v>
      </c>
      <c r="Q97" s="10">
        <v>-71.790000000000006</v>
      </c>
      <c r="R97" s="10">
        <v>-70.08</v>
      </c>
      <c r="S97" s="10">
        <v>-72.53</v>
      </c>
      <c r="T97" s="10">
        <v>-72.959999999999994</v>
      </c>
      <c r="U97" s="10">
        <v>-264.20999999999998</v>
      </c>
      <c r="V97" s="10">
        <v>-74.58</v>
      </c>
      <c r="W97" s="10">
        <v>-72.349999999999994</v>
      </c>
      <c r="X97" s="10">
        <v>-75.5</v>
      </c>
      <c r="Y97" s="10">
        <v>-75.959999999999994</v>
      </c>
      <c r="Z97" s="10">
        <v>-268.82</v>
      </c>
      <c r="AA97" s="10">
        <v>-76.7</v>
      </c>
      <c r="AB97" s="10">
        <v>-74.11</v>
      </c>
      <c r="AC97" s="10">
        <v>-77.02</v>
      </c>
      <c r="AD97" s="10">
        <v>-32.9</v>
      </c>
      <c r="AE97" s="10">
        <v>-212.27</v>
      </c>
    </row>
    <row r="98" spans="1:31" x14ac:dyDescent="0.25">
      <c r="A98" s="3" t="s">
        <v>205</v>
      </c>
      <c r="B98" s="10">
        <v>-72.47</v>
      </c>
      <c r="C98" s="10">
        <v>-89.13</v>
      </c>
      <c r="D98" s="10">
        <v>-65.8</v>
      </c>
      <c r="E98" s="10">
        <v>-42.47</v>
      </c>
      <c r="F98" s="10">
        <v>-269.88</v>
      </c>
      <c r="G98" s="9">
        <v>16.43</v>
      </c>
      <c r="H98" s="9">
        <v>38.65</v>
      </c>
      <c r="I98" s="9">
        <v>29.33</v>
      </c>
      <c r="J98" s="9">
        <v>50.37</v>
      </c>
      <c r="K98" s="9">
        <v>67.650000000000006</v>
      </c>
      <c r="L98" s="9">
        <v>39.729999999999997</v>
      </c>
      <c r="M98" s="9">
        <v>34.89</v>
      </c>
      <c r="N98" s="9">
        <v>40.67</v>
      </c>
      <c r="O98" s="9">
        <v>55.15</v>
      </c>
      <c r="P98" s="9">
        <v>170.44</v>
      </c>
      <c r="Q98" s="9">
        <v>35.43</v>
      </c>
      <c r="R98" s="9">
        <v>56</v>
      </c>
      <c r="S98" s="9">
        <v>25.14</v>
      </c>
      <c r="T98" s="9">
        <v>39.72</v>
      </c>
      <c r="U98" s="9">
        <v>169.26</v>
      </c>
      <c r="V98" s="9">
        <v>43.09</v>
      </c>
      <c r="W98" s="9">
        <v>63.83</v>
      </c>
      <c r="X98" s="9">
        <v>33.31</v>
      </c>
      <c r="Y98" s="9">
        <v>47.16</v>
      </c>
      <c r="Z98" s="9">
        <v>175.41</v>
      </c>
      <c r="AA98" s="9">
        <v>49.18</v>
      </c>
      <c r="AB98" s="9">
        <v>70.09</v>
      </c>
      <c r="AC98" s="9">
        <v>39.9</v>
      </c>
      <c r="AD98" s="9">
        <v>53.05</v>
      </c>
      <c r="AE98" s="9">
        <v>129.62</v>
      </c>
    </row>
    <row r="99" spans="1:31" x14ac:dyDescent="0.25">
      <c r="A99" s="3" t="s">
        <v>206</v>
      </c>
      <c r="B99" s="8" t="s">
        <v>66</v>
      </c>
      <c r="C99" s="8" t="s">
        <v>66</v>
      </c>
      <c r="D99" s="8" t="s">
        <v>66</v>
      </c>
      <c r="E99" s="8" t="s">
        <v>66</v>
      </c>
      <c r="F99" s="8" t="s">
        <v>66</v>
      </c>
      <c r="G99" s="9">
        <v>2830.59</v>
      </c>
      <c r="H99" s="8" t="s">
        <v>66</v>
      </c>
      <c r="I99" s="8" t="s">
        <v>66</v>
      </c>
      <c r="J99" s="8" t="s">
        <v>66</v>
      </c>
      <c r="K99" s="9">
        <v>2830.59</v>
      </c>
      <c r="L99" s="8" t="s">
        <v>66</v>
      </c>
      <c r="M99" s="8" t="s">
        <v>66</v>
      </c>
      <c r="N99" s="8" t="s">
        <v>66</v>
      </c>
      <c r="O99" s="8" t="s">
        <v>66</v>
      </c>
      <c r="P99" s="8" t="s">
        <v>66</v>
      </c>
      <c r="Q99" s="8" t="s">
        <v>66</v>
      </c>
      <c r="R99" s="8" t="s">
        <v>66</v>
      </c>
      <c r="S99" s="8" t="s">
        <v>66</v>
      </c>
      <c r="T99" s="8" t="s">
        <v>66</v>
      </c>
      <c r="U99" s="8" t="s">
        <v>66</v>
      </c>
      <c r="V99" s="8" t="s">
        <v>66</v>
      </c>
      <c r="W99" s="8" t="s">
        <v>66</v>
      </c>
      <c r="X99" s="8" t="s">
        <v>66</v>
      </c>
      <c r="Y99" s="8" t="s">
        <v>66</v>
      </c>
      <c r="Z99" s="8" t="s">
        <v>66</v>
      </c>
      <c r="AA99" s="8" t="s">
        <v>66</v>
      </c>
      <c r="AB99" s="8" t="s">
        <v>66</v>
      </c>
      <c r="AC99" s="8" t="s">
        <v>66</v>
      </c>
      <c r="AD99" s="8" t="s">
        <v>66</v>
      </c>
      <c r="AE99" s="8" t="s">
        <v>66</v>
      </c>
    </row>
    <row r="100" spans="1:31" x14ac:dyDescent="0.25">
      <c r="A100" s="4" t="s">
        <v>207</v>
      </c>
      <c r="B100" s="10">
        <v>-29.94</v>
      </c>
      <c r="C100" s="10">
        <v>-81.98</v>
      </c>
      <c r="D100" s="10">
        <v>-58.68</v>
      </c>
      <c r="E100" s="10">
        <v>-32.76</v>
      </c>
      <c r="F100" s="10">
        <v>-330</v>
      </c>
      <c r="G100" s="9">
        <v>2591.16</v>
      </c>
      <c r="H100" s="9">
        <v>25.61</v>
      </c>
      <c r="I100" s="9">
        <v>27.41</v>
      </c>
      <c r="J100" s="9">
        <v>31.48</v>
      </c>
      <c r="K100" s="9">
        <v>2675.67</v>
      </c>
      <c r="L100" s="9">
        <v>17.73</v>
      </c>
      <c r="M100" s="9">
        <v>10.81</v>
      </c>
      <c r="N100" s="9">
        <v>27.11</v>
      </c>
      <c r="O100" s="9">
        <v>30.92</v>
      </c>
      <c r="P100" s="9">
        <v>111.76</v>
      </c>
      <c r="Q100" s="9">
        <v>12.04</v>
      </c>
      <c r="R100" s="9">
        <v>14.04</v>
      </c>
      <c r="S100" s="9">
        <v>20.84</v>
      </c>
      <c r="T100" s="9">
        <v>24.5</v>
      </c>
      <c r="U100" s="9">
        <v>146.47</v>
      </c>
      <c r="V100" s="9">
        <v>3.26</v>
      </c>
      <c r="W100" s="9">
        <v>1.91</v>
      </c>
      <c r="X100" s="10">
        <v>-0.53</v>
      </c>
      <c r="Y100" s="9">
        <v>9.2799999999999994</v>
      </c>
      <c r="Z100" s="9">
        <v>100.48</v>
      </c>
      <c r="AA100" s="10">
        <v>-5.49</v>
      </c>
      <c r="AB100" s="10">
        <v>-0.59</v>
      </c>
      <c r="AC100" s="10">
        <v>-3.27</v>
      </c>
      <c r="AD100" s="9">
        <v>7.05</v>
      </c>
      <c r="AE100" s="9">
        <v>47.57</v>
      </c>
    </row>
    <row r="101" spans="1:31" x14ac:dyDescent="0.25">
      <c r="A101" s="4" t="s">
        <v>76</v>
      </c>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row>
    <row r="102" spans="1:31" x14ac:dyDescent="0.25">
      <c r="A102" s="3" t="s">
        <v>208</v>
      </c>
      <c r="B102" s="9">
        <v>2626</v>
      </c>
      <c r="C102" s="9">
        <v>2564</v>
      </c>
      <c r="D102" s="9">
        <v>2494</v>
      </c>
      <c r="E102" s="9">
        <v>2441</v>
      </c>
      <c r="F102" s="9">
        <v>2441</v>
      </c>
      <c r="G102" s="9">
        <v>2445.86</v>
      </c>
      <c r="H102" s="9">
        <v>2388.61</v>
      </c>
      <c r="I102" s="9">
        <v>2357.9899999999998</v>
      </c>
      <c r="J102" s="9">
        <v>2305.0500000000002</v>
      </c>
      <c r="K102" s="9">
        <v>2305.0500000000002</v>
      </c>
      <c r="L102" s="9">
        <v>2221.38</v>
      </c>
      <c r="M102" s="9">
        <v>2152.8200000000002</v>
      </c>
      <c r="N102" s="9">
        <v>2084.79</v>
      </c>
      <c r="O102" s="9">
        <v>2026.96</v>
      </c>
      <c r="P102" s="9">
        <v>2060.06</v>
      </c>
      <c r="Q102" s="9">
        <v>1997.44</v>
      </c>
      <c r="R102" s="9">
        <v>1929.51</v>
      </c>
      <c r="S102" s="9">
        <v>1861.28</v>
      </c>
      <c r="T102" s="9">
        <v>1804.92</v>
      </c>
      <c r="U102" s="9">
        <v>1823.93</v>
      </c>
      <c r="V102" s="9">
        <v>1842.95</v>
      </c>
      <c r="W102" s="9">
        <v>1781.37</v>
      </c>
      <c r="X102" s="9">
        <v>1722.81</v>
      </c>
      <c r="Y102" s="9">
        <v>1674.51</v>
      </c>
      <c r="Z102" s="9">
        <v>1643.39</v>
      </c>
      <c r="AA102" s="9">
        <v>1621.06</v>
      </c>
      <c r="AB102" s="9">
        <v>1563.53</v>
      </c>
      <c r="AC102" s="9">
        <v>1508.28</v>
      </c>
      <c r="AD102" s="9">
        <v>1462.76</v>
      </c>
      <c r="AE102" s="9">
        <v>1434.01</v>
      </c>
    </row>
    <row r="103" spans="1:31" x14ac:dyDescent="0.25">
      <c r="A103" s="3" t="s">
        <v>209</v>
      </c>
      <c r="B103" s="9">
        <v>7176</v>
      </c>
      <c r="C103" s="9">
        <v>7204</v>
      </c>
      <c r="D103" s="9">
        <v>7263</v>
      </c>
      <c r="E103" s="9">
        <v>7328</v>
      </c>
      <c r="F103" s="9">
        <v>7328</v>
      </c>
      <c r="G103" s="9">
        <v>10290.959999999999</v>
      </c>
      <c r="H103" s="9">
        <v>10441.700000000001</v>
      </c>
      <c r="I103" s="9">
        <v>10559.14</v>
      </c>
      <c r="J103" s="9">
        <v>10707.98</v>
      </c>
      <c r="K103" s="9">
        <v>10707.98</v>
      </c>
      <c r="L103" s="9">
        <v>10964.14</v>
      </c>
      <c r="M103" s="9">
        <v>11109.23</v>
      </c>
      <c r="N103" s="9">
        <v>11271.04</v>
      </c>
      <c r="O103" s="9">
        <v>11429.29</v>
      </c>
      <c r="P103" s="9">
        <v>11311.81</v>
      </c>
      <c r="Q103" s="9">
        <v>11438.29</v>
      </c>
      <c r="R103" s="9">
        <v>11590.31</v>
      </c>
      <c r="S103" s="9">
        <v>11749.97</v>
      </c>
      <c r="T103" s="9">
        <v>11903.13</v>
      </c>
      <c r="U103" s="9">
        <v>11916.1</v>
      </c>
      <c r="V103" s="9">
        <v>11942.93</v>
      </c>
      <c r="W103" s="9">
        <v>12078.77</v>
      </c>
      <c r="X103" s="9">
        <v>12212.29</v>
      </c>
      <c r="Y103" s="9">
        <v>12345.84</v>
      </c>
      <c r="Z103" s="9">
        <v>12444.28</v>
      </c>
      <c r="AA103" s="9">
        <v>12470.49</v>
      </c>
      <c r="AB103" s="9">
        <v>12601.55</v>
      </c>
      <c r="AC103" s="9">
        <v>12730.54</v>
      </c>
      <c r="AD103" s="9">
        <v>12860.5</v>
      </c>
      <c r="AE103" s="9">
        <v>12957.84</v>
      </c>
    </row>
    <row r="104" spans="1:31" x14ac:dyDescent="0.25">
      <c r="A104" s="3" t="s">
        <v>210</v>
      </c>
      <c r="B104" s="9">
        <v>2230.06</v>
      </c>
      <c r="C104" s="9">
        <v>2168.98</v>
      </c>
      <c r="D104" s="9">
        <v>2105.2600000000002</v>
      </c>
      <c r="E104" s="9">
        <v>2044.12</v>
      </c>
      <c r="F104" s="9">
        <v>2044.12</v>
      </c>
      <c r="G104" s="9">
        <v>2067.37</v>
      </c>
      <c r="H104" s="9">
        <v>1999.45</v>
      </c>
      <c r="I104" s="9">
        <v>1930.8</v>
      </c>
      <c r="J104" s="9">
        <v>1860.99</v>
      </c>
      <c r="K104" s="9">
        <v>1860.99</v>
      </c>
      <c r="L104" s="9">
        <v>1836.75</v>
      </c>
      <c r="M104" s="9">
        <v>1772.26</v>
      </c>
      <c r="N104" s="9">
        <v>1707.95</v>
      </c>
      <c r="O104" s="9">
        <v>1642.74</v>
      </c>
      <c r="P104" s="9">
        <v>1599.73</v>
      </c>
      <c r="Q104" s="9">
        <v>1471.85</v>
      </c>
      <c r="R104" s="9">
        <v>1401.77</v>
      </c>
      <c r="S104" s="9">
        <v>1329.24</v>
      </c>
      <c r="T104" s="9">
        <v>1256.27</v>
      </c>
      <c r="U104" s="9">
        <v>1335.51</v>
      </c>
      <c r="V104" s="9">
        <v>1245.1099999999999</v>
      </c>
      <c r="W104" s="9">
        <v>1172.77</v>
      </c>
      <c r="X104" s="9">
        <v>1097.27</v>
      </c>
      <c r="Y104" s="9">
        <v>1021.3</v>
      </c>
      <c r="Z104" s="9">
        <v>1105.19</v>
      </c>
      <c r="AA104" s="9">
        <v>944.61</v>
      </c>
      <c r="AB104" s="9">
        <v>870.49</v>
      </c>
      <c r="AC104" s="9">
        <v>793.48</v>
      </c>
      <c r="AD104" s="9">
        <v>1143.46</v>
      </c>
      <c r="AE104" s="9">
        <v>992.33</v>
      </c>
    </row>
    <row r="105" spans="1:31" x14ac:dyDescent="0.25">
      <c r="A105" s="4" t="s">
        <v>211</v>
      </c>
      <c r="B105" s="9">
        <v>12582.46</v>
      </c>
      <c r="C105" s="9">
        <v>12495.68</v>
      </c>
      <c r="D105" s="9">
        <v>12432.24</v>
      </c>
      <c r="E105" s="9">
        <v>12392</v>
      </c>
      <c r="F105" s="9">
        <v>12392</v>
      </c>
      <c r="G105" s="9">
        <v>15042.95</v>
      </c>
      <c r="H105" s="9">
        <v>15068.56</v>
      </c>
      <c r="I105" s="9">
        <v>15095.97</v>
      </c>
      <c r="J105" s="9">
        <v>15127.45</v>
      </c>
      <c r="K105" s="9">
        <v>15127.45</v>
      </c>
      <c r="L105" s="9">
        <v>15295.29</v>
      </c>
      <c r="M105" s="9">
        <v>15306.1</v>
      </c>
      <c r="N105" s="9">
        <v>15333.21</v>
      </c>
      <c r="O105" s="9">
        <v>15364.13</v>
      </c>
      <c r="P105" s="9">
        <v>15239.22</v>
      </c>
      <c r="Q105" s="9">
        <v>14940.18</v>
      </c>
      <c r="R105" s="9">
        <v>14954.21</v>
      </c>
      <c r="S105" s="9">
        <v>14975.05</v>
      </c>
      <c r="T105" s="9">
        <v>14999.55</v>
      </c>
      <c r="U105" s="9">
        <v>15109.79</v>
      </c>
      <c r="V105" s="9">
        <v>15030.99</v>
      </c>
      <c r="W105" s="9">
        <v>15032.9</v>
      </c>
      <c r="X105" s="9">
        <v>15032.36</v>
      </c>
      <c r="Y105" s="9">
        <v>15041.65</v>
      </c>
      <c r="Z105" s="9">
        <v>15223.73</v>
      </c>
      <c r="AA105" s="9">
        <v>15036.15</v>
      </c>
      <c r="AB105" s="9">
        <v>15035.56</v>
      </c>
      <c r="AC105" s="9">
        <v>15032.29</v>
      </c>
      <c r="AD105" s="9">
        <v>15039.35</v>
      </c>
      <c r="AE105" s="9">
        <v>15264.51</v>
      </c>
    </row>
    <row r="106" spans="1:31" x14ac:dyDescent="0.25">
      <c r="A106" s="4" t="s">
        <v>212</v>
      </c>
      <c r="B106" s="9">
        <v>12598.07</v>
      </c>
      <c r="C106" s="9">
        <v>12539.07</v>
      </c>
      <c r="D106" s="9">
        <v>12463.96</v>
      </c>
      <c r="E106" s="9">
        <v>12412.12</v>
      </c>
      <c r="F106" s="9">
        <v>12500.09</v>
      </c>
      <c r="G106" s="9">
        <v>13747.36</v>
      </c>
      <c r="H106" s="9">
        <v>15055.75</v>
      </c>
      <c r="I106" s="9">
        <v>15082.27</v>
      </c>
      <c r="J106" s="9">
        <v>15111.71</v>
      </c>
      <c r="K106" s="9">
        <v>14028.87</v>
      </c>
      <c r="L106" s="9">
        <v>15286.42</v>
      </c>
      <c r="M106" s="9">
        <v>15300.7</v>
      </c>
      <c r="N106" s="9">
        <v>15319.66</v>
      </c>
      <c r="O106" s="9">
        <v>15348.67</v>
      </c>
      <c r="P106" s="9">
        <v>15183.58</v>
      </c>
      <c r="Q106" s="9">
        <v>14934.16</v>
      </c>
      <c r="R106" s="9">
        <v>14947.2</v>
      </c>
      <c r="S106" s="9">
        <v>14964.63</v>
      </c>
      <c r="T106" s="9">
        <v>14987.3</v>
      </c>
      <c r="U106" s="9">
        <v>15045.98</v>
      </c>
      <c r="V106" s="9">
        <v>15029.36</v>
      </c>
      <c r="W106" s="9">
        <v>15031.94</v>
      </c>
      <c r="X106" s="9">
        <v>15032.63</v>
      </c>
      <c r="Y106" s="9">
        <v>15037</v>
      </c>
      <c r="Z106" s="9">
        <v>15181</v>
      </c>
      <c r="AA106" s="9">
        <v>15038.9</v>
      </c>
      <c r="AB106" s="9">
        <v>15035.86</v>
      </c>
      <c r="AC106" s="9">
        <v>15033.93</v>
      </c>
      <c r="AD106" s="9">
        <v>15035.82</v>
      </c>
      <c r="AE106" s="9">
        <v>15244.45</v>
      </c>
    </row>
    <row r="107" spans="1:31" x14ac:dyDescent="0.25">
      <c r="A107" s="4" t="s">
        <v>213</v>
      </c>
      <c r="B107" s="9">
        <v>77.819999999999993</v>
      </c>
      <c r="C107" s="9">
        <v>78.97</v>
      </c>
      <c r="D107" s="9">
        <v>79.739999999999995</v>
      </c>
      <c r="E107" s="9">
        <v>79.59</v>
      </c>
      <c r="F107" s="9">
        <v>78.36</v>
      </c>
      <c r="G107" s="9">
        <v>80.569999999999993</v>
      </c>
      <c r="H107" s="9">
        <v>79.95</v>
      </c>
      <c r="I107" s="9">
        <v>81.92</v>
      </c>
      <c r="J107" s="9">
        <v>82.13</v>
      </c>
      <c r="K107" s="9">
        <v>81.92</v>
      </c>
      <c r="L107" s="9">
        <v>82.17</v>
      </c>
      <c r="M107" s="9">
        <v>84.53</v>
      </c>
      <c r="N107" s="9">
        <v>83.06</v>
      </c>
      <c r="O107" s="9">
        <v>83.49</v>
      </c>
      <c r="P107" s="9">
        <v>83.48</v>
      </c>
      <c r="Q107" s="9">
        <v>90.01</v>
      </c>
      <c r="R107" s="9">
        <v>94.42</v>
      </c>
      <c r="S107" s="9">
        <v>91.19</v>
      </c>
      <c r="T107" s="9">
        <v>91.77</v>
      </c>
      <c r="U107" s="9">
        <v>89.74</v>
      </c>
      <c r="V107" s="9">
        <v>90.2</v>
      </c>
      <c r="W107" s="9">
        <v>96.39</v>
      </c>
      <c r="X107" s="9">
        <v>90.85</v>
      </c>
      <c r="Y107" s="9">
        <v>91.62</v>
      </c>
      <c r="Z107" s="9">
        <v>90.82</v>
      </c>
      <c r="AA107" s="9">
        <v>92.19</v>
      </c>
      <c r="AB107" s="9">
        <v>99.34</v>
      </c>
      <c r="AC107" s="9">
        <v>92.89</v>
      </c>
      <c r="AD107" s="9">
        <v>93.57</v>
      </c>
      <c r="AE107" s="9">
        <v>92.98</v>
      </c>
    </row>
    <row r="108" spans="1:31" x14ac:dyDescent="0.25">
      <c r="A108" s="4" t="s">
        <v>214</v>
      </c>
      <c r="B108" s="9">
        <v>2896</v>
      </c>
      <c r="C108" s="9">
        <v>2924</v>
      </c>
      <c r="D108" s="9">
        <v>2937</v>
      </c>
      <c r="E108" s="9">
        <v>2921</v>
      </c>
      <c r="F108" s="9">
        <v>11678</v>
      </c>
      <c r="G108" s="9">
        <v>3249.42</v>
      </c>
      <c r="H108" s="9">
        <v>3540.64</v>
      </c>
      <c r="I108" s="9">
        <v>3610.55</v>
      </c>
      <c r="J108" s="9">
        <v>3646.33</v>
      </c>
      <c r="K108" s="9">
        <v>13648.6</v>
      </c>
      <c r="L108" s="9">
        <v>3630.55</v>
      </c>
      <c r="M108" s="9">
        <v>3741.5</v>
      </c>
      <c r="N108" s="9">
        <v>3690.29</v>
      </c>
      <c r="O108" s="9">
        <v>3710.84</v>
      </c>
      <c r="P108" s="9">
        <v>14764.48</v>
      </c>
      <c r="Q108" s="9">
        <v>3816.56</v>
      </c>
      <c r="R108" s="9">
        <v>4003.03</v>
      </c>
      <c r="S108" s="9">
        <v>3883.42</v>
      </c>
      <c r="T108" s="9">
        <v>3879</v>
      </c>
      <c r="U108" s="9">
        <v>15560.79</v>
      </c>
      <c r="V108" s="9">
        <v>4071.38</v>
      </c>
      <c r="W108" s="9">
        <v>4358.72</v>
      </c>
      <c r="X108" s="9">
        <v>4100.96</v>
      </c>
      <c r="Y108" s="9">
        <v>4137.91</v>
      </c>
      <c r="Z108" s="9">
        <v>16200.47</v>
      </c>
      <c r="AA108" s="9">
        <v>4163.93</v>
      </c>
      <c r="AB108" s="9">
        <v>4497.1000000000004</v>
      </c>
      <c r="AC108" s="9">
        <v>4191.72</v>
      </c>
      <c r="AD108" s="9">
        <v>4222.82</v>
      </c>
      <c r="AE108" s="9">
        <v>16573.59</v>
      </c>
    </row>
    <row r="109" spans="1:31" x14ac:dyDescent="0.25">
      <c r="A109" s="4" t="s">
        <v>76</v>
      </c>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spans="1:31" x14ac:dyDescent="0.25">
      <c r="A110" s="4" t="s">
        <v>215</v>
      </c>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spans="1:31" x14ac:dyDescent="0.25">
      <c r="A111" s="3" t="s">
        <v>216</v>
      </c>
      <c r="B111" s="10">
        <v>-10</v>
      </c>
      <c r="C111" s="10">
        <v>-11</v>
      </c>
      <c r="D111" s="10">
        <v>-12</v>
      </c>
      <c r="E111" s="10">
        <v>-9</v>
      </c>
      <c r="F111" s="10">
        <v>-42</v>
      </c>
      <c r="G111" s="10">
        <v>-13</v>
      </c>
      <c r="H111" s="10">
        <v>-35</v>
      </c>
      <c r="I111" s="10">
        <v>-35</v>
      </c>
      <c r="J111" s="10">
        <v>-35</v>
      </c>
      <c r="K111" s="10">
        <v>-118</v>
      </c>
      <c r="L111" s="10">
        <v>-33</v>
      </c>
      <c r="M111" s="10">
        <v>-32.5</v>
      </c>
      <c r="N111" s="10">
        <v>-32.5</v>
      </c>
      <c r="O111" s="10">
        <v>-32.5</v>
      </c>
      <c r="P111" s="10">
        <v>-130.5</v>
      </c>
      <c r="Q111" s="10">
        <v>-33</v>
      </c>
      <c r="R111" s="10">
        <v>-30</v>
      </c>
      <c r="S111" s="10">
        <v>-30</v>
      </c>
      <c r="T111" s="10">
        <v>-30</v>
      </c>
      <c r="U111" s="10">
        <v>-123</v>
      </c>
      <c r="V111" s="10">
        <v>-33</v>
      </c>
      <c r="W111" s="10">
        <v>-27.5</v>
      </c>
      <c r="X111" s="10">
        <v>-27.5</v>
      </c>
      <c r="Y111" s="10">
        <v>-27.5</v>
      </c>
      <c r="Z111" s="10">
        <v>-115.5</v>
      </c>
      <c r="AA111" s="10">
        <v>-33</v>
      </c>
      <c r="AB111" s="10">
        <v>-25</v>
      </c>
      <c r="AC111" s="10">
        <v>-25</v>
      </c>
      <c r="AD111" s="10">
        <v>-25</v>
      </c>
      <c r="AE111" s="10">
        <v>-108</v>
      </c>
    </row>
    <row r="112" spans="1:31" x14ac:dyDescent="0.25">
      <c r="A112" s="3" t="s">
        <v>217</v>
      </c>
      <c r="B112" s="10">
        <v>-1</v>
      </c>
      <c r="C112" s="9">
        <v>1</v>
      </c>
      <c r="D112" s="8" t="s">
        <v>66</v>
      </c>
      <c r="E112" s="8" t="s">
        <v>66</v>
      </c>
      <c r="F112" s="8" t="s">
        <v>66</v>
      </c>
      <c r="G112" s="9">
        <v>400</v>
      </c>
      <c r="H112" s="8" t="s">
        <v>66</v>
      </c>
      <c r="I112" s="8" t="s">
        <v>66</v>
      </c>
      <c r="J112" s="8" t="s">
        <v>66</v>
      </c>
      <c r="K112" s="9">
        <v>400</v>
      </c>
      <c r="L112" s="8" t="s">
        <v>66</v>
      </c>
      <c r="M112" s="8" t="s">
        <v>66</v>
      </c>
      <c r="N112" s="8" t="s">
        <v>66</v>
      </c>
      <c r="O112" s="8" t="s">
        <v>66</v>
      </c>
      <c r="P112" s="8" t="s">
        <v>66</v>
      </c>
      <c r="Q112" s="8" t="s">
        <v>66</v>
      </c>
      <c r="R112" s="8" t="s">
        <v>66</v>
      </c>
      <c r="S112" s="8" t="s">
        <v>66</v>
      </c>
      <c r="T112" s="8" t="s">
        <v>66</v>
      </c>
      <c r="U112" s="8" t="s">
        <v>66</v>
      </c>
      <c r="V112" s="8" t="s">
        <v>66</v>
      </c>
      <c r="W112" s="8" t="s">
        <v>66</v>
      </c>
      <c r="X112" s="8" t="s">
        <v>66</v>
      </c>
      <c r="Y112" s="8" t="s">
        <v>66</v>
      </c>
      <c r="Z112" s="8" t="s">
        <v>66</v>
      </c>
      <c r="AA112" s="8" t="s">
        <v>66</v>
      </c>
      <c r="AB112" s="8" t="s">
        <v>66</v>
      </c>
      <c r="AC112" s="8" t="s">
        <v>66</v>
      </c>
      <c r="AD112" s="8" t="s">
        <v>66</v>
      </c>
      <c r="AE112" s="8" t="s">
        <v>66</v>
      </c>
    </row>
    <row r="113" spans="1:31" x14ac:dyDescent="0.25">
      <c r="A113" s="4" t="s">
        <v>218</v>
      </c>
      <c r="B113" s="10">
        <v>-11</v>
      </c>
      <c r="C113" s="10">
        <v>-10</v>
      </c>
      <c r="D113" s="10">
        <v>-12</v>
      </c>
      <c r="E113" s="10">
        <v>-9</v>
      </c>
      <c r="F113" s="10">
        <v>-42</v>
      </c>
      <c r="G113" s="9">
        <v>85.2</v>
      </c>
      <c r="H113" s="10">
        <v>-25.32</v>
      </c>
      <c r="I113" s="10">
        <v>-26.96</v>
      </c>
      <c r="J113" s="10">
        <v>-25.27</v>
      </c>
      <c r="K113" s="9">
        <v>86.91</v>
      </c>
      <c r="L113" s="10">
        <v>-22.84</v>
      </c>
      <c r="M113" s="10">
        <v>-22.1</v>
      </c>
      <c r="N113" s="10">
        <v>-18.89</v>
      </c>
      <c r="O113" s="10">
        <v>-18.02</v>
      </c>
      <c r="P113" s="10">
        <v>-91.57</v>
      </c>
      <c r="Q113" s="10">
        <v>-21.71</v>
      </c>
      <c r="R113" s="10">
        <v>-21.04</v>
      </c>
      <c r="S113" s="10">
        <v>-13.48</v>
      </c>
      <c r="T113" s="10">
        <v>-13.7</v>
      </c>
      <c r="U113" s="10">
        <v>-52.74</v>
      </c>
      <c r="V113" s="10">
        <v>-15.52</v>
      </c>
      <c r="W113" s="10">
        <v>-13.4</v>
      </c>
      <c r="X113" s="10">
        <v>-13.29</v>
      </c>
      <c r="Y113" s="10">
        <v>-13.13</v>
      </c>
      <c r="Z113" s="10">
        <v>-40.78</v>
      </c>
      <c r="AA113" s="10">
        <v>-14</v>
      </c>
      <c r="AB113" s="10">
        <v>-4.5</v>
      </c>
      <c r="AC113" s="10">
        <v>-4.5</v>
      </c>
      <c r="AD113" s="10">
        <v>-3</v>
      </c>
      <c r="AE113" s="10">
        <v>-18.149999999999999</v>
      </c>
    </row>
    <row r="114" spans="1:31" x14ac:dyDescent="0.25">
      <c r="A114" s="4" t="s">
        <v>219</v>
      </c>
      <c r="B114" s="9">
        <v>154</v>
      </c>
      <c r="C114" s="9">
        <v>144</v>
      </c>
      <c r="D114" s="9">
        <v>132</v>
      </c>
      <c r="E114" s="9">
        <v>123</v>
      </c>
      <c r="F114" s="9">
        <v>123</v>
      </c>
      <c r="G114" s="9">
        <v>277.58999999999997</v>
      </c>
      <c r="H114" s="9">
        <v>254.33</v>
      </c>
      <c r="I114" s="9">
        <v>229.41</v>
      </c>
      <c r="J114" s="9">
        <v>205.93</v>
      </c>
      <c r="K114" s="9">
        <v>205.93</v>
      </c>
      <c r="L114" s="9">
        <v>178.89</v>
      </c>
      <c r="M114" s="9">
        <v>158.59</v>
      </c>
      <c r="N114" s="9">
        <v>138.66</v>
      </c>
      <c r="O114" s="9">
        <v>119.45</v>
      </c>
      <c r="P114" s="9">
        <v>114.01</v>
      </c>
      <c r="Q114" s="9">
        <v>110.44</v>
      </c>
      <c r="R114" s="9">
        <v>89.4</v>
      </c>
      <c r="S114" s="9">
        <v>85.02</v>
      </c>
      <c r="T114" s="9">
        <v>95.38</v>
      </c>
      <c r="U114" s="9">
        <v>68.400000000000006</v>
      </c>
      <c r="V114" s="9">
        <v>79.87</v>
      </c>
      <c r="W114" s="9">
        <v>66.459999999999994</v>
      </c>
      <c r="X114" s="9">
        <v>53.17</v>
      </c>
      <c r="Y114" s="9">
        <v>40.049999999999997</v>
      </c>
      <c r="Z114" s="9">
        <v>30.42</v>
      </c>
      <c r="AA114" s="9">
        <v>26.05</v>
      </c>
      <c r="AB114" s="9">
        <v>33.07</v>
      </c>
      <c r="AC114" s="9">
        <v>28.57</v>
      </c>
      <c r="AD114" s="9">
        <v>49.14</v>
      </c>
      <c r="AE114" s="9">
        <v>18.850000000000001</v>
      </c>
    </row>
    <row r="115" spans="1:31" x14ac:dyDescent="0.25">
      <c r="A115" s="4" t="s">
        <v>76</v>
      </c>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row>
    <row r="116" spans="1:31" x14ac:dyDescent="0.25">
      <c r="A116" s="3" t="s">
        <v>220</v>
      </c>
      <c r="B116" s="9">
        <v>2714</v>
      </c>
      <c r="C116" s="9">
        <v>2914</v>
      </c>
      <c r="D116" s="9">
        <v>3077</v>
      </c>
      <c r="E116" s="9">
        <v>3198</v>
      </c>
      <c r="F116" s="9">
        <v>2714</v>
      </c>
      <c r="G116" s="9">
        <v>3407</v>
      </c>
      <c r="H116" s="9">
        <v>3578.55</v>
      </c>
      <c r="I116" s="9">
        <v>3709.49</v>
      </c>
      <c r="J116" s="9">
        <v>3834.85</v>
      </c>
      <c r="K116" s="9">
        <v>3407.56</v>
      </c>
      <c r="L116" s="9">
        <v>4038.04</v>
      </c>
      <c r="M116" s="9">
        <v>4183.24</v>
      </c>
      <c r="N116" s="9">
        <v>4321.37</v>
      </c>
      <c r="O116" s="9">
        <v>4459.01</v>
      </c>
      <c r="P116" s="9">
        <v>3989.95</v>
      </c>
      <c r="Q116" s="9">
        <v>4424.71</v>
      </c>
      <c r="R116" s="9">
        <v>4537.71</v>
      </c>
      <c r="S116" s="9">
        <v>4650.71</v>
      </c>
      <c r="T116" s="9">
        <v>4760.41</v>
      </c>
      <c r="U116" s="9">
        <v>4498.3900000000003</v>
      </c>
      <c r="V116" s="9">
        <v>4689.16</v>
      </c>
      <c r="W116" s="9">
        <v>4770.2</v>
      </c>
      <c r="X116" s="9">
        <v>4851.2299999999996</v>
      </c>
      <c r="Y116" s="9">
        <v>4927.66</v>
      </c>
      <c r="Z116" s="9">
        <v>4943.5</v>
      </c>
      <c r="AA116" s="9">
        <v>5004.09</v>
      </c>
      <c r="AB116" s="9">
        <v>5074.41</v>
      </c>
      <c r="AC116" s="9">
        <v>5144.72</v>
      </c>
      <c r="AD116" s="9">
        <v>5210.75</v>
      </c>
      <c r="AE116" s="9">
        <v>5292.98</v>
      </c>
    </row>
    <row r="117" spans="1:31" x14ac:dyDescent="0.25">
      <c r="A117" s="3" t="s">
        <v>221</v>
      </c>
      <c r="B117" s="9">
        <v>199</v>
      </c>
      <c r="C117" s="9">
        <v>164</v>
      </c>
      <c r="D117" s="9">
        <v>121</v>
      </c>
      <c r="E117" s="9">
        <v>209</v>
      </c>
      <c r="F117" s="9">
        <v>693</v>
      </c>
      <c r="G117" s="9">
        <v>145.4</v>
      </c>
      <c r="H117" s="9">
        <v>128.93</v>
      </c>
      <c r="I117" s="9">
        <v>128.53</v>
      </c>
      <c r="J117" s="9">
        <v>161.99</v>
      </c>
      <c r="K117" s="9">
        <v>572.97</v>
      </c>
      <c r="L117" s="9">
        <v>154.24</v>
      </c>
      <c r="M117" s="9">
        <v>145.76</v>
      </c>
      <c r="N117" s="9">
        <v>145.16</v>
      </c>
      <c r="O117" s="9">
        <v>170.18</v>
      </c>
      <c r="P117" s="9">
        <v>592.82000000000005</v>
      </c>
      <c r="Q117" s="9">
        <v>127</v>
      </c>
      <c r="R117" s="9">
        <v>127</v>
      </c>
      <c r="S117" s="9">
        <v>122.05</v>
      </c>
      <c r="T117" s="9">
        <v>122.05</v>
      </c>
      <c r="U117" s="9">
        <v>501.35</v>
      </c>
      <c r="V117" s="9">
        <v>92.07</v>
      </c>
      <c r="W117" s="9">
        <v>92.07</v>
      </c>
      <c r="X117" s="9">
        <v>82.86</v>
      </c>
      <c r="Y117" s="9">
        <v>82.86</v>
      </c>
      <c r="Z117" s="9">
        <v>361.06</v>
      </c>
      <c r="AA117" s="9">
        <v>85.63</v>
      </c>
      <c r="AB117" s="9">
        <v>85.63</v>
      </c>
      <c r="AC117" s="9">
        <v>77.06</v>
      </c>
      <c r="AD117" s="9">
        <v>77.06</v>
      </c>
      <c r="AE117" s="9">
        <v>338.9</v>
      </c>
    </row>
    <row r="118" spans="1:31" x14ac:dyDescent="0.25">
      <c r="A118" s="3" t="s">
        <v>222</v>
      </c>
      <c r="B118" s="9">
        <v>1</v>
      </c>
      <c r="C118" s="10">
        <v>-1</v>
      </c>
      <c r="D118" s="8" t="s">
        <v>66</v>
      </c>
      <c r="E118" s="8" t="s">
        <v>66</v>
      </c>
      <c r="F118" s="8" t="s">
        <v>66</v>
      </c>
      <c r="G118" s="9">
        <v>55.19</v>
      </c>
      <c r="H118" s="9">
        <v>9</v>
      </c>
      <c r="I118" s="8" t="s">
        <v>66</v>
      </c>
      <c r="J118" s="8" t="s">
        <v>66</v>
      </c>
      <c r="K118" s="9">
        <v>57.92</v>
      </c>
      <c r="L118" s="8" t="s">
        <v>66</v>
      </c>
      <c r="M118" s="8" t="s">
        <v>66</v>
      </c>
      <c r="N118" s="8" t="s">
        <v>66</v>
      </c>
      <c r="O118" s="8" t="s">
        <v>66</v>
      </c>
      <c r="P118" s="8" t="s">
        <v>66</v>
      </c>
      <c r="Q118" s="8" t="s">
        <v>66</v>
      </c>
      <c r="R118" s="8" t="s">
        <v>66</v>
      </c>
      <c r="S118" s="8" t="s">
        <v>66</v>
      </c>
      <c r="T118" s="8" t="s">
        <v>66</v>
      </c>
      <c r="U118" s="8" t="s">
        <v>66</v>
      </c>
      <c r="V118" s="8" t="s">
        <v>66</v>
      </c>
      <c r="W118" s="8" t="s">
        <v>66</v>
      </c>
      <c r="X118" s="8" t="s">
        <v>66</v>
      </c>
      <c r="Y118" s="8" t="s">
        <v>66</v>
      </c>
      <c r="Z118" s="8" t="s">
        <v>66</v>
      </c>
      <c r="AA118" s="8" t="s">
        <v>66</v>
      </c>
      <c r="AB118" s="8" t="s">
        <v>66</v>
      </c>
      <c r="AC118" s="8" t="s">
        <v>66</v>
      </c>
      <c r="AD118" s="8" t="s">
        <v>66</v>
      </c>
      <c r="AE118" s="8" t="s">
        <v>66</v>
      </c>
    </row>
    <row r="119" spans="1:31" x14ac:dyDescent="0.25">
      <c r="A119" s="4" t="s">
        <v>223</v>
      </c>
      <c r="B119" s="9">
        <v>200</v>
      </c>
      <c r="C119" s="9">
        <v>163</v>
      </c>
      <c r="D119" s="9">
        <v>121</v>
      </c>
      <c r="E119" s="9">
        <v>209</v>
      </c>
      <c r="F119" s="9">
        <v>693</v>
      </c>
      <c r="G119" s="9">
        <v>170.99</v>
      </c>
      <c r="H119" s="9">
        <v>130.94</v>
      </c>
      <c r="I119" s="9">
        <v>125.36</v>
      </c>
      <c r="J119" s="9">
        <v>155.1</v>
      </c>
      <c r="K119" s="9">
        <v>582.39</v>
      </c>
      <c r="L119" s="9">
        <v>145.19999999999999</v>
      </c>
      <c r="M119" s="9">
        <v>138.13</v>
      </c>
      <c r="N119" s="9">
        <v>137.63999999999999</v>
      </c>
      <c r="O119" s="9">
        <v>158.49</v>
      </c>
      <c r="P119" s="9">
        <v>571.4</v>
      </c>
      <c r="Q119" s="9">
        <v>113</v>
      </c>
      <c r="R119" s="9">
        <v>113</v>
      </c>
      <c r="S119" s="9">
        <v>109.7</v>
      </c>
      <c r="T119" s="9">
        <v>109.7</v>
      </c>
      <c r="U119" s="9">
        <v>481.18</v>
      </c>
      <c r="V119" s="9">
        <v>81.03</v>
      </c>
      <c r="W119" s="9">
        <v>81.03</v>
      </c>
      <c r="X119" s="9">
        <v>76.430000000000007</v>
      </c>
      <c r="Y119" s="9">
        <v>76.430000000000007</v>
      </c>
      <c r="Z119" s="9">
        <v>349.48</v>
      </c>
      <c r="AA119" s="9">
        <v>70.31</v>
      </c>
      <c r="AB119" s="9">
        <v>70.31</v>
      </c>
      <c r="AC119" s="9">
        <v>66.03</v>
      </c>
      <c r="AD119" s="9">
        <v>66.03</v>
      </c>
      <c r="AE119" s="9">
        <v>321.91000000000003</v>
      </c>
    </row>
    <row r="120" spans="1:31" x14ac:dyDescent="0.25">
      <c r="A120" s="4" t="s">
        <v>224</v>
      </c>
      <c r="B120" s="9">
        <v>2914</v>
      </c>
      <c r="C120" s="9">
        <v>3077</v>
      </c>
      <c r="D120" s="9">
        <v>3198</v>
      </c>
      <c r="E120" s="9">
        <v>3407</v>
      </c>
      <c r="F120" s="9">
        <v>3407</v>
      </c>
      <c r="G120" s="9">
        <v>3574.28</v>
      </c>
      <c r="H120" s="9">
        <v>3709.49</v>
      </c>
      <c r="I120" s="9">
        <v>3834.85</v>
      </c>
      <c r="J120" s="9">
        <v>3989.95</v>
      </c>
      <c r="K120" s="9">
        <v>3988.25</v>
      </c>
      <c r="L120" s="9">
        <v>4183.24</v>
      </c>
      <c r="M120" s="9">
        <v>4321.37</v>
      </c>
      <c r="N120" s="9">
        <v>4459.01</v>
      </c>
      <c r="O120" s="9">
        <v>4617.49</v>
      </c>
      <c r="P120" s="9">
        <v>4561.34</v>
      </c>
      <c r="Q120" s="9">
        <v>4537.71</v>
      </c>
      <c r="R120" s="9">
        <v>4650.71</v>
      </c>
      <c r="S120" s="9">
        <v>4760.41</v>
      </c>
      <c r="T120" s="9">
        <v>4870.1099999999997</v>
      </c>
      <c r="U120" s="9">
        <v>4979.57</v>
      </c>
      <c r="V120" s="9">
        <v>4770.2</v>
      </c>
      <c r="W120" s="9">
        <v>4851.2299999999996</v>
      </c>
      <c r="X120" s="9">
        <v>4927.66</v>
      </c>
      <c r="Y120" s="9">
        <v>5004.09</v>
      </c>
      <c r="Z120" s="9">
        <v>5292.98</v>
      </c>
      <c r="AA120" s="9">
        <v>5074.41</v>
      </c>
      <c r="AB120" s="9">
        <v>5144.72</v>
      </c>
      <c r="AC120" s="9">
        <v>5210.75</v>
      </c>
      <c r="AD120" s="9">
        <v>5276.78</v>
      </c>
      <c r="AE120" s="9">
        <v>5614.89</v>
      </c>
    </row>
    <row r="121" spans="1:31" x14ac:dyDescent="0.25">
      <c r="A121" s="4" t="s">
        <v>76</v>
      </c>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row>
    <row r="122" spans="1:31" x14ac:dyDescent="0.25">
      <c r="A122" s="3" t="s">
        <v>225</v>
      </c>
      <c r="B122" s="9">
        <v>31</v>
      </c>
      <c r="C122" s="9">
        <v>17</v>
      </c>
      <c r="D122" s="9">
        <v>47</v>
      </c>
      <c r="E122" s="9">
        <v>56</v>
      </c>
      <c r="F122" s="9">
        <v>151</v>
      </c>
      <c r="G122" s="9">
        <v>114.93</v>
      </c>
      <c r="H122" s="9">
        <v>119.38</v>
      </c>
      <c r="I122" s="9">
        <v>122.52</v>
      </c>
      <c r="J122" s="9">
        <v>118.21</v>
      </c>
      <c r="K122" s="9">
        <v>475.03</v>
      </c>
      <c r="L122" s="9">
        <v>106.21</v>
      </c>
      <c r="M122" s="9">
        <v>108.47</v>
      </c>
      <c r="N122" s="9">
        <v>133.68</v>
      </c>
      <c r="O122" s="9">
        <v>123.51</v>
      </c>
      <c r="P122" s="9">
        <v>516.4</v>
      </c>
      <c r="Q122" s="9">
        <v>103</v>
      </c>
      <c r="R122" s="9">
        <v>121.5</v>
      </c>
      <c r="S122" s="9">
        <v>124</v>
      </c>
      <c r="T122" s="9">
        <v>135.5</v>
      </c>
      <c r="U122" s="9">
        <v>525.26</v>
      </c>
      <c r="V122" s="9">
        <v>86</v>
      </c>
      <c r="W122" s="9">
        <v>115.5</v>
      </c>
      <c r="X122" s="9">
        <v>91.5</v>
      </c>
      <c r="Y122" s="9">
        <v>91.5</v>
      </c>
      <c r="Z122" s="9">
        <v>467.91</v>
      </c>
      <c r="AA122" s="9">
        <v>84</v>
      </c>
      <c r="AB122" s="9">
        <v>116</v>
      </c>
      <c r="AC122" s="9">
        <v>92</v>
      </c>
      <c r="AD122" s="9">
        <v>92</v>
      </c>
      <c r="AE122" s="9">
        <v>405.41</v>
      </c>
    </row>
    <row r="123" spans="1:31" x14ac:dyDescent="0.25">
      <c r="A123" s="3" t="s">
        <v>226</v>
      </c>
      <c r="B123" s="10">
        <v>-1</v>
      </c>
      <c r="C123" s="9">
        <v>1</v>
      </c>
      <c r="D123" s="9">
        <v>1</v>
      </c>
      <c r="E123" s="10">
        <v>-62.4</v>
      </c>
      <c r="F123" s="10">
        <v>-61.9</v>
      </c>
      <c r="G123" s="9">
        <v>3035</v>
      </c>
      <c r="H123" s="9">
        <v>1</v>
      </c>
      <c r="I123" s="8" t="s">
        <v>66</v>
      </c>
      <c r="J123" s="8" t="s">
        <v>66</v>
      </c>
      <c r="K123" s="9">
        <v>3035.25</v>
      </c>
      <c r="L123" s="8" t="s">
        <v>66</v>
      </c>
      <c r="M123" s="8" t="s">
        <v>66</v>
      </c>
      <c r="N123" s="8" t="s">
        <v>66</v>
      </c>
      <c r="O123" s="8" t="s">
        <v>66</v>
      </c>
      <c r="P123" s="8" t="s">
        <v>66</v>
      </c>
      <c r="Q123" s="8" t="s">
        <v>66</v>
      </c>
      <c r="R123" s="8" t="s">
        <v>66</v>
      </c>
      <c r="S123" s="8" t="s">
        <v>66</v>
      </c>
      <c r="T123" s="8" t="s">
        <v>66</v>
      </c>
      <c r="U123" s="8" t="s">
        <v>66</v>
      </c>
      <c r="V123" s="8" t="s">
        <v>66</v>
      </c>
      <c r="W123" s="8" t="s">
        <v>66</v>
      </c>
      <c r="X123" s="8" t="s">
        <v>66</v>
      </c>
      <c r="Y123" s="8" t="s">
        <v>66</v>
      </c>
      <c r="Z123" s="9">
        <v>11.03</v>
      </c>
      <c r="AA123" s="8" t="s">
        <v>66</v>
      </c>
      <c r="AB123" s="8" t="s">
        <v>66</v>
      </c>
      <c r="AC123" s="8" t="s">
        <v>66</v>
      </c>
      <c r="AD123" s="8" t="s">
        <v>66</v>
      </c>
      <c r="AE123" s="9">
        <v>4.18</v>
      </c>
    </row>
    <row r="124" spans="1:31" x14ac:dyDescent="0.25">
      <c r="A124" s="4" t="s">
        <v>227</v>
      </c>
      <c r="B124" s="9">
        <v>30</v>
      </c>
      <c r="C124" s="9">
        <v>18</v>
      </c>
      <c r="D124" s="9">
        <v>47</v>
      </c>
      <c r="E124" s="9">
        <v>56</v>
      </c>
      <c r="F124" s="9">
        <v>151</v>
      </c>
      <c r="G124" s="9">
        <v>2160.44</v>
      </c>
      <c r="H124" s="9">
        <v>109.25</v>
      </c>
      <c r="I124" s="9">
        <v>112.82</v>
      </c>
      <c r="J124" s="9">
        <v>112.36</v>
      </c>
      <c r="K124" s="9">
        <v>2817.62</v>
      </c>
      <c r="L124" s="9">
        <v>114.43</v>
      </c>
      <c r="M124" s="9">
        <v>112.85</v>
      </c>
      <c r="N124" s="9">
        <v>133.47999999999999</v>
      </c>
      <c r="O124" s="9">
        <v>130.77000000000001</v>
      </c>
      <c r="P124" s="9">
        <v>477.15</v>
      </c>
      <c r="Q124" s="9">
        <v>111.95</v>
      </c>
      <c r="R124" s="9">
        <v>117.04</v>
      </c>
      <c r="S124" s="9">
        <v>124.26</v>
      </c>
      <c r="T124" s="9">
        <v>130.78</v>
      </c>
      <c r="U124" s="9">
        <v>509.71</v>
      </c>
      <c r="V124" s="9">
        <v>104.24</v>
      </c>
      <c r="W124" s="9">
        <v>107.43</v>
      </c>
      <c r="X124" s="9">
        <v>105.24</v>
      </c>
      <c r="Y124" s="9">
        <v>105.42</v>
      </c>
      <c r="Z124" s="9">
        <v>481.49</v>
      </c>
      <c r="AA124" s="9">
        <v>95.65</v>
      </c>
      <c r="AB124" s="9">
        <v>104.72</v>
      </c>
      <c r="AC124" s="9">
        <v>102.66</v>
      </c>
      <c r="AD124" s="9">
        <v>103.96</v>
      </c>
      <c r="AE124" s="9">
        <v>450.9</v>
      </c>
    </row>
    <row r="125" spans="1:31" x14ac:dyDescent="0.25">
      <c r="A125" s="4" t="s">
        <v>228</v>
      </c>
      <c r="B125" s="9">
        <v>7330</v>
      </c>
      <c r="C125" s="9">
        <v>7348</v>
      </c>
      <c r="D125" s="9">
        <v>7395</v>
      </c>
      <c r="E125" s="9">
        <v>7451</v>
      </c>
      <c r="F125" s="9">
        <v>7451</v>
      </c>
      <c r="G125" s="9">
        <v>10267.629999999999</v>
      </c>
      <c r="H125" s="9">
        <v>10376.99</v>
      </c>
      <c r="I125" s="9">
        <v>10502.21</v>
      </c>
      <c r="J125" s="9">
        <v>10614.58</v>
      </c>
      <c r="K125" s="9">
        <v>10614.58</v>
      </c>
      <c r="L125" s="9">
        <v>11156.47</v>
      </c>
      <c r="M125" s="9">
        <v>11269.32</v>
      </c>
      <c r="N125" s="9">
        <v>11402.8</v>
      </c>
      <c r="O125" s="9">
        <v>11533.58</v>
      </c>
      <c r="P125" s="9">
        <v>11056.51</v>
      </c>
      <c r="Q125" s="9">
        <v>11576.59</v>
      </c>
      <c r="R125" s="9">
        <v>11693.63</v>
      </c>
      <c r="S125" s="9">
        <v>11817.89</v>
      </c>
      <c r="T125" s="9">
        <v>11948.67</v>
      </c>
      <c r="U125" s="9">
        <v>11525.25</v>
      </c>
      <c r="V125" s="9">
        <v>11973.13</v>
      </c>
      <c r="W125" s="9">
        <v>12080.56</v>
      </c>
      <c r="X125" s="9">
        <v>12185.8</v>
      </c>
      <c r="Y125" s="9">
        <v>12291.21</v>
      </c>
      <c r="Z125" s="9">
        <v>11888.49</v>
      </c>
      <c r="AA125" s="9">
        <v>12386.87</v>
      </c>
      <c r="AB125" s="9">
        <v>12491.59</v>
      </c>
      <c r="AC125" s="9">
        <v>12594.25</v>
      </c>
      <c r="AD125" s="9">
        <v>12698.22</v>
      </c>
      <c r="AE125" s="9">
        <v>12296.4</v>
      </c>
    </row>
    <row r="126" spans="1:31" x14ac:dyDescent="0.25">
      <c r="A126" s="4" t="s">
        <v>76</v>
      </c>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row>
    <row r="127" spans="1:31" x14ac:dyDescent="0.25">
      <c r="A127" s="3" t="s">
        <v>229</v>
      </c>
      <c r="B127" s="9">
        <v>230</v>
      </c>
      <c r="C127" s="9">
        <v>181</v>
      </c>
      <c r="D127" s="9">
        <v>168</v>
      </c>
      <c r="E127" s="9">
        <v>265</v>
      </c>
      <c r="F127" s="9">
        <v>844</v>
      </c>
      <c r="G127" s="8" t="s">
        <v>66</v>
      </c>
      <c r="H127" s="8" t="s">
        <v>66</v>
      </c>
      <c r="I127" s="8" t="s">
        <v>66</v>
      </c>
      <c r="J127" s="8" t="s">
        <v>66</v>
      </c>
      <c r="K127" s="8" t="s">
        <v>66</v>
      </c>
      <c r="L127" s="8" t="s">
        <v>66</v>
      </c>
      <c r="M127" s="8" t="s">
        <v>66</v>
      </c>
      <c r="N127" s="8" t="s">
        <v>66</v>
      </c>
      <c r="O127" s="8" t="s">
        <v>66</v>
      </c>
      <c r="P127" s="8" t="s">
        <v>66</v>
      </c>
      <c r="Q127" s="8" t="s">
        <v>66</v>
      </c>
      <c r="R127" s="8" t="s">
        <v>66</v>
      </c>
      <c r="S127" s="8" t="s">
        <v>66</v>
      </c>
      <c r="T127" s="8" t="s">
        <v>66</v>
      </c>
      <c r="U127" s="8" t="s">
        <v>66</v>
      </c>
      <c r="V127" s="8" t="s">
        <v>66</v>
      </c>
      <c r="W127" s="8" t="s">
        <v>66</v>
      </c>
      <c r="X127" s="8" t="s">
        <v>66</v>
      </c>
      <c r="Y127" s="8" t="s">
        <v>66</v>
      </c>
      <c r="Z127" s="8" t="s">
        <v>66</v>
      </c>
      <c r="AA127" s="8" t="s">
        <v>66</v>
      </c>
      <c r="AB127" s="8" t="s">
        <v>66</v>
      </c>
      <c r="AC127" s="8" t="s">
        <v>66</v>
      </c>
      <c r="AD127" s="8" t="s">
        <v>66</v>
      </c>
      <c r="AE127" s="8" t="s">
        <v>66</v>
      </c>
    </row>
    <row r="128" spans="1:31" x14ac:dyDescent="0.25">
      <c r="A128" s="3" t="s">
        <v>230</v>
      </c>
      <c r="B128" s="8" t="s">
        <v>66</v>
      </c>
      <c r="C128" s="8" t="s">
        <v>66</v>
      </c>
      <c r="D128" s="8" t="s">
        <v>66</v>
      </c>
      <c r="E128" s="8" t="s">
        <v>66</v>
      </c>
      <c r="F128" s="8" t="s">
        <v>66</v>
      </c>
      <c r="G128" s="8" t="s">
        <v>66</v>
      </c>
      <c r="H128" s="8" t="s">
        <v>66</v>
      </c>
      <c r="I128" s="8" t="s">
        <v>66</v>
      </c>
      <c r="J128" s="8" t="s">
        <v>66</v>
      </c>
      <c r="K128" s="8" t="s">
        <v>66</v>
      </c>
      <c r="L128" s="8" t="s">
        <v>66</v>
      </c>
      <c r="M128" s="8" t="s">
        <v>66</v>
      </c>
      <c r="N128" s="8" t="s">
        <v>66</v>
      </c>
      <c r="O128" s="8" t="s">
        <v>66</v>
      </c>
      <c r="P128" s="8" t="s">
        <v>66</v>
      </c>
      <c r="Q128" s="8" t="s">
        <v>66</v>
      </c>
      <c r="R128" s="8" t="s">
        <v>66</v>
      </c>
      <c r="S128" s="8" t="s">
        <v>66</v>
      </c>
      <c r="T128" s="8" t="s">
        <v>66</v>
      </c>
      <c r="U128" s="8" t="s">
        <v>66</v>
      </c>
      <c r="V128" s="8" t="s">
        <v>66</v>
      </c>
      <c r="W128" s="8" t="s">
        <v>66</v>
      </c>
      <c r="X128" s="8" t="s">
        <v>66</v>
      </c>
      <c r="Y128" s="8" t="s">
        <v>66</v>
      </c>
      <c r="Z128" s="8" t="s">
        <v>66</v>
      </c>
      <c r="AA128" s="8" t="s">
        <v>66</v>
      </c>
      <c r="AB128" s="8" t="s">
        <v>66</v>
      </c>
      <c r="AC128" s="8" t="s">
        <v>66</v>
      </c>
      <c r="AD128" s="8" t="s">
        <v>66</v>
      </c>
      <c r="AE128" s="8" t="s">
        <v>66</v>
      </c>
    </row>
    <row r="129" spans="1:31" x14ac:dyDescent="0.25">
      <c r="A129" s="4" t="s">
        <v>231</v>
      </c>
      <c r="B129" s="9">
        <v>230</v>
      </c>
      <c r="C129" s="9">
        <v>181</v>
      </c>
      <c r="D129" s="9">
        <v>168</v>
      </c>
      <c r="E129" s="9">
        <v>265</v>
      </c>
      <c r="F129" s="9">
        <v>844</v>
      </c>
      <c r="G129" s="9">
        <v>3369.04</v>
      </c>
      <c r="H129" s="9">
        <v>242.78</v>
      </c>
      <c r="I129" s="9">
        <v>230.22</v>
      </c>
      <c r="J129" s="9">
        <v>258.45</v>
      </c>
      <c r="K129" s="9">
        <v>4119.5200000000004</v>
      </c>
      <c r="L129" s="9">
        <v>241.46</v>
      </c>
      <c r="M129" s="9">
        <v>236.58</v>
      </c>
      <c r="N129" s="9">
        <v>257.33</v>
      </c>
      <c r="O129" s="9">
        <v>272.02</v>
      </c>
      <c r="P129" s="9">
        <v>1045.8</v>
      </c>
      <c r="Q129" s="9">
        <v>213.78</v>
      </c>
      <c r="R129" s="9">
        <v>223.47</v>
      </c>
      <c r="S129" s="9">
        <v>229.37</v>
      </c>
      <c r="T129" s="9">
        <v>238.5</v>
      </c>
      <c r="U129" s="9">
        <v>984.99</v>
      </c>
      <c r="V129" s="9">
        <v>170.79</v>
      </c>
      <c r="W129" s="9">
        <v>181.97</v>
      </c>
      <c r="X129" s="9">
        <v>175.54</v>
      </c>
      <c r="Y129" s="9">
        <v>177.5</v>
      </c>
      <c r="Z129" s="9">
        <v>830.43</v>
      </c>
      <c r="AA129" s="9">
        <v>157.79</v>
      </c>
      <c r="AB129" s="9">
        <v>170.58</v>
      </c>
      <c r="AC129" s="9">
        <v>163.44999999999999</v>
      </c>
      <c r="AD129" s="9">
        <v>165.72</v>
      </c>
      <c r="AE129" s="9">
        <v>772.75</v>
      </c>
    </row>
    <row r="130" spans="1:31" x14ac:dyDescent="0.25">
      <c r="A130" s="4" t="s">
        <v>232</v>
      </c>
      <c r="B130" s="9">
        <v>10244</v>
      </c>
      <c r="C130" s="9">
        <v>10425</v>
      </c>
      <c r="D130" s="9">
        <v>10593</v>
      </c>
      <c r="E130" s="9">
        <v>10858</v>
      </c>
      <c r="F130" s="9">
        <v>10858</v>
      </c>
      <c r="G130" s="9">
        <v>14212.5</v>
      </c>
      <c r="H130" s="9">
        <v>14049.47</v>
      </c>
      <c r="I130" s="9">
        <v>14279.69</v>
      </c>
      <c r="J130" s="9">
        <v>14538.14</v>
      </c>
      <c r="K130" s="9">
        <v>14962.98</v>
      </c>
      <c r="L130" s="9">
        <v>15327.73</v>
      </c>
      <c r="M130" s="9">
        <v>15564.31</v>
      </c>
      <c r="N130" s="9">
        <v>15821.64</v>
      </c>
      <c r="O130" s="9">
        <v>16093.66</v>
      </c>
      <c r="P130" s="9">
        <v>15544.13</v>
      </c>
      <c r="Q130" s="9">
        <v>16133.63</v>
      </c>
      <c r="R130" s="9">
        <v>16357.1</v>
      </c>
      <c r="S130" s="9">
        <v>16586.47</v>
      </c>
      <c r="T130" s="9">
        <v>16824.97</v>
      </c>
      <c r="U130" s="9">
        <v>16529.12</v>
      </c>
      <c r="V130" s="9">
        <v>16698.240000000002</v>
      </c>
      <c r="W130" s="9">
        <v>16880.21</v>
      </c>
      <c r="X130" s="9">
        <v>17055.75</v>
      </c>
      <c r="Y130" s="9">
        <v>17233.25</v>
      </c>
      <c r="Z130" s="9">
        <v>17232.28</v>
      </c>
      <c r="AA130" s="9">
        <v>17391.05</v>
      </c>
      <c r="AB130" s="9">
        <v>17561.63</v>
      </c>
      <c r="AC130" s="9">
        <v>17725.080000000002</v>
      </c>
      <c r="AD130" s="9">
        <v>17890.8</v>
      </c>
      <c r="AE130" s="9">
        <v>18005.03</v>
      </c>
    </row>
    <row r="131" spans="1:31" x14ac:dyDescent="0.25">
      <c r="A131" s="4" t="s">
        <v>76</v>
      </c>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row>
    <row r="132" spans="1:31" x14ac:dyDescent="0.25">
      <c r="A132" s="3" t="s">
        <v>233</v>
      </c>
      <c r="B132" s="10">
        <v>-71.599999999999994</v>
      </c>
      <c r="C132" s="10">
        <v>-69.599999999999994</v>
      </c>
      <c r="D132" s="10">
        <v>-70.260000000000005</v>
      </c>
      <c r="E132" s="10">
        <v>-74.05</v>
      </c>
      <c r="F132" s="10">
        <v>-285.51</v>
      </c>
      <c r="G132" s="10">
        <v>-50.86</v>
      </c>
      <c r="H132" s="10">
        <v>-25.34</v>
      </c>
      <c r="I132" s="10">
        <v>-26.06</v>
      </c>
      <c r="J132" s="10">
        <v>-29.42</v>
      </c>
      <c r="K132" s="10">
        <v>-131.66999999999999</v>
      </c>
      <c r="L132" s="10">
        <v>-50.8</v>
      </c>
      <c r="M132" s="10">
        <v>-48.88</v>
      </c>
      <c r="N132" s="10">
        <v>-49.52</v>
      </c>
      <c r="O132" s="10">
        <v>-53.17</v>
      </c>
      <c r="P132" s="10">
        <v>-138.88</v>
      </c>
      <c r="Q132" s="10">
        <v>-47.68</v>
      </c>
      <c r="R132" s="10">
        <v>-46.05</v>
      </c>
      <c r="S132" s="10">
        <v>-46.59</v>
      </c>
      <c r="T132" s="10">
        <v>-49.69</v>
      </c>
      <c r="U132" s="10">
        <v>-131.55000000000001</v>
      </c>
      <c r="V132" s="10">
        <v>-45.03</v>
      </c>
      <c r="W132" s="10">
        <v>-43.64</v>
      </c>
      <c r="X132" s="10">
        <v>-44.1</v>
      </c>
      <c r="Y132" s="10">
        <v>-46.74</v>
      </c>
      <c r="Z132" s="10">
        <v>-125.32</v>
      </c>
      <c r="AA132" s="10">
        <v>-42.78</v>
      </c>
      <c r="AB132" s="10">
        <v>-41.6</v>
      </c>
      <c r="AC132" s="10">
        <v>-41.99</v>
      </c>
      <c r="AD132" s="10">
        <v>-44.23</v>
      </c>
      <c r="AE132" s="10">
        <v>-120.02</v>
      </c>
    </row>
    <row r="133" spans="1:31" x14ac:dyDescent="0.25">
      <c r="A133" s="4" t="s">
        <v>234</v>
      </c>
      <c r="B133" s="9">
        <v>686.37</v>
      </c>
      <c r="C133" s="9">
        <v>616.77</v>
      </c>
      <c r="D133" s="9">
        <v>546.51</v>
      </c>
      <c r="E133" s="9">
        <v>472.46</v>
      </c>
      <c r="F133" s="9">
        <v>472.46</v>
      </c>
      <c r="G133" s="9">
        <v>734.1</v>
      </c>
      <c r="H133" s="9">
        <v>1021.26</v>
      </c>
      <c r="I133" s="9">
        <v>995.21</v>
      </c>
      <c r="J133" s="9">
        <v>965.79</v>
      </c>
      <c r="K133" s="9">
        <v>965.79</v>
      </c>
      <c r="L133" s="9">
        <v>1351.57</v>
      </c>
      <c r="M133" s="9">
        <v>1302.69</v>
      </c>
      <c r="N133" s="9">
        <v>1253.1600000000001</v>
      </c>
      <c r="O133" s="9">
        <v>1200</v>
      </c>
      <c r="P133" s="9">
        <v>826.91</v>
      </c>
      <c r="Q133" s="9">
        <v>1152.31</v>
      </c>
      <c r="R133" s="9">
        <v>1106.27</v>
      </c>
      <c r="S133" s="9">
        <v>1059.67</v>
      </c>
      <c r="T133" s="9">
        <v>1009.98</v>
      </c>
      <c r="U133" s="9">
        <v>695.36</v>
      </c>
      <c r="V133" s="9">
        <v>964.95</v>
      </c>
      <c r="W133" s="9">
        <v>921.31</v>
      </c>
      <c r="X133" s="9">
        <v>877.21</v>
      </c>
      <c r="Y133" s="9">
        <v>830.47</v>
      </c>
      <c r="Z133" s="9">
        <v>570.04</v>
      </c>
      <c r="AA133" s="9">
        <v>787.69</v>
      </c>
      <c r="AB133" s="9">
        <v>746.1</v>
      </c>
      <c r="AC133" s="9">
        <v>704.11</v>
      </c>
      <c r="AD133" s="9">
        <v>659.88</v>
      </c>
      <c r="AE133" s="9">
        <v>450.02</v>
      </c>
    </row>
    <row r="134" spans="1:31" x14ac:dyDescent="0.25">
      <c r="A134" s="3" t="s">
        <v>235</v>
      </c>
      <c r="B134" s="10">
        <v>-128.91</v>
      </c>
      <c r="C134" s="10">
        <v>-124.06</v>
      </c>
      <c r="D134" s="10">
        <v>-125.57</v>
      </c>
      <c r="E134" s="10">
        <v>-124.71</v>
      </c>
      <c r="F134" s="10">
        <v>-503.24</v>
      </c>
      <c r="G134" s="9">
        <v>365.48</v>
      </c>
      <c r="H134" s="9">
        <v>212</v>
      </c>
      <c r="I134" s="10">
        <v>-101.04</v>
      </c>
      <c r="J134" s="10">
        <v>-101.49</v>
      </c>
      <c r="K134" s="9">
        <v>224.32</v>
      </c>
      <c r="L134" s="10">
        <v>-121.72</v>
      </c>
      <c r="M134" s="10">
        <v>-117.41</v>
      </c>
      <c r="N134" s="10">
        <v>-121.22</v>
      </c>
      <c r="O134" s="10">
        <v>-125.21</v>
      </c>
      <c r="P134" s="10">
        <v>-407.46</v>
      </c>
      <c r="Q134" s="10">
        <v>-120.07</v>
      </c>
      <c r="R134" s="10">
        <v>-116.15</v>
      </c>
      <c r="S134" s="10">
        <v>-119.97</v>
      </c>
      <c r="T134" s="10">
        <v>-123.64</v>
      </c>
      <c r="U134" s="10">
        <v>-409.08</v>
      </c>
      <c r="V134" s="10">
        <v>-119.61</v>
      </c>
      <c r="W134" s="10">
        <v>-115.99</v>
      </c>
      <c r="X134" s="10">
        <v>-119.6</v>
      </c>
      <c r="Y134" s="10">
        <v>-122.7</v>
      </c>
      <c r="Z134" s="10">
        <v>-415.89</v>
      </c>
      <c r="AA134" s="10">
        <v>-119.47</v>
      </c>
      <c r="AB134" s="10">
        <v>-115.71</v>
      </c>
      <c r="AC134" s="10">
        <v>-119</v>
      </c>
      <c r="AD134" s="10">
        <v>-121.62</v>
      </c>
      <c r="AE134" s="10">
        <v>-421.23</v>
      </c>
    </row>
    <row r="135" spans="1:31" x14ac:dyDescent="0.25">
      <c r="A135" s="4" t="s">
        <v>236</v>
      </c>
      <c r="B135" s="9">
        <v>2984.26</v>
      </c>
      <c r="C135" s="9">
        <v>2866.55</v>
      </c>
      <c r="D135" s="9">
        <v>2747.96</v>
      </c>
      <c r="E135" s="9">
        <v>2630.46</v>
      </c>
      <c r="F135" s="9">
        <v>2630.46</v>
      </c>
      <c r="G135" s="9">
        <v>2877.64</v>
      </c>
      <c r="H135" s="9">
        <v>2694.7</v>
      </c>
      <c r="I135" s="9">
        <v>2595.9299999999998</v>
      </c>
      <c r="J135" s="9">
        <v>2500.29</v>
      </c>
      <c r="K135" s="9">
        <v>2500.29</v>
      </c>
      <c r="L135" s="9">
        <v>3046.72</v>
      </c>
      <c r="M135" s="9">
        <v>2941.28</v>
      </c>
      <c r="N135" s="9">
        <v>2833.43</v>
      </c>
      <c r="O135" s="9">
        <v>2428.4699999999998</v>
      </c>
      <c r="P135" s="9">
        <v>2151.0500000000002</v>
      </c>
      <c r="Q135" s="9">
        <v>2689.44</v>
      </c>
      <c r="R135" s="9">
        <v>2573.29</v>
      </c>
      <c r="S135" s="9">
        <v>2453.3200000000002</v>
      </c>
      <c r="T135" s="9">
        <v>2329.6799999999998</v>
      </c>
      <c r="U135" s="9">
        <v>2011.57</v>
      </c>
      <c r="V135" s="9">
        <v>2210.06</v>
      </c>
      <c r="W135" s="9">
        <v>2094.0700000000002</v>
      </c>
      <c r="X135" s="9">
        <v>1974.47</v>
      </c>
      <c r="Y135" s="9">
        <v>1851.77</v>
      </c>
      <c r="Z135" s="9">
        <v>1627.93</v>
      </c>
      <c r="AA135" s="9">
        <v>1732.3</v>
      </c>
      <c r="AB135" s="9">
        <v>1616.59</v>
      </c>
      <c r="AC135" s="9">
        <v>1497.58</v>
      </c>
      <c r="AD135" s="9">
        <v>1375.97</v>
      </c>
      <c r="AE135" s="9">
        <v>1801.55</v>
      </c>
    </row>
    <row r="136" spans="1:31" x14ac:dyDescent="0.25">
      <c r="A136" s="4" t="s">
        <v>76</v>
      </c>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row>
    <row r="137" spans="1:31" x14ac:dyDescent="0.25">
      <c r="A137" s="4" t="s">
        <v>237</v>
      </c>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row>
    <row r="138" spans="1:31" x14ac:dyDescent="0.25">
      <c r="A138" s="3" t="s">
        <v>238</v>
      </c>
      <c r="B138" s="9">
        <v>2828.2</v>
      </c>
      <c r="C138" s="9">
        <v>2950.14</v>
      </c>
      <c r="D138" s="9">
        <v>3041.3</v>
      </c>
      <c r="E138" s="9">
        <v>3063.53</v>
      </c>
      <c r="F138" s="9">
        <v>11883.17</v>
      </c>
      <c r="G138" s="9">
        <v>2997.53</v>
      </c>
      <c r="H138" s="9">
        <v>3064.3</v>
      </c>
      <c r="I138" s="9">
        <v>3092.53</v>
      </c>
      <c r="J138" s="9">
        <v>3125.68</v>
      </c>
      <c r="K138" s="9">
        <v>12180.81</v>
      </c>
      <c r="L138" s="9">
        <v>3088.25</v>
      </c>
      <c r="M138" s="9">
        <v>3140.26</v>
      </c>
      <c r="N138" s="9">
        <v>3183.48</v>
      </c>
      <c r="O138" s="9">
        <v>3200.28</v>
      </c>
      <c r="P138" s="9">
        <v>12666.89</v>
      </c>
      <c r="Q138" s="9">
        <v>3204.72</v>
      </c>
      <c r="R138" s="9">
        <v>3268.5</v>
      </c>
      <c r="S138" s="9">
        <v>3325.25</v>
      </c>
      <c r="T138" s="9">
        <v>3351.53</v>
      </c>
      <c r="U138" s="9">
        <v>13189.41</v>
      </c>
      <c r="V138" s="9">
        <v>3285.33</v>
      </c>
      <c r="W138" s="9">
        <v>3317.67</v>
      </c>
      <c r="X138" s="9">
        <v>3346.89</v>
      </c>
      <c r="Y138" s="9">
        <v>3357.8</v>
      </c>
      <c r="Z138" s="9">
        <v>13567.43</v>
      </c>
      <c r="AA138" s="9">
        <v>3320.19</v>
      </c>
      <c r="AB138" s="9">
        <v>3349.03</v>
      </c>
      <c r="AC138" s="9">
        <v>3379.21</v>
      </c>
      <c r="AD138" s="9">
        <v>3391.85</v>
      </c>
      <c r="AE138" s="9">
        <v>13895.35</v>
      </c>
    </row>
    <row r="139" spans="1:31" x14ac:dyDescent="0.25">
      <c r="A139" s="3" t="s">
        <v>239</v>
      </c>
      <c r="B139" s="9">
        <v>14370.8</v>
      </c>
      <c r="C139" s="9">
        <v>14418.86</v>
      </c>
      <c r="D139" s="9">
        <v>14399.7</v>
      </c>
      <c r="E139" s="9">
        <v>14309.47</v>
      </c>
      <c r="F139" s="9">
        <v>57498.83</v>
      </c>
      <c r="G139" s="9">
        <v>14326.79</v>
      </c>
      <c r="H139" s="9">
        <v>14232.52</v>
      </c>
      <c r="I139" s="9">
        <v>14297.68</v>
      </c>
      <c r="J139" s="9">
        <v>14367.46</v>
      </c>
      <c r="K139" s="9">
        <v>57271.73</v>
      </c>
      <c r="L139" s="9">
        <v>14311.59</v>
      </c>
      <c r="M139" s="9">
        <v>14366.19</v>
      </c>
      <c r="N139" s="9">
        <v>14422.48</v>
      </c>
      <c r="O139" s="9">
        <v>14504.06</v>
      </c>
      <c r="P139" s="9">
        <v>57616.49</v>
      </c>
      <c r="Q139" s="9">
        <v>14275.36</v>
      </c>
      <c r="R139" s="9">
        <v>14356.52</v>
      </c>
      <c r="S139" s="9">
        <v>14400.32</v>
      </c>
      <c r="T139" s="9">
        <v>14464.79</v>
      </c>
      <c r="U139" s="9">
        <v>58143.39</v>
      </c>
      <c r="V139" s="9">
        <v>14321.41</v>
      </c>
      <c r="W139" s="9">
        <v>14410.47</v>
      </c>
      <c r="X139" s="9">
        <v>14460.21</v>
      </c>
      <c r="Y139" s="9">
        <v>14579.82</v>
      </c>
      <c r="Z139" s="9">
        <v>58834.16</v>
      </c>
      <c r="AA139" s="9">
        <v>14409.14</v>
      </c>
      <c r="AB139" s="9">
        <v>14495.51</v>
      </c>
      <c r="AC139" s="9">
        <v>14541.31</v>
      </c>
      <c r="AD139" s="9">
        <v>14657.3</v>
      </c>
      <c r="AE139" s="9">
        <v>59340.85</v>
      </c>
    </row>
    <row r="140" spans="1:31" x14ac:dyDescent="0.25">
      <c r="A140" s="4" t="s">
        <v>240</v>
      </c>
      <c r="B140" s="9">
        <v>17199</v>
      </c>
      <c r="C140" s="9">
        <v>17369</v>
      </c>
      <c r="D140" s="9">
        <v>17441</v>
      </c>
      <c r="E140" s="9">
        <v>17373</v>
      </c>
      <c r="F140" s="9">
        <v>69382</v>
      </c>
      <c r="G140" s="9">
        <v>17151.759999999998</v>
      </c>
      <c r="H140" s="9">
        <v>17296.89</v>
      </c>
      <c r="I140" s="9">
        <v>17390.38</v>
      </c>
      <c r="J140" s="9">
        <v>17493.12</v>
      </c>
      <c r="K140" s="9">
        <v>69336.429999999993</v>
      </c>
      <c r="L140" s="9">
        <v>17398.87</v>
      </c>
      <c r="M140" s="9">
        <v>17504.36</v>
      </c>
      <c r="N140" s="9">
        <v>17602.830000000002</v>
      </c>
      <c r="O140" s="9">
        <v>17699.97</v>
      </c>
      <c r="P140" s="9">
        <v>70276.33</v>
      </c>
      <c r="Q140" s="9">
        <v>17480.09</v>
      </c>
      <c r="R140" s="9">
        <v>17625.02</v>
      </c>
      <c r="S140" s="9">
        <v>17725.560000000001</v>
      </c>
      <c r="T140" s="9">
        <v>17816.32</v>
      </c>
      <c r="U140" s="9">
        <v>71311.929999999993</v>
      </c>
      <c r="V140" s="9">
        <v>17606.75</v>
      </c>
      <c r="W140" s="9">
        <v>17728.14</v>
      </c>
      <c r="X140" s="9">
        <v>17807.099999999999</v>
      </c>
      <c r="Y140" s="9">
        <v>17937.62</v>
      </c>
      <c r="Z140" s="9">
        <v>72361.27</v>
      </c>
      <c r="AA140" s="9">
        <v>17729.32</v>
      </c>
      <c r="AB140" s="9">
        <v>17844.54</v>
      </c>
      <c r="AC140" s="9">
        <v>17920.509999999998</v>
      </c>
      <c r="AD140" s="9">
        <v>18049.14</v>
      </c>
      <c r="AE140" s="9">
        <v>73182.59</v>
      </c>
    </row>
    <row r="141" spans="1:31" x14ac:dyDescent="0.25">
      <c r="A141" s="3" t="s">
        <v>241</v>
      </c>
      <c r="B141" s="9">
        <v>2896</v>
      </c>
      <c r="C141" s="9">
        <v>2924</v>
      </c>
      <c r="D141" s="9">
        <v>2937</v>
      </c>
      <c r="E141" s="9">
        <v>2921</v>
      </c>
      <c r="F141" s="9">
        <v>11678</v>
      </c>
      <c r="G141" s="9">
        <v>3249.42</v>
      </c>
      <c r="H141" s="9">
        <v>3540.64</v>
      </c>
      <c r="I141" s="9">
        <v>3610.55</v>
      </c>
      <c r="J141" s="9">
        <v>3646.33</v>
      </c>
      <c r="K141" s="9">
        <v>13648.6</v>
      </c>
      <c r="L141" s="9">
        <v>3630.55</v>
      </c>
      <c r="M141" s="9">
        <v>3741.5</v>
      </c>
      <c r="N141" s="9">
        <v>3690.29</v>
      </c>
      <c r="O141" s="9">
        <v>3710.84</v>
      </c>
      <c r="P141" s="9">
        <v>14764.48</v>
      </c>
      <c r="Q141" s="9">
        <v>3816.56</v>
      </c>
      <c r="R141" s="9">
        <v>4003.03</v>
      </c>
      <c r="S141" s="9">
        <v>3883.42</v>
      </c>
      <c r="T141" s="9">
        <v>3879</v>
      </c>
      <c r="U141" s="9">
        <v>15560.79</v>
      </c>
      <c r="V141" s="9">
        <v>4071.38</v>
      </c>
      <c r="W141" s="9">
        <v>4358.72</v>
      </c>
      <c r="X141" s="9">
        <v>4100.96</v>
      </c>
      <c r="Y141" s="9">
        <v>4137.91</v>
      </c>
      <c r="Z141" s="9">
        <v>16200.47</v>
      </c>
      <c r="AA141" s="9">
        <v>4163.93</v>
      </c>
      <c r="AB141" s="9">
        <v>4497.1000000000004</v>
      </c>
      <c r="AC141" s="9">
        <v>4191.72</v>
      </c>
      <c r="AD141" s="9">
        <v>4222.82</v>
      </c>
      <c r="AE141" s="9">
        <v>16573.59</v>
      </c>
    </row>
    <row r="142" spans="1:31" x14ac:dyDescent="0.25">
      <c r="A142" s="3" t="s">
        <v>242</v>
      </c>
      <c r="B142" s="10">
        <v>-29</v>
      </c>
      <c r="C142" s="10">
        <v>-33</v>
      </c>
      <c r="D142" s="10">
        <v>-40</v>
      </c>
      <c r="E142" s="10">
        <v>-46</v>
      </c>
      <c r="F142" s="10">
        <v>-148</v>
      </c>
      <c r="G142" s="9">
        <v>39.03</v>
      </c>
      <c r="H142" s="9">
        <v>164.73</v>
      </c>
      <c r="I142" s="9">
        <v>47.41</v>
      </c>
      <c r="J142" s="9">
        <v>44.46</v>
      </c>
      <c r="K142" s="9">
        <v>171.48</v>
      </c>
      <c r="L142" s="9">
        <v>234.59</v>
      </c>
      <c r="M142" s="9">
        <v>230.41</v>
      </c>
      <c r="N142" s="9">
        <v>230.81</v>
      </c>
      <c r="O142" s="9">
        <v>228.32</v>
      </c>
      <c r="P142" s="9">
        <v>713.69</v>
      </c>
      <c r="Q142" s="9">
        <v>53.26</v>
      </c>
      <c r="R142" s="9">
        <v>36.6</v>
      </c>
      <c r="S142" s="9">
        <v>18.079999999999998</v>
      </c>
      <c r="T142" s="9">
        <v>9.31</v>
      </c>
      <c r="U142" s="9">
        <v>191.9</v>
      </c>
      <c r="V142" s="9">
        <v>72.37</v>
      </c>
      <c r="W142" s="9">
        <v>45.42</v>
      </c>
      <c r="X142" s="9">
        <v>20.02</v>
      </c>
      <c r="Y142" s="9">
        <v>7.71</v>
      </c>
      <c r="Z142" s="9">
        <v>175.35</v>
      </c>
      <c r="AA142" s="9">
        <v>35.729999999999997</v>
      </c>
      <c r="AB142" s="9">
        <v>5.72</v>
      </c>
      <c r="AC142" s="10">
        <v>-13.82</v>
      </c>
      <c r="AD142" s="10">
        <v>-21.45</v>
      </c>
      <c r="AE142" s="9">
        <v>78.89</v>
      </c>
    </row>
    <row r="143" spans="1:31" x14ac:dyDescent="0.25">
      <c r="A143" s="4" t="s">
        <v>243</v>
      </c>
      <c r="B143" s="9">
        <v>1602</v>
      </c>
      <c r="C143" s="9">
        <v>1633</v>
      </c>
      <c r="D143" s="9">
        <v>1655</v>
      </c>
      <c r="E143" s="9">
        <v>2875</v>
      </c>
      <c r="F143" s="9">
        <v>11530</v>
      </c>
      <c r="G143" s="9">
        <v>3285.53</v>
      </c>
      <c r="H143" s="9">
        <v>3541.73</v>
      </c>
      <c r="I143" s="9">
        <v>3539.03</v>
      </c>
      <c r="J143" s="9">
        <v>3573.6</v>
      </c>
      <c r="K143" s="9">
        <v>13828.16</v>
      </c>
      <c r="L143" s="9">
        <v>3865.15</v>
      </c>
      <c r="M143" s="9">
        <v>3971.92</v>
      </c>
      <c r="N143" s="9">
        <v>3921.1</v>
      </c>
      <c r="O143" s="9">
        <v>3939.16</v>
      </c>
      <c r="P143" s="9">
        <v>14908.44</v>
      </c>
      <c r="Q143" s="9">
        <v>3869.82</v>
      </c>
      <c r="R143" s="9">
        <v>4039.63</v>
      </c>
      <c r="S143" s="9">
        <v>3901.5</v>
      </c>
      <c r="T143" s="9">
        <v>3888.31</v>
      </c>
      <c r="U143" s="9">
        <v>15214.29</v>
      </c>
      <c r="V143" s="9">
        <v>4143.75</v>
      </c>
      <c r="W143" s="9">
        <v>4404.1400000000003</v>
      </c>
      <c r="X143" s="9">
        <v>4120.9799999999996</v>
      </c>
      <c r="Y143" s="9">
        <v>4145.62</v>
      </c>
      <c r="Z143" s="9">
        <v>15722.07</v>
      </c>
      <c r="AA143" s="9">
        <v>4199.66</v>
      </c>
      <c r="AB143" s="9">
        <v>4502.82</v>
      </c>
      <c r="AC143" s="9">
        <v>4177.8999999999996</v>
      </c>
      <c r="AD143" s="9">
        <v>4201.38</v>
      </c>
      <c r="AE143" s="9">
        <v>16021.95</v>
      </c>
    </row>
    <row r="144" spans="1:31" x14ac:dyDescent="0.25">
      <c r="A144" s="3" t="s">
        <v>244</v>
      </c>
      <c r="B144" s="8" t="s">
        <v>66</v>
      </c>
      <c r="C144" s="8" t="s">
        <v>66</v>
      </c>
      <c r="D144" s="8" t="s">
        <v>66</v>
      </c>
      <c r="E144" s="8" t="s">
        <v>66</v>
      </c>
      <c r="F144" s="8" t="s">
        <v>66</v>
      </c>
      <c r="G144" s="8" t="s">
        <v>66</v>
      </c>
      <c r="H144" s="8" t="s">
        <v>66</v>
      </c>
      <c r="I144" s="8" t="s">
        <v>66</v>
      </c>
      <c r="J144" s="8" t="s">
        <v>66</v>
      </c>
      <c r="K144" s="8" t="s">
        <v>66</v>
      </c>
      <c r="L144" s="8" t="s">
        <v>66</v>
      </c>
      <c r="M144" s="8" t="s">
        <v>66</v>
      </c>
      <c r="N144" s="8" t="s">
        <v>66</v>
      </c>
      <c r="O144" s="8" t="s">
        <v>66</v>
      </c>
      <c r="P144" s="8" t="s">
        <v>66</v>
      </c>
      <c r="Q144" s="8" t="s">
        <v>66</v>
      </c>
      <c r="R144" s="8" t="s">
        <v>66</v>
      </c>
      <c r="S144" s="8" t="s">
        <v>66</v>
      </c>
      <c r="T144" s="8" t="s">
        <v>66</v>
      </c>
      <c r="U144" s="8" t="s">
        <v>66</v>
      </c>
      <c r="V144" s="8" t="s">
        <v>66</v>
      </c>
      <c r="W144" s="8" t="s">
        <v>66</v>
      </c>
      <c r="X144" s="8" t="s">
        <v>66</v>
      </c>
      <c r="Y144" s="8" t="s">
        <v>66</v>
      </c>
      <c r="Z144" s="8" t="s">
        <v>66</v>
      </c>
      <c r="AA144" s="8" t="s">
        <v>66</v>
      </c>
      <c r="AB144" s="8" t="s">
        <v>66</v>
      </c>
      <c r="AC144" s="8" t="s">
        <v>66</v>
      </c>
      <c r="AD144" s="8" t="s">
        <v>66</v>
      </c>
      <c r="AE144" s="8" t="s">
        <v>66</v>
      </c>
    </row>
    <row r="145" spans="1:31" x14ac:dyDescent="0.25">
      <c r="A145" s="4" t="s">
        <v>245</v>
      </c>
      <c r="B145" s="9">
        <v>18801</v>
      </c>
      <c r="C145" s="9">
        <v>19002</v>
      </c>
      <c r="D145" s="9">
        <v>19096</v>
      </c>
      <c r="E145" s="9">
        <v>20248</v>
      </c>
      <c r="F145" s="9">
        <v>80912</v>
      </c>
      <c r="G145" s="9">
        <v>20435.28</v>
      </c>
      <c r="H145" s="9">
        <v>20848.7</v>
      </c>
      <c r="I145" s="9">
        <v>20955.93</v>
      </c>
      <c r="J145" s="9">
        <v>21111.35</v>
      </c>
      <c r="K145" s="9">
        <v>83168.17</v>
      </c>
      <c r="L145" s="9">
        <v>21264.02</v>
      </c>
      <c r="M145" s="9">
        <v>21476.27</v>
      </c>
      <c r="N145" s="9">
        <v>21523.93</v>
      </c>
      <c r="O145" s="9">
        <v>21639.13</v>
      </c>
      <c r="P145" s="9">
        <v>85306.9</v>
      </c>
      <c r="Q145" s="9">
        <v>21349.91</v>
      </c>
      <c r="R145" s="9">
        <v>21664.65</v>
      </c>
      <c r="S145" s="9">
        <v>21627.06</v>
      </c>
      <c r="T145" s="9">
        <v>21704.63</v>
      </c>
      <c r="U145" s="9">
        <v>87029.73</v>
      </c>
      <c r="V145" s="9">
        <v>21750.49</v>
      </c>
      <c r="W145" s="9">
        <v>22132.28</v>
      </c>
      <c r="X145" s="9">
        <v>21928.080000000002</v>
      </c>
      <c r="Y145" s="9">
        <v>22083.24</v>
      </c>
      <c r="Z145" s="9">
        <v>88698.13</v>
      </c>
      <c r="AA145" s="9">
        <v>21928.98</v>
      </c>
      <c r="AB145" s="9">
        <v>22347.35</v>
      </c>
      <c r="AC145" s="9">
        <v>22098.41</v>
      </c>
      <c r="AD145" s="9">
        <v>22250.52</v>
      </c>
      <c r="AE145" s="9">
        <v>89817.54</v>
      </c>
    </row>
    <row r="146" spans="1:31" x14ac:dyDescent="0.25">
      <c r="A146" s="3" t="s">
        <v>246</v>
      </c>
      <c r="B146" s="9">
        <v>4532</v>
      </c>
      <c r="C146" s="9">
        <v>5369</v>
      </c>
      <c r="D146" s="9">
        <v>4766</v>
      </c>
      <c r="E146" s="9">
        <v>7112</v>
      </c>
      <c r="F146" s="9">
        <v>21779</v>
      </c>
      <c r="G146" s="9">
        <v>4824</v>
      </c>
      <c r="H146" s="9">
        <v>4178</v>
      </c>
      <c r="I146" s="9">
        <v>4778.46</v>
      </c>
      <c r="J146" s="9">
        <v>6978.87</v>
      </c>
      <c r="K146" s="9">
        <v>21481.4</v>
      </c>
      <c r="L146" s="9">
        <v>5045.6400000000003</v>
      </c>
      <c r="M146" s="9">
        <v>5066.07</v>
      </c>
      <c r="N146" s="9">
        <v>4824.3999999999996</v>
      </c>
      <c r="O146" s="9">
        <v>7190.74</v>
      </c>
      <c r="P146" s="9">
        <v>22419.81</v>
      </c>
      <c r="Q146" s="9">
        <v>5277.6</v>
      </c>
      <c r="R146" s="9">
        <v>5284.66</v>
      </c>
      <c r="S146" s="9">
        <v>4929.8999999999996</v>
      </c>
      <c r="T146" s="9">
        <v>7508.37</v>
      </c>
      <c r="U146" s="9">
        <v>23249.09</v>
      </c>
      <c r="V146" s="9">
        <v>5309</v>
      </c>
      <c r="W146" s="9">
        <v>4707.6499999999996</v>
      </c>
      <c r="X146" s="9">
        <v>4782.18</v>
      </c>
      <c r="Y146" s="9">
        <v>7030.12</v>
      </c>
      <c r="Z146" s="9">
        <v>23109.25</v>
      </c>
      <c r="AA146" s="9">
        <v>5398.91</v>
      </c>
      <c r="AB146" s="9">
        <v>4786.25</v>
      </c>
      <c r="AC146" s="9">
        <v>4859.58</v>
      </c>
      <c r="AD146" s="9">
        <v>7150.06</v>
      </c>
      <c r="AE146" s="9">
        <v>23550.12</v>
      </c>
    </row>
    <row r="147" spans="1:31" x14ac:dyDescent="0.25">
      <c r="A147" s="3" t="s">
        <v>247</v>
      </c>
      <c r="B147" s="9">
        <v>2285</v>
      </c>
      <c r="C147" s="9">
        <v>2277</v>
      </c>
      <c r="D147" s="9">
        <v>2243</v>
      </c>
      <c r="E147" s="9">
        <v>1076</v>
      </c>
      <c r="F147" s="9">
        <v>4116</v>
      </c>
      <c r="G147" s="9">
        <v>1281.92</v>
      </c>
      <c r="H147" s="9">
        <v>1189.3499999999999</v>
      </c>
      <c r="I147" s="9">
        <v>1242.7</v>
      </c>
      <c r="J147" s="9">
        <v>1313.27</v>
      </c>
      <c r="K147" s="9">
        <v>4979.3500000000004</v>
      </c>
      <c r="L147" s="9">
        <v>1030.52</v>
      </c>
      <c r="M147" s="9">
        <v>1029.97</v>
      </c>
      <c r="N147" s="9">
        <v>1013.15</v>
      </c>
      <c r="O147" s="9">
        <v>1077.1300000000001</v>
      </c>
      <c r="P147" s="9">
        <v>4877.78</v>
      </c>
      <c r="Q147" s="9">
        <v>1090.04</v>
      </c>
      <c r="R147" s="9">
        <v>1085.96</v>
      </c>
      <c r="S147" s="9">
        <v>1069.3399999999999</v>
      </c>
      <c r="T147" s="9">
        <v>1143.32</v>
      </c>
      <c r="U147" s="9">
        <v>4282.6499999999996</v>
      </c>
      <c r="V147" s="9">
        <v>1084.02</v>
      </c>
      <c r="W147" s="9">
        <v>1080.42</v>
      </c>
      <c r="X147" s="9">
        <v>1063.42</v>
      </c>
      <c r="Y147" s="9">
        <v>1132.72</v>
      </c>
      <c r="Z147" s="9">
        <v>5212.03</v>
      </c>
      <c r="AA147" s="9">
        <v>1090.46</v>
      </c>
      <c r="AB147" s="9">
        <v>1089.58</v>
      </c>
      <c r="AC147" s="9">
        <v>1069.93</v>
      </c>
      <c r="AD147" s="9">
        <v>1139.55</v>
      </c>
      <c r="AE147" s="9">
        <v>5247.11</v>
      </c>
    </row>
    <row r="148" spans="1:31" x14ac:dyDescent="0.25">
      <c r="A148" s="4" t="s">
        <v>248</v>
      </c>
      <c r="B148" s="9">
        <v>25618</v>
      </c>
      <c r="C148" s="9">
        <v>26648</v>
      </c>
      <c r="D148" s="9">
        <v>26105</v>
      </c>
      <c r="E148" s="9">
        <v>28436</v>
      </c>
      <c r="F148" s="9">
        <v>106807</v>
      </c>
      <c r="G148" s="9">
        <v>26453</v>
      </c>
      <c r="H148" s="9">
        <v>26242</v>
      </c>
      <c r="I148" s="9">
        <v>26901.66</v>
      </c>
      <c r="J148" s="9">
        <v>29297.33</v>
      </c>
      <c r="K148" s="9">
        <v>109199.99</v>
      </c>
      <c r="L148" s="9">
        <v>27260.45</v>
      </c>
      <c r="M148" s="9">
        <v>27452.45</v>
      </c>
      <c r="N148" s="9">
        <v>27365.61</v>
      </c>
      <c r="O148" s="9">
        <v>29899.88</v>
      </c>
      <c r="P148" s="9">
        <v>111777.76</v>
      </c>
      <c r="Q148" s="9">
        <v>27859.95</v>
      </c>
      <c r="R148" s="9">
        <v>28078.080000000002</v>
      </c>
      <c r="S148" s="9">
        <v>27814.54</v>
      </c>
      <c r="T148" s="9">
        <v>30452.560000000001</v>
      </c>
      <c r="U148" s="9">
        <v>113914.48</v>
      </c>
      <c r="V148" s="9">
        <v>28134.02</v>
      </c>
      <c r="W148" s="9">
        <v>27892.22</v>
      </c>
      <c r="X148" s="9">
        <v>27893.33</v>
      </c>
      <c r="Y148" s="9">
        <v>30291.06</v>
      </c>
      <c r="Z148" s="9">
        <v>115768.21</v>
      </c>
      <c r="AA148" s="9">
        <v>28473.62</v>
      </c>
      <c r="AB148" s="9">
        <v>28254.1</v>
      </c>
      <c r="AC148" s="9">
        <v>28220.46</v>
      </c>
      <c r="AD148" s="9">
        <v>30652.32</v>
      </c>
      <c r="AE148" s="9">
        <v>117513.61</v>
      </c>
    </row>
    <row r="149" spans="1:31" x14ac:dyDescent="0.25">
      <c r="A149" s="3" t="s">
        <v>249</v>
      </c>
      <c r="B149" s="9">
        <v>4574</v>
      </c>
      <c r="C149" s="9">
        <v>4581</v>
      </c>
      <c r="D149" s="9">
        <v>4635</v>
      </c>
      <c r="E149" s="9">
        <v>4643</v>
      </c>
      <c r="F149" s="9">
        <v>18433</v>
      </c>
      <c r="G149" s="9">
        <v>4820</v>
      </c>
      <c r="H149" s="9">
        <v>4928</v>
      </c>
      <c r="I149" s="9">
        <v>4813.24</v>
      </c>
      <c r="J149" s="9">
        <v>4832.84</v>
      </c>
      <c r="K149" s="9">
        <v>19328.05</v>
      </c>
      <c r="L149" s="9">
        <v>4824.5600000000004</v>
      </c>
      <c r="M149" s="9">
        <v>4806.68</v>
      </c>
      <c r="N149" s="9">
        <v>4806.46</v>
      </c>
      <c r="O149" s="9">
        <v>4868.49</v>
      </c>
      <c r="P149" s="9">
        <v>19362.53</v>
      </c>
      <c r="Q149" s="9">
        <v>4733.83</v>
      </c>
      <c r="R149" s="9">
        <v>4813.5200000000004</v>
      </c>
      <c r="S149" s="9">
        <v>4739.33</v>
      </c>
      <c r="T149" s="9">
        <v>4799.49</v>
      </c>
      <c r="U149" s="9">
        <v>19608.64</v>
      </c>
      <c r="V149" s="9">
        <v>4876.32</v>
      </c>
      <c r="W149" s="9">
        <v>4983.68</v>
      </c>
      <c r="X149" s="9">
        <v>4854.68</v>
      </c>
      <c r="Y149" s="9">
        <v>4933.6899999999996</v>
      </c>
      <c r="Z149" s="9">
        <v>20073.099999999999</v>
      </c>
      <c r="AA149" s="9">
        <v>4892.88</v>
      </c>
      <c r="AB149" s="9">
        <v>5016.92</v>
      </c>
      <c r="AC149" s="9">
        <v>4873.24</v>
      </c>
      <c r="AD149" s="9">
        <v>4951.8</v>
      </c>
      <c r="AE149" s="9">
        <v>20214.79</v>
      </c>
    </row>
    <row r="150" spans="1:31" x14ac:dyDescent="0.25">
      <c r="A150" s="3" t="s">
        <v>250</v>
      </c>
      <c r="B150" s="9">
        <v>4912</v>
      </c>
      <c r="C150" s="9">
        <v>5806</v>
      </c>
      <c r="D150" s="9">
        <v>5270</v>
      </c>
      <c r="E150" s="9">
        <v>7942</v>
      </c>
      <c r="F150" s="9">
        <v>23930</v>
      </c>
      <c r="G150" s="9">
        <v>5303</v>
      </c>
      <c r="H150" s="9">
        <v>4658</v>
      </c>
      <c r="I150" s="9">
        <v>5207.09</v>
      </c>
      <c r="J150" s="9">
        <v>7662.28</v>
      </c>
      <c r="K150" s="9">
        <v>23075.18</v>
      </c>
      <c r="L150" s="9">
        <v>5538.32</v>
      </c>
      <c r="M150" s="9">
        <v>5267.01</v>
      </c>
      <c r="N150" s="9">
        <v>5296.22</v>
      </c>
      <c r="O150" s="9">
        <v>7928.1</v>
      </c>
      <c r="P150" s="9">
        <v>23934.5</v>
      </c>
      <c r="Q150" s="9">
        <v>5827.62</v>
      </c>
      <c r="R150" s="9">
        <v>5677.83</v>
      </c>
      <c r="S150" s="9">
        <v>5342.65</v>
      </c>
      <c r="T150" s="9">
        <v>8182.3</v>
      </c>
      <c r="U150" s="9">
        <v>24449.83</v>
      </c>
      <c r="V150" s="9">
        <v>5852.98</v>
      </c>
      <c r="W150" s="9">
        <v>5212.21</v>
      </c>
      <c r="X150" s="9">
        <v>5250.34</v>
      </c>
      <c r="Y150" s="9">
        <v>7792.66</v>
      </c>
      <c r="Z150" s="9">
        <v>24390.93</v>
      </c>
      <c r="AA150" s="9">
        <v>5968.77</v>
      </c>
      <c r="AB150" s="9">
        <v>5313.58</v>
      </c>
      <c r="AC150" s="9">
        <v>5350.27</v>
      </c>
      <c r="AD150" s="9">
        <v>7947.81</v>
      </c>
      <c r="AE150" s="9">
        <v>24839.83</v>
      </c>
    </row>
    <row r="151" spans="1:31" x14ac:dyDescent="0.25">
      <c r="A151" s="4" t="s">
        <v>251</v>
      </c>
      <c r="B151" s="9">
        <v>9486</v>
      </c>
      <c r="C151" s="9">
        <v>10387</v>
      </c>
      <c r="D151" s="9">
        <v>9905</v>
      </c>
      <c r="E151" s="9">
        <v>12585</v>
      </c>
      <c r="F151" s="9">
        <v>42363</v>
      </c>
      <c r="G151" s="9">
        <v>10123</v>
      </c>
      <c r="H151" s="9">
        <v>9586</v>
      </c>
      <c r="I151" s="9">
        <v>10020.33</v>
      </c>
      <c r="J151" s="9">
        <v>12495.12</v>
      </c>
      <c r="K151" s="9">
        <v>42403.23</v>
      </c>
      <c r="L151" s="9">
        <v>10362.879999999999</v>
      </c>
      <c r="M151" s="9">
        <v>10073.68</v>
      </c>
      <c r="N151" s="9">
        <v>10102.68</v>
      </c>
      <c r="O151" s="9">
        <v>12796.59</v>
      </c>
      <c r="P151" s="9">
        <v>43297.03</v>
      </c>
      <c r="Q151" s="9">
        <v>10561.45</v>
      </c>
      <c r="R151" s="9">
        <v>10491.34</v>
      </c>
      <c r="S151" s="9">
        <v>10081.98</v>
      </c>
      <c r="T151" s="9">
        <v>12981.78</v>
      </c>
      <c r="U151" s="9">
        <v>44058.47</v>
      </c>
      <c r="V151" s="9">
        <v>10729.31</v>
      </c>
      <c r="W151" s="9">
        <v>10195.89</v>
      </c>
      <c r="X151" s="9">
        <v>10105.01</v>
      </c>
      <c r="Y151" s="9">
        <v>12726.35</v>
      </c>
      <c r="Z151" s="9">
        <v>44464.04</v>
      </c>
      <c r="AA151" s="9">
        <v>10861.65</v>
      </c>
      <c r="AB151" s="9">
        <v>10330.5</v>
      </c>
      <c r="AC151" s="9">
        <v>10223.51</v>
      </c>
      <c r="AD151" s="9">
        <v>12899.61</v>
      </c>
      <c r="AE151" s="9">
        <v>45054.62</v>
      </c>
    </row>
    <row r="152" spans="1:31" x14ac:dyDescent="0.25">
      <c r="A152" s="4" t="s">
        <v>252</v>
      </c>
      <c r="B152" s="9">
        <v>16132</v>
      </c>
      <c r="C152" s="9">
        <v>16261</v>
      </c>
      <c r="D152" s="9">
        <v>16200</v>
      </c>
      <c r="E152" s="9">
        <v>15851</v>
      </c>
      <c r="F152" s="9">
        <v>64444</v>
      </c>
      <c r="G152" s="9">
        <v>16330</v>
      </c>
      <c r="H152" s="9">
        <v>16656</v>
      </c>
      <c r="I152" s="9">
        <v>16668.37</v>
      </c>
      <c r="J152" s="9">
        <v>16624.330000000002</v>
      </c>
      <c r="K152" s="9">
        <v>66484.25</v>
      </c>
      <c r="L152" s="9">
        <v>16649.28</v>
      </c>
      <c r="M152" s="9">
        <v>17152.189999999999</v>
      </c>
      <c r="N152" s="9">
        <v>16894.34</v>
      </c>
      <c r="O152" s="9">
        <v>16840.21</v>
      </c>
      <c r="P152" s="9">
        <v>67773.23</v>
      </c>
      <c r="Q152" s="9">
        <v>16764.150000000001</v>
      </c>
      <c r="R152" s="9">
        <v>17234.54</v>
      </c>
      <c r="S152" s="9">
        <v>17004.62</v>
      </c>
      <c r="T152" s="9">
        <v>17007.64</v>
      </c>
      <c r="U152" s="9">
        <v>69040.63</v>
      </c>
      <c r="V152" s="9">
        <v>17414.21</v>
      </c>
      <c r="W152" s="9">
        <v>17724.47</v>
      </c>
      <c r="X152" s="9">
        <v>17668.669999999998</v>
      </c>
      <c r="Y152" s="9">
        <v>17519.72</v>
      </c>
      <c r="Z152" s="9">
        <v>71421.820000000007</v>
      </c>
      <c r="AA152" s="9">
        <v>17556.71</v>
      </c>
      <c r="AB152" s="9">
        <v>17892.689999999999</v>
      </c>
      <c r="AC152" s="9">
        <v>17804.41</v>
      </c>
      <c r="AD152" s="9">
        <v>17640.52</v>
      </c>
      <c r="AE152" s="9">
        <v>72533.03</v>
      </c>
    </row>
    <row r="153" spans="1:31" x14ac:dyDescent="0.25">
      <c r="A153" s="4" t="s">
        <v>253</v>
      </c>
      <c r="B153" s="9">
        <v>5165</v>
      </c>
      <c r="C153" s="9">
        <v>5036</v>
      </c>
      <c r="D153" s="9">
        <v>4968</v>
      </c>
      <c r="E153" s="9">
        <v>5474</v>
      </c>
      <c r="F153" s="9">
        <v>20643</v>
      </c>
      <c r="G153" s="9">
        <v>4886</v>
      </c>
      <c r="H153" s="9">
        <v>4837</v>
      </c>
      <c r="I153" s="9">
        <v>4968.3900000000003</v>
      </c>
      <c r="J153" s="9">
        <v>5480.98</v>
      </c>
      <c r="K153" s="9">
        <v>20193.509999999998</v>
      </c>
      <c r="L153" s="9">
        <v>5002.6000000000004</v>
      </c>
      <c r="M153" s="9">
        <v>4934.42</v>
      </c>
      <c r="N153" s="9">
        <v>5037.13</v>
      </c>
      <c r="O153" s="9">
        <v>5603.44</v>
      </c>
      <c r="P153" s="9">
        <v>20418.330000000002</v>
      </c>
      <c r="Q153" s="9">
        <v>4972.74</v>
      </c>
      <c r="R153" s="9">
        <v>4901.1499999999996</v>
      </c>
      <c r="S153" s="9">
        <v>4942.37</v>
      </c>
      <c r="T153" s="9">
        <v>5448.48</v>
      </c>
      <c r="U153" s="9">
        <v>20316.63</v>
      </c>
      <c r="V153" s="9">
        <v>4874.05</v>
      </c>
      <c r="W153" s="9">
        <v>4816.63</v>
      </c>
      <c r="X153" s="9">
        <v>4892.5</v>
      </c>
      <c r="Y153" s="9">
        <v>5403.84</v>
      </c>
      <c r="Z153" s="9">
        <v>20510.28</v>
      </c>
      <c r="AA153" s="9">
        <v>4850.8500000000004</v>
      </c>
      <c r="AB153" s="9">
        <v>4795.17</v>
      </c>
      <c r="AC153" s="9">
        <v>4864.41</v>
      </c>
      <c r="AD153" s="9">
        <v>5384.08</v>
      </c>
      <c r="AE153" s="9">
        <v>20623.580000000002</v>
      </c>
    </row>
    <row r="154" spans="1:31" x14ac:dyDescent="0.25">
      <c r="A154" s="4" t="s">
        <v>254</v>
      </c>
      <c r="B154" s="9">
        <v>14651</v>
      </c>
      <c r="C154" s="9">
        <v>15423</v>
      </c>
      <c r="D154" s="9">
        <v>14873</v>
      </c>
      <c r="E154" s="9">
        <v>18059</v>
      </c>
      <c r="F154" s="9">
        <v>63006</v>
      </c>
      <c r="G154" s="9">
        <v>15009</v>
      </c>
      <c r="H154" s="9">
        <v>14423</v>
      </c>
      <c r="I154" s="9">
        <v>15352.21</v>
      </c>
      <c r="J154" s="9">
        <v>18347.23</v>
      </c>
      <c r="K154" s="9">
        <v>63345.75</v>
      </c>
      <c r="L154" s="9">
        <v>15911.84</v>
      </c>
      <c r="M154" s="9">
        <v>15498.8</v>
      </c>
      <c r="N154" s="9">
        <v>15734.66</v>
      </c>
      <c r="O154" s="9">
        <v>18878.16</v>
      </c>
      <c r="P154" s="9">
        <v>65085.96</v>
      </c>
      <c r="Q154" s="9">
        <v>16476.53</v>
      </c>
      <c r="R154" s="9">
        <v>16277.59</v>
      </c>
      <c r="S154" s="9">
        <v>16157.96</v>
      </c>
      <c r="T154" s="9">
        <v>19305.48</v>
      </c>
      <c r="U154" s="9">
        <v>65974.06</v>
      </c>
      <c r="V154" s="9">
        <v>15603.36</v>
      </c>
      <c r="W154" s="9">
        <v>15012.52</v>
      </c>
      <c r="X154" s="9">
        <v>14997.52</v>
      </c>
      <c r="Y154" s="9">
        <v>18130.189999999999</v>
      </c>
      <c r="Z154" s="9">
        <v>64974.32</v>
      </c>
      <c r="AA154" s="9">
        <v>15712.49</v>
      </c>
      <c r="AB154" s="9">
        <v>15125.67</v>
      </c>
      <c r="AC154" s="9">
        <v>15087.92</v>
      </c>
      <c r="AD154" s="9">
        <v>18283.689999999999</v>
      </c>
      <c r="AE154" s="9">
        <v>65678.2</v>
      </c>
    </row>
    <row r="155" spans="1:31" x14ac:dyDescent="0.25">
      <c r="A155" s="4" t="s">
        <v>255</v>
      </c>
      <c r="B155" s="9">
        <v>3543</v>
      </c>
      <c r="C155" s="9">
        <v>3582</v>
      </c>
      <c r="D155" s="9">
        <v>3568</v>
      </c>
      <c r="E155" s="9">
        <v>3480</v>
      </c>
      <c r="F155" s="9">
        <v>14173</v>
      </c>
      <c r="G155" s="9">
        <v>3730</v>
      </c>
      <c r="H155" s="9">
        <v>3787</v>
      </c>
      <c r="I155" s="9">
        <v>3803.21</v>
      </c>
      <c r="J155" s="9">
        <v>3851.47</v>
      </c>
      <c r="K155" s="9">
        <v>15134.07</v>
      </c>
      <c r="L155" s="9">
        <v>3834.37</v>
      </c>
      <c r="M155" s="9">
        <v>3850.11</v>
      </c>
      <c r="N155" s="9">
        <v>3888.79</v>
      </c>
      <c r="O155" s="9">
        <v>3895.28</v>
      </c>
      <c r="P155" s="9">
        <v>15331.01</v>
      </c>
      <c r="Q155" s="9">
        <v>3858.03</v>
      </c>
      <c r="R155" s="9">
        <v>3893.17</v>
      </c>
      <c r="S155" s="9">
        <v>3945.76</v>
      </c>
      <c r="T155" s="9">
        <v>3877.83</v>
      </c>
      <c r="U155" s="9">
        <v>15513.17</v>
      </c>
      <c r="V155" s="9">
        <v>3855.64</v>
      </c>
      <c r="W155" s="9">
        <v>3878.8</v>
      </c>
      <c r="X155" s="9">
        <v>3971.52</v>
      </c>
      <c r="Y155" s="9">
        <v>3917.13</v>
      </c>
      <c r="Z155" s="9">
        <v>15686.79</v>
      </c>
      <c r="AA155" s="9">
        <v>3883.14</v>
      </c>
      <c r="AB155" s="9">
        <v>3906.75</v>
      </c>
      <c r="AC155" s="9">
        <v>4001.46</v>
      </c>
      <c r="AD155" s="9">
        <v>3945.82</v>
      </c>
      <c r="AE155" s="9">
        <v>15885.24</v>
      </c>
    </row>
    <row r="156" spans="1:31" x14ac:dyDescent="0.25">
      <c r="A156" s="4" t="s">
        <v>256</v>
      </c>
      <c r="B156" s="9">
        <v>18194</v>
      </c>
      <c r="C156" s="9">
        <v>19005</v>
      </c>
      <c r="D156" s="9">
        <v>18441</v>
      </c>
      <c r="E156" s="9">
        <v>21539</v>
      </c>
      <c r="F156" s="9">
        <v>77179</v>
      </c>
      <c r="G156" s="9">
        <v>18739</v>
      </c>
      <c r="H156" s="9">
        <v>18210</v>
      </c>
      <c r="I156" s="9">
        <v>18824.61</v>
      </c>
      <c r="J156" s="9">
        <v>21789.43</v>
      </c>
      <c r="K156" s="9">
        <v>77615.649999999994</v>
      </c>
      <c r="L156" s="9">
        <v>19115.53</v>
      </c>
      <c r="M156" s="9">
        <v>18625.349999999999</v>
      </c>
      <c r="N156" s="9">
        <v>19057.400000000001</v>
      </c>
      <c r="O156" s="9">
        <v>22243.599999999999</v>
      </c>
      <c r="P156" s="9">
        <v>78812.34</v>
      </c>
      <c r="Q156" s="9">
        <v>19136.86</v>
      </c>
      <c r="R156" s="9">
        <v>18792.37</v>
      </c>
      <c r="S156" s="9">
        <v>18926.16</v>
      </c>
      <c r="T156" s="9">
        <v>21825.599999999999</v>
      </c>
      <c r="U156" s="9">
        <v>79596.69</v>
      </c>
      <c r="V156" s="9">
        <v>19216.259999999998</v>
      </c>
      <c r="W156" s="9">
        <v>18886.689999999999</v>
      </c>
      <c r="X156" s="9">
        <v>18991.330000000002</v>
      </c>
      <c r="Y156" s="9">
        <v>21936.94</v>
      </c>
      <c r="Z156" s="9">
        <v>80723.31</v>
      </c>
      <c r="AA156" s="9">
        <v>19317.169999999998</v>
      </c>
      <c r="AB156" s="9">
        <v>19009.88</v>
      </c>
      <c r="AC156" s="9">
        <v>19082.14</v>
      </c>
      <c r="AD156" s="9">
        <v>22072.51</v>
      </c>
      <c r="AE156" s="9">
        <v>81623.210000000006</v>
      </c>
    </row>
    <row r="157" spans="1:31" x14ac:dyDescent="0.25">
      <c r="A157" s="4" t="s">
        <v>257</v>
      </c>
      <c r="B157" s="9">
        <v>10967</v>
      </c>
      <c r="C157" s="9">
        <v>11225</v>
      </c>
      <c r="D157" s="9">
        <v>11232</v>
      </c>
      <c r="E157" s="9">
        <v>10377</v>
      </c>
      <c r="F157" s="9">
        <v>43801</v>
      </c>
      <c r="G157" s="9">
        <v>11444</v>
      </c>
      <c r="H157" s="9">
        <v>11819</v>
      </c>
      <c r="I157" s="9">
        <v>11909.74</v>
      </c>
      <c r="J157" s="9">
        <v>11290.35</v>
      </c>
      <c r="K157" s="9">
        <v>46445.49</v>
      </c>
      <c r="L157" s="9">
        <v>12034.46</v>
      </c>
      <c r="M157" s="9">
        <v>12240.79</v>
      </c>
      <c r="N157" s="9">
        <v>12240.99</v>
      </c>
      <c r="O157" s="9">
        <v>11521.95</v>
      </c>
      <c r="P157" s="9">
        <v>48063.77</v>
      </c>
      <c r="Q157" s="9">
        <v>12357.17</v>
      </c>
      <c r="R157" s="9">
        <v>12713.15</v>
      </c>
      <c r="S157" s="9">
        <v>12670.33</v>
      </c>
      <c r="T157" s="9">
        <v>11985.21</v>
      </c>
      <c r="U157" s="9">
        <v>49515.98</v>
      </c>
      <c r="V157" s="9">
        <v>12540.15</v>
      </c>
      <c r="W157" s="9">
        <v>12907.83</v>
      </c>
      <c r="X157" s="9">
        <v>12776.16</v>
      </c>
      <c r="Y157" s="9">
        <v>12115.88</v>
      </c>
      <c r="Z157" s="9">
        <v>50911.54</v>
      </c>
      <c r="AA157" s="9">
        <v>12705.87</v>
      </c>
      <c r="AB157" s="9">
        <v>13097.51</v>
      </c>
      <c r="AC157" s="9">
        <v>12940</v>
      </c>
      <c r="AD157" s="9">
        <v>12256.44</v>
      </c>
      <c r="AE157" s="9">
        <v>51909.45</v>
      </c>
    </row>
    <row r="158" spans="1:31" x14ac:dyDescent="0.25">
      <c r="A158" s="4" t="s">
        <v>258</v>
      </c>
      <c r="B158" s="9">
        <v>7424</v>
      </c>
      <c r="C158" s="9">
        <v>7643</v>
      </c>
      <c r="D158" s="9">
        <v>7664</v>
      </c>
      <c r="E158" s="9">
        <v>6897</v>
      </c>
      <c r="F158" s="9">
        <v>29628</v>
      </c>
      <c r="G158" s="9">
        <v>7714</v>
      </c>
      <c r="H158" s="9">
        <v>8032</v>
      </c>
      <c r="I158" s="9">
        <v>8060.29</v>
      </c>
      <c r="J158" s="9">
        <v>7450.76</v>
      </c>
      <c r="K158" s="9">
        <v>31356.49</v>
      </c>
      <c r="L158" s="9">
        <v>8138.59</v>
      </c>
      <c r="M158" s="9">
        <v>8587.2900000000009</v>
      </c>
      <c r="N158" s="9">
        <v>8210.92</v>
      </c>
      <c r="O158" s="9">
        <v>7483.88</v>
      </c>
      <c r="P158" s="9">
        <v>32637.759999999998</v>
      </c>
      <c r="Q158" s="9">
        <v>8612.6</v>
      </c>
      <c r="R158" s="9">
        <v>8909.43</v>
      </c>
      <c r="S158" s="9">
        <v>8635.58</v>
      </c>
      <c r="T158" s="9">
        <v>8093.11</v>
      </c>
      <c r="U158" s="9">
        <v>34011.449999999997</v>
      </c>
      <c r="V158" s="9">
        <v>8870.9500000000007</v>
      </c>
      <c r="W158" s="9">
        <v>9206.82</v>
      </c>
      <c r="X158" s="9">
        <v>8896.61</v>
      </c>
      <c r="Y158" s="9">
        <v>8334.2900000000009</v>
      </c>
      <c r="Z158" s="9">
        <v>35419.74</v>
      </c>
      <c r="AA158" s="9">
        <v>9052.73</v>
      </c>
      <c r="AB158" s="9">
        <v>9420.9500000000007</v>
      </c>
      <c r="AC158" s="9">
        <v>9072.49</v>
      </c>
      <c r="AD158" s="9">
        <v>8493.0300000000007</v>
      </c>
      <c r="AE158" s="9">
        <v>36297.85</v>
      </c>
    </row>
    <row r="159" spans="1:31" x14ac:dyDescent="0.25">
      <c r="A159" s="4" t="s">
        <v>76</v>
      </c>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row>
    <row r="160" spans="1:31" x14ac:dyDescent="0.25">
      <c r="A160" s="4" t="s">
        <v>259</v>
      </c>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row>
    <row r="161" spans="1:31" x14ac:dyDescent="0.25">
      <c r="A161" s="3" t="s">
        <v>260</v>
      </c>
      <c r="B161" s="9">
        <v>1658</v>
      </c>
      <c r="C161" s="9">
        <v>1958</v>
      </c>
      <c r="D161" s="9">
        <v>2016</v>
      </c>
      <c r="E161" s="9">
        <v>2679</v>
      </c>
      <c r="F161" s="9">
        <v>8311</v>
      </c>
      <c r="G161" s="9">
        <v>1964.95</v>
      </c>
      <c r="H161" s="9">
        <v>1981.95</v>
      </c>
      <c r="I161" s="9">
        <v>2059.4899999999998</v>
      </c>
      <c r="J161" s="9">
        <v>2574.14</v>
      </c>
      <c r="K161" s="9">
        <v>8587.76</v>
      </c>
      <c r="L161" s="9">
        <v>1877.04</v>
      </c>
      <c r="M161" s="9">
        <v>1965.51</v>
      </c>
      <c r="N161" s="9">
        <v>2031.67</v>
      </c>
      <c r="O161" s="9">
        <v>2585.5300000000002</v>
      </c>
      <c r="P161" s="9">
        <v>8452.15</v>
      </c>
      <c r="Q161" s="9">
        <v>1899.95</v>
      </c>
      <c r="R161" s="9">
        <v>1902.24</v>
      </c>
      <c r="S161" s="9">
        <v>1974.93</v>
      </c>
      <c r="T161" s="9">
        <v>2517.61</v>
      </c>
      <c r="U161" s="9">
        <v>8414.82</v>
      </c>
      <c r="V161" s="9">
        <v>1845.24</v>
      </c>
      <c r="W161" s="9">
        <v>1812.46</v>
      </c>
      <c r="X161" s="9">
        <v>1889.57</v>
      </c>
      <c r="Y161" s="9">
        <v>2380.29</v>
      </c>
      <c r="Z161" s="9">
        <v>8299.01</v>
      </c>
      <c r="AA161" s="9">
        <v>1825.59</v>
      </c>
      <c r="AB161" s="9">
        <v>1794.25</v>
      </c>
      <c r="AC161" s="9">
        <v>1871.58</v>
      </c>
      <c r="AD161" s="9">
        <v>2360.9699999999998</v>
      </c>
      <c r="AE161" s="9">
        <v>8286.7900000000009</v>
      </c>
    </row>
    <row r="162" spans="1:31" x14ac:dyDescent="0.25">
      <c r="A162" s="3" t="s">
        <v>261</v>
      </c>
      <c r="B162" s="8" t="s">
        <v>262</v>
      </c>
      <c r="C162" s="8" t="s">
        <v>262</v>
      </c>
      <c r="D162" s="8" t="s">
        <v>263</v>
      </c>
      <c r="E162" s="8" t="s">
        <v>264</v>
      </c>
      <c r="F162" s="8" t="s">
        <v>263</v>
      </c>
      <c r="G162" s="8" t="s">
        <v>262</v>
      </c>
      <c r="H162" s="8" t="s">
        <v>265</v>
      </c>
      <c r="I162" s="8" t="s">
        <v>266</v>
      </c>
      <c r="J162" s="8" t="s">
        <v>262</v>
      </c>
      <c r="K162" s="8" t="s">
        <v>267</v>
      </c>
      <c r="L162" s="8" t="s">
        <v>266</v>
      </c>
      <c r="M162" s="8" t="s">
        <v>268</v>
      </c>
      <c r="N162" s="8" t="s">
        <v>269</v>
      </c>
      <c r="O162" s="8" t="s">
        <v>270</v>
      </c>
      <c r="P162" s="8" t="s">
        <v>269</v>
      </c>
      <c r="Q162" s="8" t="s">
        <v>267</v>
      </c>
      <c r="R162" s="8" t="s">
        <v>271</v>
      </c>
      <c r="S162" s="8" t="s">
        <v>272</v>
      </c>
      <c r="T162" s="8" t="s">
        <v>267</v>
      </c>
      <c r="U162" s="8" t="s">
        <v>269</v>
      </c>
      <c r="V162" s="8" t="s">
        <v>265</v>
      </c>
      <c r="W162" s="8" t="s">
        <v>273</v>
      </c>
      <c r="X162" s="8" t="s">
        <v>268</v>
      </c>
      <c r="Y162" s="8" t="s">
        <v>272</v>
      </c>
      <c r="Z162" s="8" t="s">
        <v>269</v>
      </c>
      <c r="AA162" s="8" t="s">
        <v>265</v>
      </c>
      <c r="AB162" s="8" t="s">
        <v>273</v>
      </c>
      <c r="AC162" s="8" t="s">
        <v>268</v>
      </c>
      <c r="AD162" s="8" t="s">
        <v>272</v>
      </c>
      <c r="AE162" s="8" t="s">
        <v>269</v>
      </c>
    </row>
    <row r="163" spans="1:31" x14ac:dyDescent="0.25">
      <c r="A163" s="3" t="s">
        <v>274</v>
      </c>
      <c r="B163" s="9">
        <v>2013.9</v>
      </c>
      <c r="C163" s="9">
        <v>2008.33</v>
      </c>
      <c r="D163" s="9">
        <v>2030.07</v>
      </c>
      <c r="E163" s="9">
        <v>2127.35</v>
      </c>
      <c r="F163" s="9">
        <v>8179.65</v>
      </c>
      <c r="G163" s="9">
        <v>2022.48</v>
      </c>
      <c r="H163" s="9">
        <v>1923.5</v>
      </c>
      <c r="I163" s="9">
        <v>1950.39</v>
      </c>
      <c r="J163" s="9">
        <v>2025.02</v>
      </c>
      <c r="K163" s="9">
        <v>7941.82</v>
      </c>
      <c r="L163" s="9">
        <v>1974.8</v>
      </c>
      <c r="M163" s="9">
        <v>1888.07</v>
      </c>
      <c r="N163" s="9">
        <v>1940.17</v>
      </c>
      <c r="O163" s="9">
        <v>2012.84</v>
      </c>
      <c r="P163" s="9">
        <v>7808.41</v>
      </c>
      <c r="Q163" s="9">
        <v>1998.8</v>
      </c>
      <c r="R163" s="9">
        <v>1869.94</v>
      </c>
      <c r="S163" s="9">
        <v>1934.4</v>
      </c>
      <c r="T163" s="9">
        <v>2003.64</v>
      </c>
      <c r="U163" s="9">
        <v>7856.26</v>
      </c>
      <c r="V163" s="9">
        <v>1934.98</v>
      </c>
      <c r="W163" s="9">
        <v>1833.68</v>
      </c>
      <c r="X163" s="9">
        <v>1901.47</v>
      </c>
      <c r="Y163" s="9">
        <v>1949.42</v>
      </c>
      <c r="Z163" s="9">
        <v>7845.74</v>
      </c>
      <c r="AA163" s="9">
        <v>1942.63</v>
      </c>
      <c r="AB163" s="9">
        <v>1840.23</v>
      </c>
      <c r="AC163" s="9">
        <v>1907.67</v>
      </c>
      <c r="AD163" s="9">
        <v>1955.22</v>
      </c>
      <c r="AE163" s="9">
        <v>7901.75</v>
      </c>
    </row>
    <row r="164" spans="1:31" x14ac:dyDescent="0.25">
      <c r="A164" s="4" t="s">
        <v>275</v>
      </c>
      <c r="B164" s="10">
        <v>-356</v>
      </c>
      <c r="C164" s="10">
        <v>-51</v>
      </c>
      <c r="D164" s="10">
        <v>-7</v>
      </c>
      <c r="E164" s="9">
        <v>551</v>
      </c>
      <c r="F164" s="9">
        <v>137</v>
      </c>
      <c r="G164" s="10">
        <v>-35</v>
      </c>
      <c r="H164" s="9">
        <v>57.04</v>
      </c>
      <c r="I164" s="9">
        <v>111.86</v>
      </c>
      <c r="J164" s="9">
        <v>556.24</v>
      </c>
      <c r="K164" s="9">
        <v>636.01</v>
      </c>
      <c r="L164" s="10">
        <v>-93.94</v>
      </c>
      <c r="M164" s="9">
        <v>65.099999999999994</v>
      </c>
      <c r="N164" s="9">
        <v>108.01</v>
      </c>
      <c r="O164" s="9">
        <v>571.58000000000004</v>
      </c>
      <c r="P164" s="9">
        <v>647.09</v>
      </c>
      <c r="Q164" s="10">
        <v>-99.31</v>
      </c>
      <c r="R164" s="9">
        <v>32.42</v>
      </c>
      <c r="S164" s="9">
        <v>40.61</v>
      </c>
      <c r="T164" s="9">
        <v>515.48</v>
      </c>
      <c r="U164" s="9">
        <v>569.09</v>
      </c>
      <c r="V164" s="10">
        <v>-89.74</v>
      </c>
      <c r="W164" s="10">
        <v>-21.22</v>
      </c>
      <c r="X164" s="10">
        <v>-11.9</v>
      </c>
      <c r="Y164" s="9">
        <v>430.87</v>
      </c>
      <c r="Z164" s="9">
        <v>453.27</v>
      </c>
      <c r="AA164" s="10">
        <v>-117.04</v>
      </c>
      <c r="AB164" s="10">
        <v>-45.98</v>
      </c>
      <c r="AC164" s="10">
        <v>-36.08</v>
      </c>
      <c r="AD164" s="9">
        <v>405.75</v>
      </c>
      <c r="AE164" s="9">
        <v>385.04</v>
      </c>
    </row>
    <row r="165" spans="1:31" x14ac:dyDescent="0.25">
      <c r="A165" s="3" t="s">
        <v>276</v>
      </c>
      <c r="B165" s="10">
        <v>-10</v>
      </c>
      <c r="C165" s="9">
        <v>4</v>
      </c>
      <c r="D165" s="9">
        <v>12</v>
      </c>
      <c r="E165" s="9">
        <v>9</v>
      </c>
      <c r="F165" s="9">
        <v>15</v>
      </c>
      <c r="G165" s="10">
        <v>-3</v>
      </c>
      <c r="H165" s="10">
        <v>-6</v>
      </c>
      <c r="I165" s="8" t="s">
        <v>66</v>
      </c>
      <c r="J165" s="8" t="s">
        <v>66</v>
      </c>
      <c r="K165" s="10">
        <v>-9</v>
      </c>
      <c r="L165" s="8" t="s">
        <v>66</v>
      </c>
      <c r="M165" s="8" t="s">
        <v>66</v>
      </c>
      <c r="N165" s="8" t="s">
        <v>66</v>
      </c>
      <c r="O165" s="8" t="s">
        <v>66</v>
      </c>
      <c r="P165" s="8" t="s">
        <v>66</v>
      </c>
      <c r="Q165" s="8" t="s">
        <v>66</v>
      </c>
      <c r="R165" s="8" t="s">
        <v>66</v>
      </c>
      <c r="S165" s="8" t="s">
        <v>66</v>
      </c>
      <c r="T165" s="8" t="s">
        <v>66</v>
      </c>
      <c r="U165" s="8" t="s">
        <v>66</v>
      </c>
      <c r="V165" s="8" t="s">
        <v>66</v>
      </c>
      <c r="W165" s="8" t="s">
        <v>66</v>
      </c>
      <c r="X165" s="8" t="s">
        <v>66</v>
      </c>
      <c r="Y165" s="8" t="s">
        <v>66</v>
      </c>
      <c r="Z165" s="8" t="s">
        <v>66</v>
      </c>
      <c r="AA165" s="8" t="s">
        <v>66</v>
      </c>
      <c r="AB165" s="8" t="s">
        <v>66</v>
      </c>
      <c r="AC165" s="8" t="s">
        <v>66</v>
      </c>
      <c r="AD165" s="8" t="s">
        <v>66</v>
      </c>
      <c r="AE165" s="8" t="s">
        <v>66</v>
      </c>
    </row>
    <row r="166" spans="1:31" x14ac:dyDescent="0.25">
      <c r="A166" s="4" t="s">
        <v>277</v>
      </c>
      <c r="B166" s="10">
        <v>-356</v>
      </c>
      <c r="C166" s="10">
        <v>-51</v>
      </c>
      <c r="D166" s="10">
        <v>-7</v>
      </c>
      <c r="E166" s="9">
        <v>560</v>
      </c>
      <c r="F166" s="9">
        <v>152</v>
      </c>
      <c r="G166" s="10">
        <v>-35</v>
      </c>
      <c r="H166" s="9">
        <v>54.86</v>
      </c>
      <c r="I166" s="9">
        <v>111.86</v>
      </c>
      <c r="J166" s="9">
        <v>556.24</v>
      </c>
      <c r="K166" s="9">
        <v>633.01</v>
      </c>
      <c r="L166" s="10">
        <v>-93.94</v>
      </c>
      <c r="M166" s="9">
        <v>65.099999999999994</v>
      </c>
      <c r="N166" s="9">
        <v>108.01</v>
      </c>
      <c r="O166" s="9">
        <v>571.58000000000004</v>
      </c>
      <c r="P166" s="9">
        <v>647.09</v>
      </c>
      <c r="Q166" s="10">
        <v>-99.31</v>
      </c>
      <c r="R166" s="9">
        <v>32.42</v>
      </c>
      <c r="S166" s="9">
        <v>40.61</v>
      </c>
      <c r="T166" s="9">
        <v>515.48</v>
      </c>
      <c r="U166" s="9">
        <v>569.09</v>
      </c>
      <c r="V166" s="10">
        <v>-89.74</v>
      </c>
      <c r="W166" s="10">
        <v>-21.22</v>
      </c>
      <c r="X166" s="10">
        <v>-11.9</v>
      </c>
      <c r="Y166" s="9">
        <v>430.87</v>
      </c>
      <c r="Z166" s="9">
        <v>453.27</v>
      </c>
      <c r="AA166" s="10">
        <v>-117.04</v>
      </c>
      <c r="AB166" s="10">
        <v>-45.98</v>
      </c>
      <c r="AC166" s="10">
        <v>-36.08</v>
      </c>
      <c r="AD166" s="9">
        <v>405.75</v>
      </c>
      <c r="AE166" s="9">
        <v>385.04</v>
      </c>
    </row>
    <row r="167" spans="1:31" x14ac:dyDescent="0.25">
      <c r="A167" s="4" t="s">
        <v>278</v>
      </c>
      <c r="B167" s="9">
        <v>74406</v>
      </c>
      <c r="C167" s="9">
        <v>74359</v>
      </c>
      <c r="D167" s="9">
        <v>74364</v>
      </c>
      <c r="E167" s="9">
        <v>74924</v>
      </c>
      <c r="F167" s="9">
        <v>74924</v>
      </c>
      <c r="G167" s="9">
        <v>74889</v>
      </c>
      <c r="H167" s="9">
        <v>74902.649999999994</v>
      </c>
      <c r="I167" s="9">
        <v>75000.77</v>
      </c>
      <c r="J167" s="9">
        <v>75557.009999999995</v>
      </c>
      <c r="K167" s="9">
        <v>75557.009999999995</v>
      </c>
      <c r="L167" s="9">
        <v>75459.570000000007</v>
      </c>
      <c r="M167" s="9">
        <v>75524.67</v>
      </c>
      <c r="N167" s="9">
        <v>75632.69</v>
      </c>
      <c r="O167" s="9">
        <v>76204.27</v>
      </c>
      <c r="P167" s="9">
        <v>76204.100000000006</v>
      </c>
      <c r="Q167" s="9">
        <v>75990.850000000006</v>
      </c>
      <c r="R167" s="9">
        <v>76023.28</v>
      </c>
      <c r="S167" s="9">
        <v>76063.88</v>
      </c>
      <c r="T167" s="9">
        <v>76579.360000000001</v>
      </c>
      <c r="U167" s="9">
        <v>76783.02</v>
      </c>
      <c r="V167" s="9">
        <v>76395.25</v>
      </c>
      <c r="W167" s="9">
        <v>76374.03</v>
      </c>
      <c r="X167" s="9">
        <v>76362.12</v>
      </c>
      <c r="Y167" s="9">
        <v>76792.990000000005</v>
      </c>
      <c r="Z167" s="9">
        <v>77257.320000000007</v>
      </c>
      <c r="AA167" s="9">
        <v>76675.95</v>
      </c>
      <c r="AB167" s="9">
        <v>76629.98</v>
      </c>
      <c r="AC167" s="9">
        <v>76593.899999999994</v>
      </c>
      <c r="AD167" s="9">
        <v>76999.64</v>
      </c>
      <c r="AE167" s="9">
        <v>77642.36</v>
      </c>
    </row>
    <row r="168" spans="1:31" x14ac:dyDescent="0.25">
      <c r="A168" s="4" t="s">
        <v>279</v>
      </c>
      <c r="B168" s="9">
        <v>74589</v>
      </c>
      <c r="C168" s="9">
        <v>74382.5</v>
      </c>
      <c r="D168" s="9">
        <v>74361.5</v>
      </c>
      <c r="E168" s="9">
        <v>74644</v>
      </c>
      <c r="F168" s="9">
        <v>74848</v>
      </c>
      <c r="G168" s="9">
        <v>74906.5</v>
      </c>
      <c r="H168" s="9">
        <v>74877.509999999995</v>
      </c>
      <c r="I168" s="9">
        <v>74944.84</v>
      </c>
      <c r="J168" s="9">
        <v>75278.89</v>
      </c>
      <c r="K168" s="9">
        <v>75193.240000000005</v>
      </c>
      <c r="L168" s="9">
        <v>75506.539999999994</v>
      </c>
      <c r="M168" s="9">
        <v>75492.12</v>
      </c>
      <c r="N168" s="9">
        <v>75578.679999999993</v>
      </c>
      <c r="O168" s="9">
        <v>75918.48</v>
      </c>
      <c r="P168" s="9">
        <v>75864.75</v>
      </c>
      <c r="Q168" s="9">
        <v>76040.5</v>
      </c>
      <c r="R168" s="9">
        <v>76007.06</v>
      </c>
      <c r="S168" s="9">
        <v>76043.58</v>
      </c>
      <c r="T168" s="9">
        <v>76321.62</v>
      </c>
      <c r="U168" s="9">
        <v>76480.97</v>
      </c>
      <c r="V168" s="9">
        <v>76440.12</v>
      </c>
      <c r="W168" s="9">
        <v>76384.639999999999</v>
      </c>
      <c r="X168" s="9">
        <v>76368.08</v>
      </c>
      <c r="Y168" s="9">
        <v>76577.56</v>
      </c>
      <c r="Z168" s="9">
        <v>77006.27</v>
      </c>
      <c r="AA168" s="9">
        <v>76734.47</v>
      </c>
      <c r="AB168" s="9">
        <v>76652.97</v>
      </c>
      <c r="AC168" s="9">
        <v>76611.94</v>
      </c>
      <c r="AD168" s="9">
        <v>76796.77</v>
      </c>
      <c r="AE168" s="9">
        <v>77425.09</v>
      </c>
    </row>
    <row r="169" spans="1:31" x14ac:dyDescent="0.25">
      <c r="A169" s="4" t="s">
        <v>76</v>
      </c>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row>
    <row r="170" spans="1:31" x14ac:dyDescent="0.25">
      <c r="A170" s="3" t="s">
        <v>280</v>
      </c>
      <c r="B170" s="9">
        <v>103</v>
      </c>
      <c r="C170" s="9">
        <v>141</v>
      </c>
      <c r="D170" s="10">
        <v>-67</v>
      </c>
      <c r="E170" s="9">
        <v>267</v>
      </c>
      <c r="F170" s="9">
        <v>444</v>
      </c>
      <c r="G170" s="10">
        <v>-71.41</v>
      </c>
      <c r="H170" s="9">
        <v>79.569999999999993</v>
      </c>
      <c r="I170" s="9">
        <v>2.08</v>
      </c>
      <c r="J170" s="9">
        <v>206.71</v>
      </c>
      <c r="K170" s="9">
        <v>270.18</v>
      </c>
      <c r="L170" s="10">
        <v>-86.63</v>
      </c>
      <c r="M170" s="9">
        <v>115.71</v>
      </c>
      <c r="N170" s="10">
        <v>-120.35</v>
      </c>
      <c r="O170" s="9">
        <v>259.93</v>
      </c>
      <c r="P170" s="9">
        <v>360.82</v>
      </c>
      <c r="Q170" s="10">
        <v>-166.77</v>
      </c>
      <c r="R170" s="9">
        <v>46.11</v>
      </c>
      <c r="S170" s="10">
        <v>-167.78</v>
      </c>
      <c r="T170" s="9">
        <v>211.87</v>
      </c>
      <c r="U170" s="9">
        <v>342.03</v>
      </c>
      <c r="V170" s="10">
        <v>-296.27999999999997</v>
      </c>
      <c r="W170" s="10">
        <v>-79.77</v>
      </c>
      <c r="X170" s="10">
        <v>-111</v>
      </c>
      <c r="Y170" s="9">
        <v>82.24</v>
      </c>
      <c r="Z170" s="9">
        <v>217.51</v>
      </c>
      <c r="AA170" s="10">
        <v>-292.18</v>
      </c>
      <c r="AB170" s="10">
        <v>-83.62</v>
      </c>
      <c r="AC170" s="10">
        <v>-110.62</v>
      </c>
      <c r="AD170" s="9">
        <v>75.290000000000006</v>
      </c>
      <c r="AE170" s="9">
        <v>200.2</v>
      </c>
    </row>
    <row r="171" spans="1:31" x14ac:dyDescent="0.25">
      <c r="A171" s="4" t="s">
        <v>281</v>
      </c>
      <c r="B171" s="9">
        <v>20448</v>
      </c>
      <c r="C171" s="9">
        <v>20589</v>
      </c>
      <c r="D171" s="9">
        <v>20506</v>
      </c>
      <c r="E171" s="9">
        <v>20754</v>
      </c>
      <c r="F171" s="9">
        <v>20754</v>
      </c>
      <c r="G171" s="9">
        <v>20251.68</v>
      </c>
      <c r="H171" s="9">
        <v>20325.61</v>
      </c>
      <c r="I171" s="9">
        <v>20417.3</v>
      </c>
      <c r="J171" s="9">
        <v>20624.009999999998</v>
      </c>
      <c r="K171" s="9">
        <v>20624.009999999998</v>
      </c>
      <c r="L171" s="9">
        <v>20375.43</v>
      </c>
      <c r="M171" s="9">
        <v>20491.14</v>
      </c>
      <c r="N171" s="9">
        <v>20370.8</v>
      </c>
      <c r="O171" s="9">
        <v>20630.73</v>
      </c>
      <c r="P171" s="9">
        <v>20984.84</v>
      </c>
      <c r="Q171" s="9">
        <v>19798.759999999998</v>
      </c>
      <c r="R171" s="9">
        <v>19844.87</v>
      </c>
      <c r="S171" s="9">
        <v>19677.09</v>
      </c>
      <c r="T171" s="9">
        <v>19888.96</v>
      </c>
      <c r="U171" s="9">
        <v>21307.58</v>
      </c>
      <c r="V171" s="9">
        <v>18084.009999999998</v>
      </c>
      <c r="W171" s="9">
        <v>18004.240000000002</v>
      </c>
      <c r="X171" s="9">
        <v>17893.240000000002</v>
      </c>
      <c r="Y171" s="9">
        <v>17975.48</v>
      </c>
      <c r="Z171" s="9">
        <v>21166.49</v>
      </c>
      <c r="AA171" s="9">
        <v>17683.3</v>
      </c>
      <c r="AB171" s="9">
        <v>17599.68</v>
      </c>
      <c r="AC171" s="9">
        <v>17489.060000000001</v>
      </c>
      <c r="AD171" s="9">
        <v>17564.349999999999</v>
      </c>
      <c r="AE171" s="9">
        <v>21366.68</v>
      </c>
    </row>
  </sheetData>
  <mergeCells count="1">
    <mergeCell ref="A1:D1"/>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First look</vt:lpstr>
      <vt:lpstr>first look fill instructions</vt:lpstr>
      <vt:lpstr>Consunesus 10-25-26 -&gt;</vt:lpstr>
      <vt:lpstr>Cash flow</vt:lpstr>
      <vt:lpstr>Balance sheet</vt:lpstr>
      <vt:lpstr>Income statement</vt:lpstr>
      <vt:lpstr>Segment</vt:lpstr>
      <vt:lpstr>Wireline</vt:lpstr>
      <vt:lpstr>Wireless</vt:lpstr>
      <vt:lpstr>Business</vt:lpstr>
      <vt:lpstr>Consumer</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Chung</dc:creator>
  <cp:keywords/>
  <dc:description/>
  <cp:lastModifiedBy>Andrew Chung</cp:lastModifiedBy>
  <dcterms:created xsi:type="dcterms:W3CDTF">2026-10-25T23:36:22Z</dcterms:created>
  <dcterms:modified xsi:type="dcterms:W3CDTF">2026-10-26T11:10:12Z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