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 Chung\Desktop\Work\"/>
    </mc:Choice>
  </mc:AlternateContent>
  <xr:revisionPtr revIDLastSave="0" documentId="13_ncr:1_{ECF5A088-3579-4F4D-BD8E-F329897DD423}" xr6:coauthVersionLast="47" xr6:coauthVersionMax="47" xr10:uidLastSave="{00000000-0000-0000-0000-000000000000}"/>
  <bookViews>
    <workbookView xWindow="-105" yWindow="0" windowWidth="26310" windowHeight="15585" xr2:uid="{D09186E7-8AE6-46B0-94CA-9ECEF9DECF12}"/>
  </bookViews>
  <sheets>
    <sheet name="3Q26 Quick Look" sheetId="12" r:id="rId1"/>
    <sheet name="CapIQ cons on Oct 20, 2026 -&gt;" sheetId="13" r:id="rId2"/>
    <sheet name="Revenue" sheetId="2" r:id="rId3"/>
    <sheet name="Segment" sheetId="3" r:id="rId4"/>
    <sheet name="Income Statement" sheetId="4" r:id="rId5"/>
    <sheet name="Cash Flow" sheetId="5" r:id="rId6"/>
    <sheet name="Free Cash Flow" sheetId="6" r:id="rId7"/>
    <sheet name="Legacy" sheetId="7" r:id="rId8"/>
    <sheet name="AC Financials" sheetId="8" r:id="rId9"/>
    <sheet name="Latin America" sheetId="9" r:id="rId10"/>
    <sheet name="AC Internet" sheetId="10" r:id="rId11"/>
    <sheet name="AC Wireless" sheetId="11" r:id="rId12"/>
    <sheet name="Sheet3" sheetId="14" r:id="rId1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2" l="1"/>
  <c r="B4" i="12"/>
  <c r="C4" i="12"/>
  <c r="D4" i="12"/>
  <c r="F4" i="12"/>
  <c r="G4" i="12"/>
  <c r="B5" i="12"/>
  <c r="C5" i="12"/>
  <c r="D5" i="12"/>
  <c r="F5" i="12"/>
  <c r="G5" i="12"/>
  <c r="B6" i="12"/>
  <c r="C6" i="12"/>
  <c r="D6" i="12"/>
  <c r="F6" i="12"/>
  <c r="G6" i="12"/>
  <c r="B7" i="12"/>
  <c r="C7" i="12"/>
  <c r="D7" i="12"/>
  <c r="F7" i="12"/>
  <c r="G7" i="12"/>
  <c r="B8" i="12"/>
  <c r="C8" i="12"/>
  <c r="D8" i="12"/>
  <c r="F8" i="12"/>
  <c r="G8" i="12"/>
  <c r="B9" i="12"/>
  <c r="C9" i="12"/>
  <c r="D9" i="12"/>
  <c r="F9" i="12"/>
  <c r="G9" i="12"/>
  <c r="B10" i="12"/>
  <c r="C10" i="12"/>
  <c r="D10" i="12"/>
  <c r="F10" i="12"/>
  <c r="G10" i="12"/>
  <c r="B11" i="12"/>
  <c r="B15" i="12" s="1"/>
  <c r="C11" i="12"/>
  <c r="C15" i="12" s="1"/>
  <c r="D11" i="12"/>
  <c r="D15" i="12" s="1"/>
  <c r="F11" i="12"/>
  <c r="G11" i="12"/>
  <c r="B12" i="12"/>
  <c r="C12" i="12"/>
  <c r="D12" i="12"/>
  <c r="F12" i="12"/>
  <c r="G12" i="12"/>
  <c r="B13" i="12"/>
  <c r="C13" i="12"/>
  <c r="D13" i="12"/>
  <c r="F13" i="12"/>
  <c r="G13" i="12"/>
  <c r="B14" i="12"/>
  <c r="C14" i="12"/>
  <c r="D14" i="12"/>
  <c r="F14" i="12"/>
  <c r="G14" i="12"/>
  <c r="B16" i="12"/>
  <c r="C16" i="12"/>
  <c r="D16" i="12"/>
  <c r="E16" i="12"/>
  <c r="B17" i="12"/>
  <c r="C17" i="12"/>
  <c r="D17" i="12"/>
  <c r="E17" i="12"/>
  <c r="B18" i="12"/>
  <c r="C18" i="12"/>
  <c r="D18" i="12"/>
  <c r="E18" i="12"/>
  <c r="B19" i="12"/>
  <c r="C19" i="12"/>
  <c r="D19" i="12"/>
  <c r="E19" i="12"/>
  <c r="B20" i="12"/>
  <c r="C20" i="12"/>
  <c r="D20" i="12"/>
  <c r="F20" i="12"/>
  <c r="G20" i="12"/>
  <c r="B21" i="12"/>
  <c r="C21" i="12"/>
  <c r="D21" i="12"/>
  <c r="F21" i="12"/>
  <c r="G21" i="12"/>
  <c r="B22" i="12"/>
  <c r="C22" i="12"/>
  <c r="D22" i="12"/>
  <c r="F22" i="12"/>
  <c r="G22" i="12"/>
  <c r="B23" i="12"/>
  <c r="C23" i="12"/>
  <c r="D23" i="12"/>
  <c r="F23" i="12"/>
  <c r="G23" i="12"/>
  <c r="B26" i="12"/>
  <c r="C26" i="12"/>
  <c r="D26" i="12"/>
  <c r="F26" i="12"/>
  <c r="G26" i="12"/>
  <c r="B27" i="12"/>
  <c r="C27" i="12"/>
  <c r="D27" i="12"/>
  <c r="F27" i="12"/>
  <c r="G27" i="12"/>
  <c r="B28" i="12"/>
  <c r="C28" i="12"/>
  <c r="D28" i="12"/>
  <c r="F28" i="12"/>
  <c r="G28" i="12"/>
  <c r="B29" i="12"/>
  <c r="C29" i="12"/>
  <c r="D29" i="12"/>
  <c r="F29" i="12"/>
  <c r="G29" i="12"/>
  <c r="B30" i="12"/>
  <c r="C30" i="12"/>
  <c r="D30" i="12"/>
  <c r="F30" i="12"/>
  <c r="G30" i="12"/>
  <c r="B31" i="12"/>
  <c r="C31" i="12"/>
  <c r="D31" i="12"/>
  <c r="F31" i="12"/>
  <c r="G31" i="12"/>
  <c r="B32" i="12"/>
  <c r="C32" i="12"/>
  <c r="D32" i="12"/>
  <c r="F32" i="12"/>
  <c r="G32" i="12"/>
  <c r="B33" i="12"/>
  <c r="C33" i="12"/>
  <c r="D33" i="12"/>
  <c r="F33" i="12"/>
  <c r="G33" i="12"/>
  <c r="F15" i="12" l="1"/>
  <c r="G15" i="12"/>
  <c r="F16" i="12"/>
  <c r="G16" i="12"/>
  <c r="F17" i="12"/>
  <c r="G17" i="12"/>
  <c r="F18" i="12"/>
  <c r="G18" i="12"/>
  <c r="G19" i="12"/>
  <c r="F1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E3" authorId="0" shapeId="0" xr:uid="{A890F323-F5EE-4A53-8F4C-E438B14F61FD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Enter 3Q26 reported actuals in this column after earnings (blue = input). Margin and Corporate EBITDA rows calculate automatically; YoY and Beat/(Miss) stay blank until actuals are entered.</t>
        </r>
      </text>
    </comment>
    <comment ref="A11" authorId="0" shapeId="0" xr:uid="{AE96D154-C02A-4F9E-8959-503E768675C7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Total EBITDA = 'EBITDA - Operating' (adjusted) from the Income Statement tab, consistent with the 2Q26 First Look (2Q26A 12,338).</t>
        </r>
      </text>
    </comment>
    <comment ref="A15" authorId="0" shapeId="0" xr:uid="{C08D2108-F7B3-4629-95A4-448B61E1907E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Corporate EBITDA = Total adjusted EBITDA less Advanced Connectivity, Legacy and Latin America EBITDA (matches the 2Q26 First Look, which showed Corporate as the plug to adjusted EBITDA, e.g. 2Q26 (444)). Reported 'EBITDA - Corporate &amp; Other' on the Segment tab is unadjusted (2Q26 (778)).</t>
        </r>
      </text>
    </comment>
    <comment ref="F16" authorId="0" shapeId="0" xr:uid="{0C0954B0-524C-4EDC-B459-59CA33F827C7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Margin rows (16-20) and churn (row 29): YoY Growth and Beat/(Miss) shown as change in percentage points (3Q26A minus comparison), not % change.</t>
        </r>
      </text>
    </comment>
    <comment ref="A32" authorId="0" shapeId="0" xr:uid="{118331A3-9CEC-4203-9349-C270D531115A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 line is 'IP-Fiber broadband home passed (K#)' on AC Internet tab; divided by 1,000 to show millions.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A10BDECB-2389-4918-93EB-EC8A56DB45AD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SPGlobal_ATAndTInc._Revenue_20-Oct-2026.xlsx,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54D023EE-D042-4BB5-BFB8-F0BAD3CB6A28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SPGlobal_ATAndTInc._Segment_20-Oct-2026.xlsx,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B7A73392-A3B8-4072-AA80-E11F52D13C6F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SPGlobal_ATAndTInc._Incomestatement_20-Oct-2026.xlsx,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57429D9F-4950-4C4F-9DC7-62BEB17EEDBE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SPGlobal_ATAndTInc._Cashflow_20-Oct-2026.xlsx,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825E4E97-038F-4B7D-A9D5-143559FEFC45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SPGlobal_ATAndTInc._Freecashflow_20-Oct-2026.xlsx,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E8E61183-B368-45E8-80C0-0D5389AE083D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SPGlobal_ATAndTInc._Legacy_20-Oct-2026.xlsx,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D9E65B53-C53B-458D-8308-C2770FB13289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SPGlobal_ATAndTInc._AdvancedConnectivity-Financials_20-Oct-2026.xlsx,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E7FA8C75-8B20-4416-A431-8BF095BBE49D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SPGlobal_ATAndTInc._LatinAmerica_20-Oct-2026.xlsx,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3C5C564B-5034-4E1A-BA12-D09F575CF16B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SPGlobal_ATAndTInc._AdvancedConnectivity-Internet_20-Oct-2026.xlsx,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Chung</author>
  </authors>
  <commentList>
    <comment ref="A14" authorId="0" shapeId="0" xr:uid="{B838433F-41CA-4AF5-92A7-322E299EEF95}">
      <text>
        <r>
          <rPr>
            <b/>
            <sz val="9"/>
            <color indexed="81"/>
            <rFont val="Tahoma"/>
            <charset val="1"/>
          </rPr>
          <t>Andrew Chung:</t>
        </r>
        <r>
          <rPr>
            <sz val="9"/>
            <color indexed="81"/>
            <rFont val="Tahoma"/>
            <charset val="1"/>
          </rPr>
          <t xml:space="preserve">
Source: SPGlobal_ATAndTInc._AdvancedConnectivity-Wireless_20-Oct-2026.xlsx, uploaded 2026-10-20. Uploaded file (S&amp;P Capital IQ / Visible Alpha export, consensus as of 10/20/2026). Columns B-H = actuals (FQ1 2025A-FQ2 2026A); I onward = consensus mean estimates.</t>
        </r>
      </text>
    </comment>
  </commentList>
</comments>
</file>

<file path=xl/sharedStrings.xml><?xml version="1.0" encoding="utf-8"?>
<sst xmlns="http://schemas.openxmlformats.org/spreadsheetml/2006/main" count="2230" uniqueCount="489">
  <si>
    <t>AT&amp;T Inc. | Revenue</t>
  </si>
  <si>
    <t>NYSE:T (MI KEY: 4024242; SPCIQ KEY: 100231)</t>
  </si>
  <si>
    <t>Visible Alpha</t>
  </si>
  <si>
    <t>Period Type : Fiscal Quarter, Fiscal Halves, Fiscal Year</t>
  </si>
  <si>
    <t>Period Start : 2025</t>
  </si>
  <si>
    <t>Period End : 2030</t>
  </si>
  <si>
    <t>Currency  : Reported</t>
  </si>
  <si>
    <t>Consensus View : Mean</t>
  </si>
  <si>
    <t>As Of: 10/20/2026</t>
  </si>
  <si>
    <t xml:space="preserve">All numbers in $M unless otherwise indicated </t>
  </si>
  <si>
    <t xml:space="preserve">FQ1 2025A </t>
  </si>
  <si>
    <t xml:space="preserve">FQ2 2025A </t>
  </si>
  <si>
    <t xml:space="preserve">FQ3 2025A </t>
  </si>
  <si>
    <t xml:space="preserve">FQ4 2025A </t>
  </si>
  <si>
    <t xml:space="preserve">FY2025A </t>
  </si>
  <si>
    <t xml:space="preserve">FQ1 2026A </t>
  </si>
  <si>
    <t xml:space="preserve">FQ2 2026A </t>
  </si>
  <si>
    <t xml:space="preserve">FQ3 2026E </t>
  </si>
  <si>
    <t xml:space="preserve">FQ4 2026E </t>
  </si>
  <si>
    <t xml:space="preserve">FY2026E </t>
  </si>
  <si>
    <t xml:space="preserve">FQ1 2027E </t>
  </si>
  <si>
    <t xml:space="preserve">FQ2 2027E </t>
  </si>
  <si>
    <t xml:space="preserve">FQ3 2027E </t>
  </si>
  <si>
    <t xml:space="preserve">FQ4 2027E </t>
  </si>
  <si>
    <t xml:space="preserve">FY2027E </t>
  </si>
  <si>
    <t xml:space="preserve">FQ1 2028E </t>
  </si>
  <si>
    <t xml:space="preserve">FQ2 2028E </t>
  </si>
  <si>
    <t xml:space="preserve">FQ3 2028E </t>
  </si>
  <si>
    <t xml:space="preserve">FQ4 2028E </t>
  </si>
  <si>
    <t xml:space="preserve">FY2028E </t>
  </si>
  <si>
    <t xml:space="preserve">FQ1 2029E </t>
  </si>
  <si>
    <t xml:space="preserve">FQ2 2029E </t>
  </si>
  <si>
    <t xml:space="preserve">FQ3 2029E </t>
  </si>
  <si>
    <t xml:space="preserve">FQ4 2029E </t>
  </si>
  <si>
    <t xml:space="preserve">FY2029E </t>
  </si>
  <si>
    <t xml:space="preserve">FQ1 2030E </t>
  </si>
  <si>
    <t xml:space="preserve">FQ2 2030E </t>
  </si>
  <si>
    <t xml:space="preserve">FQ3 2030E </t>
  </si>
  <si>
    <t xml:space="preserve">FQ4 2030E </t>
  </si>
  <si>
    <t xml:space="preserve">FY2030E </t>
  </si>
  <si>
    <t>Number of Contributors Available</t>
  </si>
  <si>
    <t>20 of 20</t>
  </si>
  <si>
    <t>14 of 20</t>
  </si>
  <si>
    <t>13 of 20</t>
  </si>
  <si>
    <t>7 of 20</t>
  </si>
  <si>
    <t>17 of 20</t>
  </si>
  <si>
    <t>5 of 20</t>
  </si>
  <si>
    <t xml:space="preserve">                            Revenue - Postpaid Phones</t>
  </si>
  <si>
    <t xml:space="preserve">                            Revenue - Prepaid Phones</t>
  </si>
  <si>
    <t xml:space="preserve">                        Revenue - Phone</t>
  </si>
  <si>
    <t xml:space="preserve">                        Revenue - Other subscribers</t>
  </si>
  <si>
    <t xml:space="preserve">                    Service revenues - wireless</t>
  </si>
  <si>
    <t xml:space="preserve">                        Fiber revenue</t>
  </si>
  <si>
    <t xml:space="preserve">                        AT&amp;T Internet Air revenue</t>
  </si>
  <si>
    <t xml:space="preserve">                    Advanced home internet services revenue - Advanced connectivity</t>
  </si>
  <si>
    <t xml:space="preserve">                    Business fiber and advanced connectivity services revenue - Advanced connectivity</t>
  </si>
  <si>
    <t xml:space="preserve">                    Business transitional and other service revenue - Advanced connectivity</t>
  </si>
  <si>
    <t xml:space="preserve">                    Other services revenue - Advanced connectivity</t>
  </si>
  <si>
    <t xml:space="preserve">                Total service revenue - Advanced connectivity</t>
  </si>
  <si>
    <t xml:space="preserve">                Equipment revenue - Advanced connectivity</t>
  </si>
  <si>
    <t xml:space="preserve">            Advanced connectivity revenue</t>
  </si>
  <si>
    <t xml:space="preserve">                Legacy - Business service</t>
  </si>
  <si>
    <t xml:space="preserve">                Legacy - Consumer service</t>
  </si>
  <si>
    <t xml:space="preserve">            Revenue - Legacy</t>
  </si>
  <si>
    <t xml:space="preserve">        Total Communications Revenue</t>
  </si>
  <si>
    <t xml:space="preserve">                Mexico wireless service revenue</t>
  </si>
  <si>
    <t xml:space="preserve">                Mexico wireless equipment revenue</t>
  </si>
  <si>
    <t xml:space="preserve">            Total Mexico Wireless revenue</t>
  </si>
  <si>
    <t xml:space="preserve">        Latin America revenue</t>
  </si>
  <si>
    <t xml:space="preserve">        Revenue - Corporate, Video and other</t>
  </si>
  <si>
    <t xml:space="preserve">    Operating revenues</t>
  </si>
  <si>
    <t>AT&amp;T Inc. | Segment</t>
  </si>
  <si>
    <t>Service revenue</t>
  </si>
  <si>
    <t xml:space="preserve">        Total service revenue - Advanced connectivity</t>
  </si>
  <si>
    <t xml:space="preserve">        Revenue - Legacy</t>
  </si>
  <si>
    <t xml:space="preserve">        Mexico wireless service revenue</t>
  </si>
  <si>
    <t xml:space="preserve">    Total revenue- Services</t>
  </si>
  <si>
    <t xml:space="preserve"> </t>
  </si>
  <si>
    <t>Revenue</t>
  </si>
  <si>
    <t xml:space="preserve">                Advanced connectivity revenue - Consumer</t>
  </si>
  <si>
    <t xml:space="preserve">                Advanced connectivity revenue - Business</t>
  </si>
  <si>
    <t>Operations and support</t>
  </si>
  <si>
    <t xml:space="preserve">            Operations and support - Advanced connectivity</t>
  </si>
  <si>
    <t xml:space="preserve">            Operations and support - Legacy</t>
  </si>
  <si>
    <t xml:space="preserve">        Operations and Support - Communications</t>
  </si>
  <si>
    <t xml:space="preserve">        Operations and support - Latin America</t>
  </si>
  <si>
    <t xml:space="preserve">        Operations and Support - Corporate, Video and other</t>
  </si>
  <si>
    <t xml:space="preserve">    Operations and support</t>
  </si>
  <si>
    <t>EBITDA</t>
  </si>
  <si>
    <t xml:space="preserve">                EBITDA - Consumer - Advanced Connectivity</t>
  </si>
  <si>
    <t xml:space="preserve">                EBITDA - Business - Advanced Connectivity</t>
  </si>
  <si>
    <t xml:space="preserve">            EBITDA - Advanced connectivity</t>
  </si>
  <si>
    <t xml:space="preserve">            EBITDA - Legacy</t>
  </si>
  <si>
    <t xml:space="preserve">        EBITDA - Communications</t>
  </si>
  <si>
    <t xml:space="preserve">        EBITDA - Latin America</t>
  </si>
  <si>
    <t xml:space="preserve">        EBITDA - Corporate &amp; Other</t>
  </si>
  <si>
    <t xml:space="preserve">    EBITDA</t>
  </si>
  <si>
    <t xml:space="preserve">Operating income/(loss) </t>
  </si>
  <si>
    <t xml:space="preserve">            Operating income/(loss) - Advanced connectivity</t>
  </si>
  <si>
    <t xml:space="preserve">            Operating income/(loss) - Legacy</t>
  </si>
  <si>
    <t xml:space="preserve">        Operating Income/(loss) - Communications</t>
  </si>
  <si>
    <t xml:space="preserve">        Operating income/(loss) - Latin America</t>
  </si>
  <si>
    <t xml:space="preserve">        Operating income - Corporate &amp; Other</t>
  </si>
  <si>
    <t xml:space="preserve">        Operating income/(loss) - WarnerMedia</t>
  </si>
  <si>
    <t>-</t>
  </si>
  <si>
    <t xml:space="preserve">    Operating income/(loss)</t>
  </si>
  <si>
    <t>AT&amp;T Inc. | Income statement</t>
  </si>
  <si>
    <t xml:space="preserve">        Service revenue</t>
  </si>
  <si>
    <t xml:space="preserve">        Equipment revenue</t>
  </si>
  <si>
    <t xml:space="preserve">            Equipment cost</t>
  </si>
  <si>
    <t xml:space="preserve">            Broadcast, programming and operations</t>
  </si>
  <si>
    <t xml:space="preserve">            Other cost of services and sales (ex of D&amp;A)</t>
  </si>
  <si>
    <t xml:space="preserve">        Cost of sales - as reported</t>
  </si>
  <si>
    <t xml:space="preserve">        Selling, general and administrative</t>
  </si>
  <si>
    <t xml:space="preserve">        Asset abandonments and Impairment Charges</t>
  </si>
  <si>
    <t xml:space="preserve">    Integration cost &amp; other adjustments</t>
  </si>
  <si>
    <t xml:space="preserve">    Operations and support - Operating</t>
  </si>
  <si>
    <t xml:space="preserve">    Depreciation and amortization expense</t>
  </si>
  <si>
    <t xml:space="preserve">        Amortization of intangible assets - Adjustment</t>
  </si>
  <si>
    <t xml:space="preserve">    Total Depreciation and Amortization - Operating</t>
  </si>
  <si>
    <t xml:space="preserve">    Total cost and expenses</t>
  </si>
  <si>
    <t xml:space="preserve">    Total cost and expenses - Operating</t>
  </si>
  <si>
    <t xml:space="preserve">        EBITDA - Corporate and other or Eliminations adjustments</t>
  </si>
  <si>
    <t xml:space="preserve">    EBITDA - Operating</t>
  </si>
  <si>
    <t xml:space="preserve">        Total adjustments in Operating income/(loss)</t>
  </si>
  <si>
    <t xml:space="preserve">    Operating income/(loss) - Operating</t>
  </si>
  <si>
    <t xml:space="preserve">        Interest expense, net</t>
  </si>
  <si>
    <t xml:space="preserve">            Equity in net income (loss) of affiliates</t>
  </si>
  <si>
    <t xml:space="preserve">            Other income</t>
  </si>
  <si>
    <t xml:space="preserve">        Other income/(expense) - net</t>
  </si>
  <si>
    <t xml:space="preserve">    Total non-operating income/(loss)</t>
  </si>
  <si>
    <t xml:space="preserve">    Income before taxes</t>
  </si>
  <si>
    <t xml:space="preserve">        Total adjustments in Income/(loss) before income taxes</t>
  </si>
  <si>
    <t xml:space="preserve">    Income before taxes - Operating</t>
  </si>
  <si>
    <t xml:space="preserve">    Income tax expense</t>
  </si>
  <si>
    <t xml:space="preserve">        Total adjustments in income taxes</t>
  </si>
  <si>
    <t xml:space="preserve">    Income taxes - Operating</t>
  </si>
  <si>
    <t xml:space="preserve">    Income From Continuing Operations</t>
  </si>
  <si>
    <t xml:space="preserve">    Income/(loss) from discontinued ops</t>
  </si>
  <si>
    <t xml:space="preserve">    Net income attributable to noncontrolling interest</t>
  </si>
  <si>
    <t xml:space="preserve">    Net income attributable to AT&amp;T</t>
  </si>
  <si>
    <t xml:space="preserve">    Preferred dividend</t>
  </si>
  <si>
    <t xml:space="preserve">    Net income attributable to common shareholder</t>
  </si>
  <si>
    <t xml:space="preserve">    Net income/(loss) - Adjustments</t>
  </si>
  <si>
    <t xml:space="preserve">    Preferred stock redemption gain</t>
  </si>
  <si>
    <t xml:space="preserve">    Net income/(loss) - Operating</t>
  </si>
  <si>
    <t xml:space="preserve">    Basic EPS($)</t>
  </si>
  <si>
    <t xml:space="preserve">    Basic EPS - operating($)</t>
  </si>
  <si>
    <t xml:space="preserve">    Diluted EPS($)</t>
  </si>
  <si>
    <t xml:space="preserve">    Diluted EPS - Operating($)</t>
  </si>
  <si>
    <t xml:space="preserve">    Basic shares(M#)</t>
  </si>
  <si>
    <t xml:space="preserve">    Diluted shares(M#)</t>
  </si>
  <si>
    <t xml:space="preserve">    Dividends per share($)</t>
  </si>
  <si>
    <t>Supplemental</t>
  </si>
  <si>
    <t xml:space="preserve">    Diluted EPS under ASU 2020-06($)</t>
  </si>
  <si>
    <t xml:space="preserve">    Diluted EPS under ASU 2020-06 - Operating($)</t>
  </si>
  <si>
    <t xml:space="preserve">    Diluted EPS under historical - Operating($)</t>
  </si>
  <si>
    <t xml:space="preserve">    Diluted shares under ASU 2020-06(M#)</t>
  </si>
  <si>
    <t>AT&amp;T Inc. | Cash flow</t>
  </si>
  <si>
    <t xml:space="preserve">                Net income</t>
  </si>
  <si>
    <t xml:space="preserve">                Depreciation and amortization</t>
  </si>
  <si>
    <t xml:space="preserve">                Undistributed earnings from investments in equity affiliates</t>
  </si>
  <si>
    <t xml:space="preserve">                Provision or uncollectible accounts</t>
  </si>
  <si>
    <t xml:space="preserve">                Deferred income tax expense</t>
  </si>
  <si>
    <t xml:space="preserve">                Amortization of intangibles</t>
  </si>
  <si>
    <t xml:space="preserve">                Gain on sale of investments</t>
  </si>
  <si>
    <t xml:space="preserve">                    Change in accounts receivable</t>
  </si>
  <si>
    <t xml:space="preserve">                    Change in total other current assets</t>
  </si>
  <si>
    <t xml:space="preserve">                    Change in accounts payable and accrued liabilities</t>
  </si>
  <si>
    <t xml:space="preserve">                    Change in income taxes</t>
  </si>
  <si>
    <t xml:space="preserve">                Change in operating assets/liabilities</t>
  </si>
  <si>
    <t xml:space="preserve">                Total other operating activities</t>
  </si>
  <si>
    <t xml:space="preserve">            Net Cash Flows Provided By/(Used In) Operating Activities-Continuing operations</t>
  </si>
  <si>
    <t xml:space="preserve">            Net cash flows provided by/(used in) operating activities-Discontinued operations</t>
  </si>
  <si>
    <t xml:space="preserve">        Net cash provided by (used in) operating activities</t>
  </si>
  <si>
    <t xml:space="preserve">                    Purchase of property and equipment</t>
  </si>
  <si>
    <t xml:space="preserve">                    Interest during construction</t>
  </si>
  <si>
    <t xml:space="preserve">                Total capital expenditures</t>
  </si>
  <si>
    <t xml:space="preserve">                Acquisitions, net of cash acquired</t>
  </si>
  <si>
    <t xml:space="preserve">                Dispositions</t>
  </si>
  <si>
    <t xml:space="preserve">                Proceeds from short-term investments</t>
  </si>
  <si>
    <t xml:space="preserve">                Other investing (excl. acquisition, disposition, purchase and all other)</t>
  </si>
  <si>
    <t xml:space="preserve">        Net Cash Flows Provided By/(Used In) Investing Activities-Continuing operations</t>
  </si>
  <si>
    <t xml:space="preserve">        Net cash flows provided by/(used in) investing activities-Discontinued operations</t>
  </si>
  <si>
    <t xml:space="preserve">        Net cash provided by (used in) investing activities</t>
  </si>
  <si>
    <t xml:space="preserve">                        Issuance of long-term debt</t>
  </si>
  <si>
    <t xml:space="preserve">                        Repayment of long-term debt</t>
  </si>
  <si>
    <t xml:space="preserve">                    Net change in long term debt</t>
  </si>
  <si>
    <t xml:space="preserve">                    Net change in short term borrowings</t>
  </si>
  <si>
    <t xml:space="preserve">                Change in total debt</t>
  </si>
  <si>
    <t xml:space="preserve">                    Proceeds from Issuance of equity</t>
  </si>
  <si>
    <t xml:space="preserve">                    Purchase of treasury stock</t>
  </si>
  <si>
    <t xml:space="preserve">                Net change in shares and other</t>
  </si>
  <si>
    <t xml:space="preserve">                Dividends paid</t>
  </si>
  <si>
    <t xml:space="preserve">                Other financing activities</t>
  </si>
  <si>
    <t xml:space="preserve">        Net Cash Flows Provided By/(Used In) Financing Activities-Continuing operations</t>
  </si>
  <si>
    <t xml:space="preserve">        Net cash flows provided by/(used in) financing activities-Discontinued operations</t>
  </si>
  <si>
    <t xml:space="preserve">        Net cash provided by (used in) financing activities</t>
  </si>
  <si>
    <t xml:space="preserve">        Cash provided from discontinued operations</t>
  </si>
  <si>
    <t xml:space="preserve">    Net change in cash and cash equivalents</t>
  </si>
  <si>
    <t xml:space="preserve">    Cash and cash equivalents beginning of year</t>
  </si>
  <si>
    <t xml:space="preserve">    Cash and cash equivalents end of period</t>
  </si>
  <si>
    <t>Cash Paid for Capital Investment</t>
  </si>
  <si>
    <t xml:space="preserve">                Purchase of property and equipment</t>
  </si>
  <si>
    <t xml:space="preserve">                Interest during construction</t>
  </si>
  <si>
    <t xml:space="preserve">            Total capital expenditures</t>
  </si>
  <si>
    <t xml:space="preserve">            Cash paid for vendor financing</t>
  </si>
  <si>
    <t xml:space="preserve">        Cash paid for capital investment</t>
  </si>
  <si>
    <t xml:space="preserve">        FirstNet reimbursement</t>
  </si>
  <si>
    <t xml:space="preserve">    Gross capital investment</t>
  </si>
  <si>
    <t>AT&amp;T Inc. | Free cash flow</t>
  </si>
  <si>
    <t>Free Cash Flow</t>
  </si>
  <si>
    <t xml:space="preserve">            Net cash provided by (used in) operating activities</t>
  </si>
  <si>
    <t xml:space="preserve">            DTV distribution classified as op activities</t>
  </si>
  <si>
    <t xml:space="preserve">            Cash taxes paid on DTV</t>
  </si>
  <si>
    <t xml:space="preserve">                Cash paid for vendor financing</t>
  </si>
  <si>
    <t xml:space="preserve">            Cash paid for capital investment</t>
  </si>
  <si>
    <t xml:space="preserve">        Free cash flow</t>
  </si>
  <si>
    <t xml:space="preserve">        Dividends paid</t>
  </si>
  <si>
    <t xml:space="preserve">    Free cash flow after dividends</t>
  </si>
  <si>
    <t>Free Cash Flow from Adjusted EBITDA</t>
  </si>
  <si>
    <t xml:space="preserve">            EBITDA - Operating</t>
  </si>
  <si>
    <t xml:space="preserve">            Bad debt expense - FCF</t>
  </si>
  <si>
    <t xml:space="preserve">            Gross capital investment</t>
  </si>
  <si>
    <t xml:space="preserve">                Cash paid for interest</t>
  </si>
  <si>
    <t xml:space="preserve">                Interest during construction - FCF</t>
  </si>
  <si>
    <t xml:space="preserve">            Cash paid for interest - FCF</t>
  </si>
  <si>
    <t xml:space="preserve">            Cash paid for taxes - FCF</t>
  </si>
  <si>
    <t xml:space="preserve">            Working capital - FCF</t>
  </si>
  <si>
    <t xml:space="preserve">            Cash received from DIRECTV - FCF</t>
  </si>
  <si>
    <t xml:space="preserve">            Other- FCF</t>
  </si>
  <si>
    <t xml:space="preserve">        Free cash flow including DIRECTV</t>
  </si>
  <si>
    <t xml:space="preserve">        Cash taxes paid on DTV</t>
  </si>
  <si>
    <t xml:space="preserve">    Free cash flow</t>
  </si>
  <si>
    <t xml:space="preserve">    Free cash flow per share($)</t>
  </si>
  <si>
    <t xml:space="preserve">    Free cash flow per share including DIRECTV($)</t>
  </si>
  <si>
    <t>AT&amp;T Inc. | Legacy</t>
  </si>
  <si>
    <t>Financials</t>
  </si>
  <si>
    <t xml:space="preserve">        Legacy - Business service</t>
  </si>
  <si>
    <t xml:space="preserve">            Legacy - Consumer - Broadband</t>
  </si>
  <si>
    <t xml:space="preserve">            Legacy voice and data services</t>
  </si>
  <si>
    <t xml:space="preserve">            Legacy - Consumer - Other services</t>
  </si>
  <si>
    <t xml:space="preserve">        Legacy - Consumer service</t>
  </si>
  <si>
    <t xml:space="preserve">    Revenue - Legacy</t>
  </si>
  <si>
    <t xml:space="preserve">        Operations and support - Legacy - Business</t>
  </si>
  <si>
    <t xml:space="preserve">        Operations and support - Legacy - Consumer</t>
  </si>
  <si>
    <t xml:space="preserve">    Operations and support - Legacy</t>
  </si>
  <si>
    <t xml:space="preserve">        EBITDA - Legacy - Business</t>
  </si>
  <si>
    <t xml:space="preserve">        EBITDA - Legacy - Consumer</t>
  </si>
  <si>
    <t xml:space="preserve">    EBITDA - Legacy</t>
  </si>
  <si>
    <t xml:space="preserve">    Operating income/(loss) - Legacy</t>
  </si>
  <si>
    <t>Metrics</t>
  </si>
  <si>
    <t xml:space="preserve">        Consumer internet connections - net adds(K#)</t>
  </si>
  <si>
    <t xml:space="preserve">    Consumer internet connections(K#)</t>
  </si>
  <si>
    <t xml:space="preserve">        Customer location switched access lines - net adds(K#)</t>
  </si>
  <si>
    <t xml:space="preserve">    Customer location switched access lines(K#)</t>
  </si>
  <si>
    <t>AT&amp;T Inc. | Advanced Connectivity - Financials</t>
  </si>
  <si>
    <t>Consumer</t>
  </si>
  <si>
    <t xml:space="preserve">            Wireless service revenue - Consumer - Advanced connectivity</t>
  </si>
  <si>
    <t xml:space="preserve">            Advanced home internet services revenue - Advanced connectivity</t>
  </si>
  <si>
    <t xml:space="preserve">            Other services revenue - Advanced connectivity</t>
  </si>
  <si>
    <t xml:space="preserve">        Total service revenue - Consumer - Advanced connectivity</t>
  </si>
  <si>
    <t xml:space="preserve">        Equipment revenue - Consumer - Advanced connectivity</t>
  </si>
  <si>
    <t xml:space="preserve">    Advanced connectivity revenue - Consumer</t>
  </si>
  <si>
    <t>Business</t>
  </si>
  <si>
    <t xml:space="preserve">            Wireless service revenue - Business - Advanced connectivity</t>
  </si>
  <si>
    <t xml:space="preserve">            Business fiber and advanced connectivity services revenue - Advanced connectivity</t>
  </si>
  <si>
    <t xml:space="preserve">            Business transitional and other service revenue - Advanced connectivity</t>
  </si>
  <si>
    <t xml:space="preserve">        Total service revenue - Business - Advanced connectivity</t>
  </si>
  <si>
    <t xml:space="preserve">        Equipment revenue - Business - Advanced connectivity</t>
  </si>
  <si>
    <t xml:space="preserve">    Advanced connectivity revenue - Business</t>
  </si>
  <si>
    <t xml:space="preserve">            Service revenues - wireless</t>
  </si>
  <si>
    <t xml:space="preserve">        Equipment revenue - Advanced connectivity</t>
  </si>
  <si>
    <t xml:space="preserve">    Advanced connectivity revenue</t>
  </si>
  <si>
    <t xml:space="preserve">    Operations and support - Advanced connectivity</t>
  </si>
  <si>
    <t xml:space="preserve">    EBITDA - Advanced connectivity</t>
  </si>
  <si>
    <t xml:space="preserve">    Depreciation and amortization - Communications</t>
  </si>
  <si>
    <t xml:space="preserve">    Operating income/(loss) - Advanced connectivity</t>
  </si>
  <si>
    <t>AT&amp;T Inc. | Latin America</t>
  </si>
  <si>
    <t xml:space="preserve">        Vrio (Video entertainment) - International</t>
  </si>
  <si>
    <t xml:space="preserve">            Mexico wireless service revenue</t>
  </si>
  <si>
    <t xml:space="preserve">            Mexico wireless equipment revenue</t>
  </si>
  <si>
    <t xml:space="preserve">        Total Mexico Wireless revenue</t>
  </si>
  <si>
    <t xml:space="preserve">    Latin America revenue</t>
  </si>
  <si>
    <t xml:space="preserve">        Operations and Support - Mexico international</t>
  </si>
  <si>
    <t xml:space="preserve">        Operations and Support - International</t>
  </si>
  <si>
    <t xml:space="preserve">    Operations and support - Latin America</t>
  </si>
  <si>
    <t xml:space="preserve">        EBITDA - Mexico International</t>
  </si>
  <si>
    <t xml:space="preserve">        EBITDA - International</t>
  </si>
  <si>
    <t xml:space="preserve">    EBITDA - Latin America</t>
  </si>
  <si>
    <t xml:space="preserve">    Depreciation and amortization - Latin America</t>
  </si>
  <si>
    <t xml:space="preserve">    Total operating expenses - International</t>
  </si>
  <si>
    <t xml:space="preserve">    Operating income/(loss) - Latin America</t>
  </si>
  <si>
    <t xml:space="preserve">    Equity in Net Income (Loss) of Affiliates - International</t>
  </si>
  <si>
    <t xml:space="preserve">    Segment Income (Loss)- International</t>
  </si>
  <si>
    <t>Mexico - Wireless</t>
  </si>
  <si>
    <t xml:space="preserve">        Net Adds - Postpaid - Mexico international(K#)</t>
  </si>
  <si>
    <t xml:space="preserve">    Subscribers - Postpaid - Mexico international(K#)</t>
  </si>
  <si>
    <t xml:space="preserve">        Net Adds - Prepaid - Mexico international(K#)</t>
  </si>
  <si>
    <t xml:space="preserve">    Subscribers - Prepaid - Mexico international(K#)</t>
  </si>
  <si>
    <t xml:space="preserve">        Net Adds - Reseller - Mexico international(K#)</t>
  </si>
  <si>
    <t xml:space="preserve">    Subscribers - Reseller - Mexico international(K#)</t>
  </si>
  <si>
    <t xml:space="preserve">        Beginning Subscribers - Mexico international(K#)</t>
  </si>
  <si>
    <t xml:space="preserve">            Gross Additions - Mexico international(K#)</t>
  </si>
  <si>
    <t xml:space="preserve">            Disconnects - Mexico international(K#)</t>
  </si>
  <si>
    <t xml:space="preserve">            Monthly churn - Mexico international(%)</t>
  </si>
  <si>
    <t xml:space="preserve">        Net Additions - Mexico international(K#)</t>
  </si>
  <si>
    <t xml:space="preserve">        Adjustments/Other - Mexico international(K#)</t>
  </si>
  <si>
    <t xml:space="preserve">    Ending Subscribers - Mexico international(K#)</t>
  </si>
  <si>
    <t xml:space="preserve">    Average Subscribers - Mexico international(K#)</t>
  </si>
  <si>
    <t xml:space="preserve">    Service ARPU - Mexico international($)</t>
  </si>
  <si>
    <t xml:space="preserve">    Mexico wireless service revenue</t>
  </si>
  <si>
    <t xml:space="preserve">        Gross Additions - Mexico international(K#)</t>
  </si>
  <si>
    <t xml:space="preserve">        Equipment Revenue / Gross Additions - International($)</t>
  </si>
  <si>
    <t xml:space="preserve">        Mexico wireless equipment revenue</t>
  </si>
  <si>
    <t>Vrio</t>
  </si>
  <si>
    <t xml:space="preserve">    Vrio (Video entertainment) subscribers - international(K#)</t>
  </si>
  <si>
    <t xml:space="preserve">    Vrio (Video entertainment) net adds - international(K#)</t>
  </si>
  <si>
    <t xml:space="preserve">    Vrio (Video entertainment) average subscribers - international(K#)</t>
  </si>
  <si>
    <t xml:space="preserve">    Vrio (Video entertainment) ARPU - International($)</t>
  </si>
  <si>
    <t xml:space="preserve">    Vrio (Video entertainment) - International</t>
  </si>
  <si>
    <t>AT&amp;T Inc. | Advanced Connectivity - Internet</t>
  </si>
  <si>
    <t>Advanced Home Internet</t>
  </si>
  <si>
    <t xml:space="preserve">            AT&amp;T Fiber - Net adds(K#)</t>
  </si>
  <si>
    <t xml:space="preserve">        AT&amp;T Fiber connections(K#)</t>
  </si>
  <si>
    <t xml:space="preserve">        Average AT&amp;T Fiber connections(K#)</t>
  </si>
  <si>
    <t xml:space="preserve">        Fiber ARPU($)</t>
  </si>
  <si>
    <t xml:space="preserve">    Fiber revenue</t>
  </si>
  <si>
    <t xml:space="preserve">            AT&amp;T Internet Air - Net adds(K#)</t>
  </si>
  <si>
    <t xml:space="preserve">        AT&amp;T Internet Air connections(K#)</t>
  </si>
  <si>
    <t xml:space="preserve">        AT&amp;T Internet Air average connections(K#)</t>
  </si>
  <si>
    <t xml:space="preserve">        AT&amp;T Internet Air ARPU($)</t>
  </si>
  <si>
    <t xml:space="preserve">    AT&amp;T Internet Air revenue</t>
  </si>
  <si>
    <t xml:space="preserve">                Internal/Organic net adds - Advanced home internet connections(K#)</t>
  </si>
  <si>
    <t xml:space="preserve">                Net adds acquired - Advanced home internet connections(K#)</t>
  </si>
  <si>
    <t xml:space="preserve">            Advanced home internet connections - Net adds(K#)</t>
  </si>
  <si>
    <t xml:space="preserve">        Advanced home internet connections(K#)</t>
  </si>
  <si>
    <t xml:space="preserve">        Advanced home internet average connections(K#)</t>
  </si>
  <si>
    <t xml:space="preserve">        Advanced home ARPU($)</t>
  </si>
  <si>
    <t xml:space="preserve">    Advanced home internet services revenue - Advanced connectivity</t>
  </si>
  <si>
    <t xml:space="preserve">Advanced Connectivity Internet </t>
  </si>
  <si>
    <t xml:space="preserve">            AT&amp;T Business Fiber - Net adds(K#)</t>
  </si>
  <si>
    <t xml:space="preserve">            Internal/Organic net adds - Fiber(K#)</t>
  </si>
  <si>
    <t xml:space="preserve">            Net adds acquired - Fiber(K#)</t>
  </si>
  <si>
    <t xml:space="preserve">        Fiber - Net adds(K#)</t>
  </si>
  <si>
    <t xml:space="preserve">            Business FWA subs - net adds(K#)</t>
  </si>
  <si>
    <t xml:space="preserve">        Fixed wireless - Net adds(K#)</t>
  </si>
  <si>
    <t xml:space="preserve">        Internal/Organic net adds - Advanced Connectivity Internet(K#)</t>
  </si>
  <si>
    <t xml:space="preserve">        Net adds acquired - Advanced Connectivity Internet(K#)</t>
  </si>
  <si>
    <t xml:space="preserve">    Advanced Connectivity Internet - Net adds(K#)</t>
  </si>
  <si>
    <t xml:space="preserve">            AT&amp;T Fiber connections(K#)</t>
  </si>
  <si>
    <t xml:space="preserve">            AT&amp;T Business Fiber connections(K#)</t>
  </si>
  <si>
    <t xml:space="preserve">        Fiber connections(K#)</t>
  </si>
  <si>
    <t xml:space="preserve">            AT&amp;T Internet Air connections(K#)</t>
  </si>
  <si>
    <t xml:space="preserve">            Business fixed wireless(K#)</t>
  </si>
  <si>
    <t xml:space="preserve">        Fixed wireless connections(K#)</t>
  </si>
  <si>
    <t xml:space="preserve">    Advanced Connectivity Internet Connections(K#)</t>
  </si>
  <si>
    <t xml:space="preserve">        Advanced business connections(K#)</t>
  </si>
  <si>
    <t xml:space="preserve">        Advanced business ARPU($)</t>
  </si>
  <si>
    <t xml:space="preserve">    Business fiber and advanced connectivity services revenue - Advanced connectivity</t>
  </si>
  <si>
    <t>Converged Customers</t>
  </si>
  <si>
    <t xml:space="preserve">        AT&amp;T Fiber connections with AT&amp;T Wireless - Converged customers(K#)</t>
  </si>
  <si>
    <t xml:space="preserve">        FWA Home Internet connections with AT&amp;T Wireless - Converged customers(K#)</t>
  </si>
  <si>
    <t xml:space="preserve">    Advanced Home Internet connections with AT&amp;T Wireless - Converged customers(K#)</t>
  </si>
  <si>
    <t xml:space="preserve">        AT&amp;T Fiber connections with AT&amp;T Wireless - Converged(%)</t>
  </si>
  <si>
    <t xml:space="preserve">        FWA Home Internet connections with AT&amp;T Wireless - Converged(%)</t>
  </si>
  <si>
    <t xml:space="preserve">    Advanced Home Internet connections with AT&amp;T Wireless - Converged(%)</t>
  </si>
  <si>
    <t>Fiber location metrics</t>
  </si>
  <si>
    <t xml:space="preserve">            Internal/Organic net adds - Fiber broadband customer locations - Consumer(K#)</t>
  </si>
  <si>
    <t xml:space="preserve">            Net adds acquired - Fiber broadband customer locations - Consumer(K#)</t>
  </si>
  <si>
    <t xml:space="preserve">        Net adds - Fiber broadband customer locations - Consumer(K#)</t>
  </si>
  <si>
    <t xml:space="preserve">    IP-Fiber broadband home passed(K#)</t>
  </si>
  <si>
    <t xml:space="preserve">        Net adds - Fiber broadband customer locations - Commercial(K#)</t>
  </si>
  <si>
    <t xml:space="preserve">    Fiber broadband customer locations - Commercial(K#)</t>
  </si>
  <si>
    <t xml:space="preserve">            Internal/Organic net adds - Fiber broadband customer locations(K#)</t>
  </si>
  <si>
    <t xml:space="preserve">            Net adds acquired - Fiber broadband customer locations(K#)</t>
  </si>
  <si>
    <t xml:space="preserve">        Net adds - Fiber broadband customer locations(K#)</t>
  </si>
  <si>
    <t xml:space="preserve">    Total fiber broadband customer locations(K#)</t>
  </si>
  <si>
    <t>AT&amp;T Inc. | Advanced Connectivity - Wireless</t>
  </si>
  <si>
    <t>Consumer Postpaid Accounts</t>
  </si>
  <si>
    <t xml:space="preserve">        Consumer postpaid wireless accounts(K#)</t>
  </si>
  <si>
    <t xml:space="preserve">        Consumer postpaid wireless accounts - Average(K#)</t>
  </si>
  <si>
    <t xml:space="preserve">        Consumer postpaid wireless ARPA($)</t>
  </si>
  <si>
    <t xml:space="preserve">    Total revenue - Consumer postpaid wireless</t>
  </si>
  <si>
    <t>Consumer Postpaid Wireless</t>
  </si>
  <si>
    <t xml:space="preserve">        Net adds - Consumer postpaid wireless(K#)</t>
  </si>
  <si>
    <t xml:space="preserve">    Subscribers - Consumer postpaid wireless(K#)</t>
  </si>
  <si>
    <t>Consumer Prepaid Wireless</t>
  </si>
  <si>
    <t xml:space="preserve">            Net adds - Consumer prepaid wireless(K#)</t>
  </si>
  <si>
    <t xml:space="preserve">        Subscribers - Consumer prepaid wireless(K#)</t>
  </si>
  <si>
    <t xml:space="preserve">        Subscribers - Consumer prepaid wireless - Average(K#)</t>
  </si>
  <si>
    <t xml:space="preserve">        ARPU - Consumer prepaid wireless($)</t>
  </si>
  <si>
    <t xml:space="preserve">    Total revenue - Consumer prepaid wireless</t>
  </si>
  <si>
    <t>Postpaid phones</t>
  </si>
  <si>
    <t xml:space="preserve">                Beginning subs. - Postpaid Phones(K#)</t>
  </si>
  <si>
    <t xml:space="preserve">                    Gross adds. - Postpaid Phones(K#)</t>
  </si>
  <si>
    <t xml:space="preserve">                    Churn - Postpaid Phones(%)</t>
  </si>
  <si>
    <t xml:space="preserve">                    Disconnects - Postpaid Phones(K#)</t>
  </si>
  <si>
    <t xml:space="preserve">                Internal net adds - Postpaid Phones(K#)</t>
  </si>
  <si>
    <t xml:space="preserve">                Acquired net adds - Postpaid Phones(K#)</t>
  </si>
  <si>
    <t xml:space="preserve">            Total net adds - Postpaid Phones(K#)</t>
  </si>
  <si>
    <t xml:space="preserve">        Subscribers - Postpaid Phones(K#)</t>
  </si>
  <si>
    <t xml:space="preserve">        Average Subs. - Postpaid Phones(K#)</t>
  </si>
  <si>
    <t xml:space="preserve">        ARPU - Postpaid Phones($)</t>
  </si>
  <si>
    <t xml:space="preserve">    Revenue - Postpaid Phones</t>
  </si>
  <si>
    <t>Total Postpaid phones</t>
  </si>
  <si>
    <t xml:space="preserve">        Net additions - Smart phones(K#)</t>
  </si>
  <si>
    <t xml:space="preserve">        Net additions - Feature phones(K#)</t>
  </si>
  <si>
    <t xml:space="preserve">    Total net adds - Postpaid Phones(K#)</t>
  </si>
  <si>
    <t xml:space="preserve">        Subscribers - Smart phones(K#)</t>
  </si>
  <si>
    <t xml:space="preserve">        Subscribers - Feature phones(K#)</t>
  </si>
  <si>
    <t xml:space="preserve">    Subscribers - Postpaid Phones(K#)</t>
  </si>
  <si>
    <t>Prepaid phones</t>
  </si>
  <si>
    <t xml:space="preserve">                Beginnings subs - Prepaid Phones(K#)</t>
  </si>
  <si>
    <t xml:space="preserve">                    Gross adds - Prepaid Phones(K#)</t>
  </si>
  <si>
    <t xml:space="preserve">                    Churn - Prepaid Phones(%)</t>
  </si>
  <si>
    <t xml:space="preserve">                    Disconnects - Prepaid Phones(K#)</t>
  </si>
  <si>
    <t xml:space="preserve">                Internal/Organic net adds - Prepaid Phones(K#)</t>
  </si>
  <si>
    <t xml:space="preserve">                Acquired net adds - Prepaid Phones(K#)</t>
  </si>
  <si>
    <t xml:space="preserve">            Net adds - Prepaid Phones(K#)</t>
  </si>
  <si>
    <t xml:space="preserve">        Subscribers - Prepaid Phones(K#)</t>
  </si>
  <si>
    <t xml:space="preserve">        Average subs - Prepaid phones(K#)</t>
  </si>
  <si>
    <t xml:space="preserve">        ARPU - Prepaid Phones($)</t>
  </si>
  <si>
    <t xml:space="preserve">    Revenue - Prepaid Phones</t>
  </si>
  <si>
    <t>Total phones</t>
  </si>
  <si>
    <t xml:space="preserve">                Beginning subs - Phone(K#)</t>
  </si>
  <si>
    <t xml:space="preserve">                    Gross adds - Phone(K#)</t>
  </si>
  <si>
    <t xml:space="preserve">                    Churn - Phone(%)</t>
  </si>
  <si>
    <t xml:space="preserve">                    Disconnects - Phone(K#)</t>
  </si>
  <si>
    <t xml:space="preserve">                Internal/Organic net adds - Phone(K#)</t>
  </si>
  <si>
    <t xml:space="preserve">                Acquired net adds - Phone(K#)</t>
  </si>
  <si>
    <t xml:space="preserve">            Net adds - Phone(K#)</t>
  </si>
  <si>
    <t xml:space="preserve">        Subscribers - Phone(K#)</t>
  </si>
  <si>
    <t xml:space="preserve">        Average subscribers - Phone(K#)</t>
  </si>
  <si>
    <t xml:space="preserve">        ARPU - Phone($)</t>
  </si>
  <si>
    <t xml:space="preserve">    Revenue - Phone</t>
  </si>
  <si>
    <t>Other subscribers</t>
  </si>
  <si>
    <t xml:space="preserve">                Beginning subscribers - Other subscribers(K#)</t>
  </si>
  <si>
    <t xml:space="preserve">                    Gross adds - Other subscribers(K#)</t>
  </si>
  <si>
    <t xml:space="preserve">                    Churn - Other subscribers(%)</t>
  </si>
  <si>
    <t xml:space="preserve">                    Disconnects - Other subscribers(K#)</t>
  </si>
  <si>
    <t xml:space="preserve">                Internal/Organic net adds - Other subscribers(K#)</t>
  </si>
  <si>
    <t xml:space="preserve">                Acquired net adds - Other subscribers(K#)</t>
  </si>
  <si>
    <t xml:space="preserve">            Net adds - Other subscribers(K#)</t>
  </si>
  <si>
    <t xml:space="preserve">        Other subscribers(K#)</t>
  </si>
  <si>
    <t xml:space="preserve">        Average subsribers - Other subscribers(K#)</t>
  </si>
  <si>
    <t xml:space="preserve">        ARPU - Other subscribers($)</t>
  </si>
  <si>
    <t xml:space="preserve">    Revenue - Other subscribers</t>
  </si>
  <si>
    <t>Wireless retail subscribers</t>
  </si>
  <si>
    <t xml:space="preserve">    Churn - Wireless retail(%)</t>
  </si>
  <si>
    <t xml:space="preserve">    Gross adds - Wireless retail(K#)</t>
  </si>
  <si>
    <t xml:space="preserve">            Internal/Organic net adds - Wireless retail(K#)</t>
  </si>
  <si>
    <t xml:space="preserve">            Net adds acquired - Wireless retail(K#)</t>
  </si>
  <si>
    <t xml:space="preserve">        Net adds - Wireless retail(K#)</t>
  </si>
  <si>
    <t xml:space="preserve">    Subscribers - Wireless retail(K#)</t>
  </si>
  <si>
    <t xml:space="preserve">    Average subscribers - Wireless retail(K#)</t>
  </si>
  <si>
    <t xml:space="preserve">    ARPU - Wireless retail($)</t>
  </si>
  <si>
    <t xml:space="preserve">    Service revenues - wireless</t>
  </si>
  <si>
    <t>AT&amp;T Inc. (T) — Q3 2026 Earnings First Look</t>
  </si>
  <si>
    <t>$M (except for as noted)</t>
  </si>
  <si>
    <t>Total Revenue</t>
  </si>
  <si>
    <t>Advanced Connectivity</t>
  </si>
  <si>
    <t>Legacy</t>
  </si>
  <si>
    <t>Latin America Segment - Mexico</t>
  </si>
  <si>
    <t>Corporate</t>
  </si>
  <si>
    <t>Total EBITDA</t>
  </si>
  <si>
    <t>Total EBITDA Margin</t>
  </si>
  <si>
    <t>Advanced Connectivity Margin</t>
  </si>
  <si>
    <t>Legacy Margin</t>
  </si>
  <si>
    <t>Latin America Segment - Mexico Margin</t>
  </si>
  <si>
    <t>Cash From Operating Activities</t>
  </si>
  <si>
    <t>Capital Investment &amp; Distributions</t>
  </si>
  <si>
    <t>Free Cashflow</t>
  </si>
  <si>
    <t>Adjusted EPS</t>
  </si>
  <si>
    <t>Operational metrics</t>
  </si>
  <si>
    <t>Postpaid Phone Net Adds (in 000')</t>
  </si>
  <si>
    <t>Prepaid Phone Net Adds (in 000')</t>
  </si>
  <si>
    <t>Postpaid Phone-Only Churn (in %)</t>
  </si>
  <si>
    <t>Postpaid Phone ARPU (in $)</t>
  </si>
  <si>
    <t>Cons. Fiber Net Adds (in 000')</t>
  </si>
  <si>
    <t>Fiber ARPU (in $)</t>
  </si>
  <si>
    <t>Consumer Locations Passed w/ Fiber (in millions)</t>
  </si>
  <si>
    <t>Cons. FWA Net Adds (in 000')</t>
  </si>
  <si>
    <t>3Q25A</t>
  </si>
  <si>
    <t>2Q26A</t>
  </si>
  <si>
    <t>3Q26 Consensus</t>
  </si>
  <si>
    <t>3Q26A</t>
  </si>
  <si>
    <t>YoY Growth (3Q26 vs 3Q25)</t>
  </si>
  <si>
    <t>Beat/(Miss)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</si>
</sst>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"/>
    <numFmt numFmtId="165" formatCode="#,##0.00;\(#,##0.00\)"/>
    <numFmt numFmtId="166" formatCode="#,##0_);\(#,##0\);&quot;-&quot;_)"/>
    <numFmt numFmtId="167" formatCode="0.0%_);\(0.0%\);&quot;-&quot;_)"/>
    <numFmt numFmtId="168" formatCode="&quot;$&quot;0.00_);\(&quot;$&quot;0.00\);&quot;-&quot;_)"/>
    <numFmt numFmtId="169" formatCode="0.00%_);\(0.00%\);&quot;-&quot;_)"/>
    <numFmt numFmtId="170" formatCode="0.00_);\(0.00\);&quot;-&quot;_)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1"/>
      <color rgb="FF008000"/>
      <name val="Calibri"/>
    </font>
    <font>
      <sz val="11"/>
      <color rgb="FF008000"/>
      <name val="Calibri"/>
    </font>
    <font>
      <b/>
      <sz val="11"/>
      <color rgb="FF0000FF"/>
      <name val="Calibri"/>
    </font>
    <font>
      <sz val="11"/>
      <color rgb="FF0000FF"/>
      <name val="Calibri"/>
    </font>
    <font>
      <i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5" fillId="0" borderId="0" xfId="0" applyFont="1"/>
    <xf numFmtId="0" fontId="6" fillId="0" borderId="0" xfId="0" applyFont="1"/>
    <xf numFmtId="0" fontId="8" fillId="0" borderId="1" xfId="0" applyFont="1" applyBorder="1"/>
    <xf numFmtId="0" fontId="7" fillId="0" borderId="1" xfId="0" applyFont="1" applyBorder="1"/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right" vertical="center" wrapText="1"/>
    </xf>
    <xf numFmtId="0" fontId="7" fillId="4" borderId="0" xfId="0" applyFont="1" applyFill="1"/>
    <xf numFmtId="0" fontId="7" fillId="0" borderId="0" xfId="0" applyFont="1" applyAlignment="1">
      <alignment indent="1"/>
    </xf>
    <xf numFmtId="0" fontId="5" fillId="0" borderId="0" xfId="0" applyFont="1" applyAlignment="1">
      <alignment indent="1"/>
    </xf>
    <xf numFmtId="0" fontId="5" fillId="0" borderId="0" xfId="0" applyFont="1" applyAlignment="1">
      <alignment indent="2"/>
    </xf>
    <xf numFmtId="166" fontId="10" fillId="4" borderId="0" xfId="0" applyNumberFormat="1" applyFont="1" applyFill="1" applyAlignment="1">
      <alignment horizontal="right"/>
    </xf>
    <xf numFmtId="166" fontId="12" fillId="4" borderId="0" xfId="0" applyNumberFormat="1" applyFont="1" applyFill="1" applyAlignment="1">
      <alignment horizontal="right"/>
    </xf>
    <xf numFmtId="167" fontId="7" fillId="4" borderId="0" xfId="0" applyNumberFormat="1" applyFont="1" applyFill="1" applyAlignment="1">
      <alignment horizontal="right"/>
    </xf>
    <xf numFmtId="166" fontId="11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7" fillId="4" borderId="0" xfId="0" applyFont="1" applyFill="1" applyAlignment="1">
      <alignment horizontal="right"/>
    </xf>
    <xf numFmtId="169" fontId="11" fillId="0" borderId="0" xfId="0" applyNumberFormat="1" applyFont="1" applyAlignment="1">
      <alignment horizontal="right"/>
    </xf>
    <xf numFmtId="169" fontId="13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horizontal="right"/>
    </xf>
    <xf numFmtId="168" fontId="13" fillId="0" borderId="0" xfId="0" applyNumberFormat="1" applyFont="1" applyAlignment="1">
      <alignment horizontal="right"/>
    </xf>
    <xf numFmtId="170" fontId="11" fillId="0" borderId="0" xfId="0" applyNumberFormat="1" applyFont="1" applyAlignment="1">
      <alignment horizontal="right"/>
    </xf>
    <xf numFmtId="170" fontId="13" fillId="0" borderId="0" xfId="0" applyNumberFormat="1" applyFont="1" applyAlignment="1">
      <alignment horizontal="right"/>
    </xf>
    <xf numFmtId="0" fontId="14" fillId="0" borderId="0" xfId="0" applyFont="1"/>
    <xf numFmtId="0" fontId="5" fillId="0" borderId="1" xfId="0" applyFont="1" applyBorder="1"/>
    <xf numFmtId="166" fontId="11" fillId="0" borderId="1" xfId="0" applyNumberFormat="1" applyFont="1" applyBorder="1" applyAlignment="1">
      <alignment horizontal="right"/>
    </xf>
    <xf numFmtId="166" fontId="13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0" fontId="7" fillId="4" borderId="1" xfId="0" applyFont="1" applyFill="1" applyBorder="1"/>
    <xf numFmtId="168" fontId="10" fillId="4" borderId="1" xfId="0" applyNumberFormat="1" applyFont="1" applyFill="1" applyBorder="1" applyAlignment="1">
      <alignment horizontal="right"/>
    </xf>
    <xf numFmtId="168" fontId="12" fillId="4" borderId="1" xfId="0" applyNumberFormat="1" applyFont="1" applyFill="1" applyBorder="1" applyAlignment="1">
      <alignment horizontal="right"/>
    </xf>
    <xf numFmtId="167" fontId="7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A09E04-61E9-4B3A-AF84-6F89FE5537F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fbb2167-4c65-452c-b372-6ed8874e4f2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C992-9640-47DA-AF75-9E30CE03D8C3}">
  <dimension ref="A1:G35"/>
  <sheetViews>
    <sheetView showGridLines="0" tabSelected="1" zoomScale="85" zoomScaleNormal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51.42578125" customWidth="1"/>
    <col min="2" max="5" width="14.85546875" customWidth="1"/>
    <col min="6" max="7" width="17.5703125" customWidth="1"/>
  </cols>
  <sheetData>
    <row r="1" spans="1:7" ht="15.75" x14ac:dyDescent="0.25">
      <c r="A1" s="10"/>
      <c r="B1" s="9"/>
      <c r="C1" s="9"/>
      <c r="D1" s="9"/>
      <c r="E1" s="9"/>
      <c r="F1" s="9"/>
      <c r="G1" s="9"/>
    </row>
    <row r="2" spans="1:7" ht="18.75" x14ac:dyDescent="0.3">
      <c r="A2" s="11" t="s">
        <v>458</v>
      </c>
      <c r="B2" s="12"/>
      <c r="C2" s="12"/>
      <c r="D2" s="12"/>
      <c r="E2" s="12"/>
      <c r="F2" s="12"/>
      <c r="G2" s="12"/>
    </row>
    <row r="3" spans="1:7" ht="32.1" customHeight="1" x14ac:dyDescent="0.25">
      <c r="A3" s="13" t="s">
        <v>459</v>
      </c>
      <c r="B3" s="14" t="s">
        <v>483</v>
      </c>
      <c r="C3" s="14" t="s">
        <v>484</v>
      </c>
      <c r="D3" s="14" t="s">
        <v>485</v>
      </c>
      <c r="E3" s="14" t="s">
        <v>486</v>
      </c>
      <c r="F3" s="14" t="s">
        <v>487</v>
      </c>
      <c r="G3" s="14" t="s">
        <v>488</v>
      </c>
    </row>
    <row r="4" spans="1:7" x14ac:dyDescent="0.25">
      <c r="A4" s="15" t="s">
        <v>460</v>
      </c>
      <c r="B4" s="19">
        <f>Segment!D30</f>
        <v>30709</v>
      </c>
      <c r="C4" s="19">
        <f>Segment!H30</f>
        <v>31558</v>
      </c>
      <c r="D4" s="19">
        <f>Segment!I30</f>
        <v>31667.9</v>
      </c>
      <c r="E4" s="20"/>
      <c r="F4" s="21" t="str">
        <f>IF(E4="","",(E4-B4)/B4)</f>
        <v/>
      </c>
      <c r="G4" s="21" t="str">
        <f>IF(E4="","",(E4-D4)/D4)</f>
        <v/>
      </c>
    </row>
    <row r="5" spans="1:7" x14ac:dyDescent="0.25">
      <c r="A5" s="16" t="s">
        <v>461</v>
      </c>
      <c r="B5" s="22">
        <f>Segment!D25</f>
        <v>27503</v>
      </c>
      <c r="C5" s="22">
        <f>Segment!H25</f>
        <v>28615</v>
      </c>
      <c r="D5" s="22">
        <f>Segment!I25</f>
        <v>28914.47</v>
      </c>
      <c r="E5" s="23"/>
      <c r="F5" s="24" t="str">
        <f>IF(E5="","",(E5-B5)/B5)</f>
        <v/>
      </c>
      <c r="G5" s="24" t="str">
        <f>IF(E5="","",(E5-D5)/D5)</f>
        <v/>
      </c>
    </row>
    <row r="6" spans="1:7" x14ac:dyDescent="0.25">
      <c r="A6" s="18" t="s">
        <v>257</v>
      </c>
      <c r="B6" s="22">
        <f>Segment!D23</f>
        <v>21274</v>
      </c>
      <c r="C6" s="22">
        <f>Segment!H23</f>
        <v>22329</v>
      </c>
      <c r="D6" s="22">
        <f>Segment!I23</f>
        <v>22529.96</v>
      </c>
      <c r="E6" s="23"/>
      <c r="F6" s="24" t="str">
        <f>IF(E6="","",(E6-B6)/B6)</f>
        <v/>
      </c>
      <c r="G6" s="24" t="str">
        <f>IF(E6="","",(E6-D6)/D6)</f>
        <v/>
      </c>
    </row>
    <row r="7" spans="1:7" x14ac:dyDescent="0.25">
      <c r="A7" s="18" t="s">
        <v>264</v>
      </c>
      <c r="B7" s="22">
        <f>Segment!D24</f>
        <v>6229</v>
      </c>
      <c r="C7" s="22">
        <f>Segment!H24</f>
        <v>6286</v>
      </c>
      <c r="D7" s="22">
        <f>Segment!I24</f>
        <v>6351.39</v>
      </c>
      <c r="E7" s="23"/>
      <c r="F7" s="24" t="str">
        <f>IF(E7="","",(E7-B7)/B7)</f>
        <v/>
      </c>
      <c r="G7" s="24" t="str">
        <f>IF(E7="","",(E7-D7)/D7)</f>
        <v/>
      </c>
    </row>
    <row r="8" spans="1:7" x14ac:dyDescent="0.25">
      <c r="A8" s="17" t="s">
        <v>462</v>
      </c>
      <c r="B8" s="22">
        <f>Segment!D26</f>
        <v>2013</v>
      </c>
      <c r="C8" s="22">
        <f>Segment!H26</f>
        <v>1632</v>
      </c>
      <c r="D8" s="22">
        <f>Segment!I26</f>
        <v>1504.54</v>
      </c>
      <c r="E8" s="23"/>
      <c r="F8" s="24" t="str">
        <f>IF(E8="","",(E8-B8)/B8)</f>
        <v/>
      </c>
      <c r="G8" s="24" t="str">
        <f>IF(E8="","",(E8-D8)/D8)</f>
        <v/>
      </c>
    </row>
    <row r="9" spans="1:7" x14ac:dyDescent="0.25">
      <c r="A9" s="17" t="s">
        <v>463</v>
      </c>
      <c r="B9" s="22">
        <f>Segment!D28</f>
        <v>1095</v>
      </c>
      <c r="C9" s="22">
        <f>Segment!H28</f>
        <v>1224</v>
      </c>
      <c r="D9" s="22">
        <f>Segment!I28</f>
        <v>1149.49</v>
      </c>
      <c r="E9" s="23"/>
      <c r="F9" s="24" t="str">
        <f>IF(E9="","",(E9-B9)/B9)</f>
        <v/>
      </c>
      <c r="G9" s="24" t="str">
        <f>IF(E9="","",(E9-D9)/D9)</f>
        <v/>
      </c>
    </row>
    <row r="10" spans="1:7" x14ac:dyDescent="0.25">
      <c r="A10" s="17" t="s">
        <v>464</v>
      </c>
      <c r="B10" s="22">
        <f>Segment!D29</f>
        <v>98</v>
      </c>
      <c r="C10" s="22">
        <f>Segment!H29</f>
        <v>87</v>
      </c>
      <c r="D10" s="22">
        <f>Segment!I29</f>
        <v>91.86</v>
      </c>
      <c r="E10" s="23"/>
      <c r="F10" s="24" t="str">
        <f>IF(E10="","",(E10-B10)/B10)</f>
        <v/>
      </c>
      <c r="G10" s="24" t="str">
        <f>IF(E10="","",(E10-D10)/D10)</f>
        <v/>
      </c>
    </row>
    <row r="11" spans="1:7" x14ac:dyDescent="0.25">
      <c r="A11" s="15" t="s">
        <v>465</v>
      </c>
      <c r="B11" s="19">
        <f>'Income Statement'!D35</f>
        <v>11861</v>
      </c>
      <c r="C11" s="19">
        <f>'Income Statement'!H35</f>
        <v>12338</v>
      </c>
      <c r="D11" s="19">
        <f>'Income Statement'!I35</f>
        <v>12325.8</v>
      </c>
      <c r="E11" s="20"/>
      <c r="F11" s="21" t="str">
        <f>IF(E11="","",(E11-B11)/B11)</f>
        <v/>
      </c>
      <c r="G11" s="21" t="str">
        <f>IF(E11="","",(E11-D11)/D11)</f>
        <v/>
      </c>
    </row>
    <row r="12" spans="1:7" x14ac:dyDescent="0.25">
      <c r="A12" s="16" t="s">
        <v>461</v>
      </c>
      <c r="B12" s="22">
        <f>Segment!D43</f>
        <v>11493</v>
      </c>
      <c r="C12" s="22">
        <f>Segment!H43</f>
        <v>12032</v>
      </c>
      <c r="D12" s="22">
        <f>Segment!I43</f>
        <v>12240.49</v>
      </c>
      <c r="E12" s="23"/>
      <c r="F12" s="24" t="str">
        <f>IF(E12="","",(E12-B12)/B12)</f>
        <v/>
      </c>
      <c r="G12" s="24" t="str">
        <f>IF(E12="","",(E12-D12)/D12)</f>
        <v/>
      </c>
    </row>
    <row r="13" spans="1:7" x14ac:dyDescent="0.25">
      <c r="A13" s="17" t="s">
        <v>462</v>
      </c>
      <c r="B13" s="22">
        <f>Segment!D44</f>
        <v>679</v>
      </c>
      <c r="C13" s="22">
        <f>Segment!H44</f>
        <v>523</v>
      </c>
      <c r="D13" s="22">
        <f>Segment!I44</f>
        <v>414.73</v>
      </c>
      <c r="E13" s="23"/>
      <c r="F13" s="24" t="str">
        <f>IF(E13="","",(E13-B13)/B13)</f>
        <v/>
      </c>
      <c r="G13" s="24" t="str">
        <f>IF(E13="","",(E13-D13)/D13)</f>
        <v/>
      </c>
    </row>
    <row r="14" spans="1:7" x14ac:dyDescent="0.25">
      <c r="A14" s="17" t="s">
        <v>463</v>
      </c>
      <c r="B14" s="22">
        <f>Segment!D46</f>
        <v>199</v>
      </c>
      <c r="C14" s="22">
        <f>Segment!H46</f>
        <v>227</v>
      </c>
      <c r="D14" s="22">
        <f>Segment!I46</f>
        <v>205.57</v>
      </c>
      <c r="E14" s="23"/>
      <c r="F14" s="24" t="str">
        <f>IF(E14="","",(E14-B14)/B14)</f>
        <v/>
      </c>
      <c r="G14" s="24" t="str">
        <f>IF(E14="","",(E14-D14)/D14)</f>
        <v/>
      </c>
    </row>
    <row r="15" spans="1:7" x14ac:dyDescent="0.25">
      <c r="A15" s="17" t="s">
        <v>464</v>
      </c>
      <c r="B15" s="25">
        <f>B11-B12-B13-B14</f>
        <v>-510</v>
      </c>
      <c r="C15" s="25">
        <f>C11-C12-C13-C14</f>
        <v>-444</v>
      </c>
      <c r="D15" s="25">
        <f>D11-D12-D13-D14</f>
        <v>-534.99000000000046</v>
      </c>
      <c r="E15" s="25" t="str">
        <f>IF(OR(E11="",E12="",E13="",E14=""),"",E11-E12-E13-E14)</f>
        <v/>
      </c>
      <c r="F15" s="24" t="str">
        <f>IF(E15="","",(E15-B15)/B15)</f>
        <v/>
      </c>
      <c r="G15" s="24" t="str">
        <f>IF(E15="","",(E15-D15)/D15)</f>
        <v/>
      </c>
    </row>
    <row r="16" spans="1:7" x14ac:dyDescent="0.25">
      <c r="A16" s="9" t="s">
        <v>466</v>
      </c>
      <c r="B16" s="24">
        <f>B11/B4</f>
        <v>0.38623856198508583</v>
      </c>
      <c r="C16" s="24">
        <f>C11/C4</f>
        <v>0.39096267190569745</v>
      </c>
      <c r="D16" s="24">
        <f>D11/D4</f>
        <v>0.38922063035439669</v>
      </c>
      <c r="E16" s="24" t="str">
        <f>IF(OR(E11="",E4=""),"",E11/E4)</f>
        <v/>
      </c>
      <c r="F16" s="24" t="str">
        <f>IF(E16="","",E16-B16)</f>
        <v/>
      </c>
      <c r="G16" s="24" t="str">
        <f>IF(E16="","",E16-D16)</f>
        <v/>
      </c>
    </row>
    <row r="17" spans="1:7" x14ac:dyDescent="0.25">
      <c r="A17" s="16" t="s">
        <v>467</v>
      </c>
      <c r="B17" s="24">
        <f>B12/B5</f>
        <v>0.41788168563429445</v>
      </c>
      <c r="C17" s="24">
        <f>C12/C5</f>
        <v>0.42047876987593918</v>
      </c>
      <c r="D17" s="24">
        <f>D12/D5</f>
        <v>0.42333440661371274</v>
      </c>
      <c r="E17" s="24" t="str">
        <f>IF(OR(E12="",E5=""),"",E12/E5)</f>
        <v/>
      </c>
      <c r="F17" s="24" t="str">
        <f>IF(E17="","",E17-B17)</f>
        <v/>
      </c>
      <c r="G17" s="24" t="str">
        <f>IF(E17="","",E17-D17)</f>
        <v/>
      </c>
    </row>
    <row r="18" spans="1:7" x14ac:dyDescent="0.25">
      <c r="A18" s="17" t="s">
        <v>468</v>
      </c>
      <c r="B18" s="24">
        <f>B13/B8</f>
        <v>0.33730750124192749</v>
      </c>
      <c r="C18" s="24">
        <f>C13/C8</f>
        <v>0.32046568627450983</v>
      </c>
      <c r="D18" s="24">
        <f>D13/D8</f>
        <v>0.27565235886051553</v>
      </c>
      <c r="E18" s="24" t="str">
        <f>IF(OR(E13="",E8=""),"",E13/E8)</f>
        <v/>
      </c>
      <c r="F18" s="24" t="str">
        <f>IF(E18="","",E18-B18)</f>
        <v/>
      </c>
      <c r="G18" s="24" t="str">
        <f>IF(E18="","",E18-D18)</f>
        <v/>
      </c>
    </row>
    <row r="19" spans="1:7" x14ac:dyDescent="0.25">
      <c r="A19" s="17" t="s">
        <v>469</v>
      </c>
      <c r="B19" s="24">
        <f>B14/B9</f>
        <v>0.18173515981735161</v>
      </c>
      <c r="C19" s="24">
        <f>C14/C9</f>
        <v>0.18545751633986929</v>
      </c>
      <c r="D19" s="24">
        <f>D14/D9</f>
        <v>0.17883583154268415</v>
      </c>
      <c r="E19" s="24" t="str">
        <f>IF(OR(E14="",E9=""),"",E14/E9)</f>
        <v/>
      </c>
      <c r="F19" s="24" t="str">
        <f>IF(E19="","",E19-B19)</f>
        <v/>
      </c>
      <c r="G19" s="24" t="str">
        <f>IF(E19="","",E19-D19)</f>
        <v/>
      </c>
    </row>
    <row r="20" spans="1:7" x14ac:dyDescent="0.25">
      <c r="A20" s="9" t="s">
        <v>470</v>
      </c>
      <c r="B20" s="22">
        <f>'Cash Flow'!D31</f>
        <v>10152</v>
      </c>
      <c r="C20" s="22">
        <f>'Cash Flow'!H31</f>
        <v>10801</v>
      </c>
      <c r="D20" s="22">
        <f>'Cash Flow'!I31</f>
        <v>10667.33</v>
      </c>
      <c r="E20" s="23"/>
      <c r="F20" s="24" t="str">
        <f>IF(E20="","",(E20-B20)/B20)</f>
        <v/>
      </c>
      <c r="G20" s="24" t="str">
        <f>IF(E20="","",(E20-D20)/D20)</f>
        <v/>
      </c>
    </row>
    <row r="21" spans="1:7" x14ac:dyDescent="0.25">
      <c r="A21" s="9" t="s">
        <v>471</v>
      </c>
      <c r="B21" s="22">
        <f>'Cash Flow'!D65</f>
        <v>5287</v>
      </c>
      <c r="C21" s="22">
        <f>'Cash Flow'!H65</f>
        <v>6131</v>
      </c>
      <c r="D21" s="22">
        <f>'Cash Flow'!I65</f>
        <v>5839.69</v>
      </c>
      <c r="E21" s="23"/>
      <c r="F21" s="24" t="str">
        <f>IF(E21="","",(E21-B21)/B21)</f>
        <v/>
      </c>
      <c r="G21" s="24" t="str">
        <f>IF(E21="","",(E21-D21)/D21)</f>
        <v/>
      </c>
    </row>
    <row r="22" spans="1:7" x14ac:dyDescent="0.25">
      <c r="A22" s="9" t="s">
        <v>472</v>
      </c>
      <c r="B22" s="22">
        <f>'Free Cash Flow'!D23</f>
        <v>4865</v>
      </c>
      <c r="C22" s="22">
        <f>'Free Cash Flow'!H23</f>
        <v>4670</v>
      </c>
      <c r="D22" s="22">
        <f>'Free Cash Flow'!I23</f>
        <v>4900.42</v>
      </c>
      <c r="E22" s="23"/>
      <c r="F22" s="24" t="str">
        <f>IF(E22="","",(E22-B22)/B22)</f>
        <v/>
      </c>
      <c r="G22" s="24" t="str">
        <f>IF(E22="","",(E22-D22)/D22)</f>
        <v/>
      </c>
    </row>
    <row r="23" spans="1:7" x14ac:dyDescent="0.25">
      <c r="A23" s="40" t="s">
        <v>473</v>
      </c>
      <c r="B23" s="41">
        <f>'Income Statement'!D62</f>
        <v>0.54</v>
      </c>
      <c r="C23" s="41">
        <f>'Income Statement'!H62</f>
        <v>0.65</v>
      </c>
      <c r="D23" s="41">
        <f>'Income Statement'!I62</f>
        <v>0.6</v>
      </c>
      <c r="E23" s="42"/>
      <c r="F23" s="43" t="str">
        <f>IF(E23="","",(E23-B23)/B23)</f>
        <v/>
      </c>
      <c r="G23" s="43" t="str">
        <f>IF(E23="","",(E23-D23)/D23)</f>
        <v/>
      </c>
    </row>
    <row r="24" spans="1:7" x14ac:dyDescent="0.25">
      <c r="A24" s="9"/>
      <c r="B24" s="26"/>
      <c r="C24" s="26"/>
      <c r="D24" s="26"/>
      <c r="E24" s="26"/>
      <c r="F24" s="26"/>
      <c r="G24" s="26"/>
    </row>
    <row r="25" spans="1:7" x14ac:dyDescent="0.25">
      <c r="A25" s="15" t="s">
        <v>474</v>
      </c>
      <c r="B25" s="27"/>
      <c r="C25" s="27"/>
      <c r="D25" s="27"/>
      <c r="E25" s="27"/>
      <c r="F25" s="27"/>
      <c r="G25" s="27"/>
    </row>
    <row r="26" spans="1:7" x14ac:dyDescent="0.25">
      <c r="A26" s="9" t="s">
        <v>475</v>
      </c>
      <c r="B26" s="22">
        <f>'AC Wireless'!D38</f>
        <v>405</v>
      </c>
      <c r="C26" s="22">
        <f>'AC Wireless'!H38</f>
        <v>432</v>
      </c>
      <c r="D26" s="22">
        <f>'AC Wireless'!I38</f>
        <v>382.61</v>
      </c>
      <c r="E26" s="23"/>
      <c r="F26" s="24" t="str">
        <f>IF(E26="","",(E26-B26)/B26)</f>
        <v/>
      </c>
      <c r="G26" s="24" t="str">
        <f>IF(E26="","",(E26-D26)/D26)</f>
        <v/>
      </c>
    </row>
    <row r="27" spans="1:7" x14ac:dyDescent="0.25">
      <c r="A27" s="9" t="s">
        <v>476</v>
      </c>
      <c r="B27" s="22">
        <f>'AC Wireless'!D60</f>
        <v>-83</v>
      </c>
      <c r="C27" s="22">
        <f>'AC Wireless'!H60</f>
        <v>4</v>
      </c>
      <c r="D27" s="22">
        <f>'AC Wireless'!I60</f>
        <v>-67.97</v>
      </c>
      <c r="E27" s="23"/>
      <c r="F27" s="24" t="str">
        <f>IF(E27="","",(E27-B27)/B27)</f>
        <v/>
      </c>
      <c r="G27" s="24" t="str">
        <f>IF(E27="","",(E27-D27)/D27)</f>
        <v/>
      </c>
    </row>
    <row r="28" spans="1:7" x14ac:dyDescent="0.25">
      <c r="A28" s="9" t="s">
        <v>477</v>
      </c>
      <c r="B28" s="28">
        <f>'AC Wireless'!D36</f>
        <v>9.1999999999999998E-3</v>
      </c>
      <c r="C28" s="28">
        <f>'AC Wireless'!H36</f>
        <v>8.6E-3</v>
      </c>
      <c r="D28" s="28">
        <f>'AC Wireless'!I36</f>
        <v>9.1000000000000004E-3</v>
      </c>
      <c r="E28" s="29"/>
      <c r="F28" s="30" t="str">
        <f>IF(E28="","",E28-B28)</f>
        <v/>
      </c>
      <c r="G28" s="30" t="str">
        <f>IF(E28="","",E28-D28)</f>
        <v/>
      </c>
    </row>
    <row r="29" spans="1:7" x14ac:dyDescent="0.25">
      <c r="A29" s="9" t="s">
        <v>478</v>
      </c>
      <c r="B29" s="31">
        <f>'AC Wireless'!D43</f>
        <v>56.64</v>
      </c>
      <c r="C29" s="31">
        <f>'AC Wireless'!H43</f>
        <v>58.01</v>
      </c>
      <c r="D29" s="31">
        <f>'AC Wireless'!I43</f>
        <v>57.57</v>
      </c>
      <c r="E29" s="32"/>
      <c r="F29" s="24" t="str">
        <f>IF(E29="","",(E29-B29)/B29)</f>
        <v/>
      </c>
      <c r="G29" s="24" t="str">
        <f>IF(E29="","",(E29-D29)/D29)</f>
        <v/>
      </c>
    </row>
    <row r="30" spans="1:7" x14ac:dyDescent="0.25">
      <c r="A30" s="9" t="s">
        <v>479</v>
      </c>
      <c r="B30" s="22">
        <f>'AC Internet'!D17</f>
        <v>288</v>
      </c>
      <c r="C30" s="22">
        <f>'AC Internet'!H17</f>
        <v>344</v>
      </c>
      <c r="D30" s="22">
        <f>'AC Internet'!I17</f>
        <v>364.28</v>
      </c>
      <c r="E30" s="23"/>
      <c r="F30" s="24" t="str">
        <f>IF(E30="","",(E30-B30)/B30)</f>
        <v/>
      </c>
      <c r="G30" s="24" t="str">
        <f>IF(E30="","",(E30-D30)/D30)</f>
        <v/>
      </c>
    </row>
    <row r="31" spans="1:7" x14ac:dyDescent="0.25">
      <c r="A31" s="9" t="s">
        <v>480</v>
      </c>
      <c r="B31" s="31">
        <f>'AC Internet'!D20</f>
        <v>73.48</v>
      </c>
      <c r="C31" s="31">
        <f>'AC Internet'!H20</f>
        <v>72.290000000000006</v>
      </c>
      <c r="D31" s="31">
        <f>'AC Internet'!I20</f>
        <v>73.05</v>
      </c>
      <c r="E31" s="32"/>
      <c r="F31" s="24" t="str">
        <f>IF(E31="","",(E31-B31)/B31)</f>
        <v/>
      </c>
      <c r="G31" s="24" t="str">
        <f>IF(E31="","",(E31-D31)/D31)</f>
        <v/>
      </c>
    </row>
    <row r="32" spans="1:7" x14ac:dyDescent="0.25">
      <c r="A32" s="9" t="s">
        <v>481</v>
      </c>
      <c r="B32" s="33">
        <f>'AC Internet'!D77/1000</f>
        <v>25.4</v>
      </c>
      <c r="C32" s="33">
        <f>'AC Internet'!H77/1000</f>
        <v>32.1</v>
      </c>
      <c r="D32" s="33">
        <f>'AC Internet'!I77/1000</f>
        <v>33.024349999999998</v>
      </c>
      <c r="E32" s="34"/>
      <c r="F32" s="24" t="str">
        <f>IF(E32="","",(E32-B32)/B32)</f>
        <v/>
      </c>
      <c r="G32" s="24" t="str">
        <f>IF(E32="","",(E32-D32)/D32)</f>
        <v/>
      </c>
    </row>
    <row r="33" spans="1:7" x14ac:dyDescent="0.25">
      <c r="A33" s="36" t="s">
        <v>482</v>
      </c>
      <c r="B33" s="37">
        <f>'AC Internet'!D23</f>
        <v>270</v>
      </c>
      <c r="C33" s="37">
        <f>'AC Internet'!H23</f>
        <v>215</v>
      </c>
      <c r="D33" s="37">
        <f>'AC Internet'!I23</f>
        <v>245.41</v>
      </c>
      <c r="E33" s="38"/>
      <c r="F33" s="39" t="str">
        <f>IF(E33="","",(E33-B33)/B33)</f>
        <v/>
      </c>
      <c r="G33" s="39" t="str">
        <f>IF(E33="","",(E33-D33)/D33)</f>
        <v/>
      </c>
    </row>
    <row r="34" spans="1:7" x14ac:dyDescent="0.25">
      <c r="A34" s="9"/>
      <c r="B34" s="9"/>
      <c r="C34" s="9"/>
      <c r="D34" s="9"/>
      <c r="E34" s="9"/>
      <c r="F34" s="9"/>
      <c r="G34" s="9"/>
    </row>
    <row r="35" spans="1:7" x14ac:dyDescent="0.25">
      <c r="A35" s="35"/>
      <c r="B35" s="9"/>
      <c r="C35" s="9"/>
      <c r="D35" s="9"/>
      <c r="E35" s="9"/>
      <c r="F35" s="9"/>
      <c r="G35" s="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1279-CFCC-493C-9CA5-7C1558D7A8DD}">
  <sheetPr>
    <tabColor theme="6"/>
  </sheetPr>
  <dimension ref="A1"/>
  <sheetViews>
    <sheetView workbookViewId="0">
      <selection activeCell="K28" sqref="K2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F3AA-E79B-49B7-80D6-F314747007FC}">
  <dimension ref="A1:AE39"/>
  <sheetViews>
    <sheetView zoomScale="85" zoomScaleNormal="85" workbookViewId="0">
      <selection activeCell="I22" sqref="I22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0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47</v>
      </c>
      <c r="B16" s="6">
        <v>12367.98</v>
      </c>
      <c r="C16" s="6">
        <v>12529.32</v>
      </c>
      <c r="D16" s="6">
        <v>12506.88</v>
      </c>
      <c r="E16" s="6">
        <v>12559.81</v>
      </c>
      <c r="F16" s="6">
        <v>49963.99</v>
      </c>
      <c r="G16" s="6">
        <v>12606</v>
      </c>
      <c r="H16" s="6">
        <v>13002.13</v>
      </c>
      <c r="I16" s="6">
        <v>12974.19</v>
      </c>
      <c r="J16" s="6">
        <v>13029.43</v>
      </c>
      <c r="K16" s="6">
        <v>51619.5</v>
      </c>
      <c r="L16" s="6">
        <v>13055.68</v>
      </c>
      <c r="M16" s="6">
        <v>13282.62</v>
      </c>
      <c r="N16" s="6">
        <v>13309.32</v>
      </c>
      <c r="O16" s="6">
        <v>13348.75</v>
      </c>
      <c r="P16" s="6">
        <v>52964.38</v>
      </c>
      <c r="Q16" s="6">
        <v>13348.78</v>
      </c>
      <c r="R16" s="6">
        <v>13588.7</v>
      </c>
      <c r="S16" s="6">
        <v>13554.23</v>
      </c>
      <c r="T16" s="6">
        <v>13641.23</v>
      </c>
      <c r="U16" s="6">
        <v>54139.56</v>
      </c>
      <c r="V16" s="6">
        <v>13602.74</v>
      </c>
      <c r="W16" s="6">
        <v>13900.58</v>
      </c>
      <c r="X16" s="6">
        <v>13850.67</v>
      </c>
      <c r="Y16" s="6">
        <v>13853.6</v>
      </c>
      <c r="Z16" s="6">
        <v>55176.6</v>
      </c>
      <c r="AA16" s="6">
        <v>13842.67</v>
      </c>
      <c r="AB16" s="6">
        <v>14136.45</v>
      </c>
      <c r="AC16" s="6">
        <v>14092.59</v>
      </c>
      <c r="AD16" s="6">
        <v>14089.93</v>
      </c>
      <c r="AE16" s="6">
        <v>56133.23</v>
      </c>
    </row>
    <row r="17" spans="1:31" x14ac:dyDescent="0.25">
      <c r="A17" t="s">
        <v>48</v>
      </c>
      <c r="B17" s="6">
        <v>1885.86</v>
      </c>
      <c r="C17" s="6">
        <v>1895.5</v>
      </c>
      <c r="D17" s="6">
        <v>1877.86</v>
      </c>
      <c r="E17" s="6">
        <v>1838.22</v>
      </c>
      <c r="F17" s="6">
        <v>7497.44</v>
      </c>
      <c r="G17" s="6">
        <v>1816.33</v>
      </c>
      <c r="H17" s="6">
        <v>1826.07</v>
      </c>
      <c r="I17" s="6">
        <v>1822.32</v>
      </c>
      <c r="J17" s="6">
        <v>1799.38</v>
      </c>
      <c r="K17" s="6">
        <v>7261.47</v>
      </c>
      <c r="L17" s="6">
        <v>1783.48</v>
      </c>
      <c r="M17" s="6">
        <v>1790.76</v>
      </c>
      <c r="N17" s="6">
        <v>1791.92</v>
      </c>
      <c r="O17" s="6">
        <v>1772.23</v>
      </c>
      <c r="P17" s="6">
        <v>7123.76</v>
      </c>
      <c r="Q17" s="6">
        <v>1751.46</v>
      </c>
      <c r="R17" s="6">
        <v>1758.84</v>
      </c>
      <c r="S17" s="6">
        <v>1761.91</v>
      </c>
      <c r="T17" s="6">
        <v>1740.3</v>
      </c>
      <c r="U17" s="6">
        <v>7021.62</v>
      </c>
      <c r="V17" s="6">
        <v>1710.93</v>
      </c>
      <c r="W17" s="6">
        <v>1719.23</v>
      </c>
      <c r="X17" s="6">
        <v>1728.6</v>
      </c>
      <c r="Y17" s="6">
        <v>1698.59</v>
      </c>
      <c r="Z17" s="6">
        <v>6908.7</v>
      </c>
      <c r="AA17" s="6">
        <v>1675.84</v>
      </c>
      <c r="AB17" s="6">
        <v>1683.56</v>
      </c>
      <c r="AC17" s="6">
        <v>1696.63</v>
      </c>
      <c r="AD17" s="6">
        <v>1667.34</v>
      </c>
      <c r="AE17" s="6">
        <v>6810.33</v>
      </c>
    </row>
    <row r="18" spans="1:31" x14ac:dyDescent="0.25">
      <c r="A18" t="s">
        <v>49</v>
      </c>
      <c r="B18" s="6">
        <v>14253.84</v>
      </c>
      <c r="C18" s="6">
        <v>14424.82</v>
      </c>
      <c r="D18" s="6">
        <v>14384.74</v>
      </c>
      <c r="E18" s="6">
        <v>14398.03</v>
      </c>
      <c r="F18" s="6">
        <v>57461.43</v>
      </c>
      <c r="G18" s="6">
        <v>14422.32</v>
      </c>
      <c r="H18" s="6">
        <v>14828.2</v>
      </c>
      <c r="I18" s="6">
        <v>14784.47</v>
      </c>
      <c r="J18" s="6">
        <v>14818.18</v>
      </c>
      <c r="K18" s="6">
        <v>58851.72</v>
      </c>
      <c r="L18" s="6">
        <v>14839.17</v>
      </c>
      <c r="M18" s="6">
        <v>15073.38</v>
      </c>
      <c r="N18" s="6">
        <v>15101.24</v>
      </c>
      <c r="O18" s="6">
        <v>15120.97</v>
      </c>
      <c r="P18" s="6">
        <v>60063.77</v>
      </c>
      <c r="Q18" s="6">
        <v>15100.24</v>
      </c>
      <c r="R18" s="6">
        <v>15347.53</v>
      </c>
      <c r="S18" s="6">
        <v>15316.14</v>
      </c>
      <c r="T18" s="6">
        <v>15381.53</v>
      </c>
      <c r="U18" s="6">
        <v>61106.63</v>
      </c>
      <c r="V18" s="6">
        <v>15313.67</v>
      </c>
      <c r="W18" s="6">
        <v>15619.81</v>
      </c>
      <c r="X18" s="6">
        <v>15579.28</v>
      </c>
      <c r="Y18" s="6">
        <v>15552.2</v>
      </c>
      <c r="Z18" s="6">
        <v>61984.93</v>
      </c>
      <c r="AA18" s="6">
        <v>15518.51</v>
      </c>
      <c r="AB18" s="6">
        <v>15820.01</v>
      </c>
      <c r="AC18" s="6">
        <v>15789.22</v>
      </c>
      <c r="AD18" s="6">
        <v>15757.28</v>
      </c>
      <c r="AE18" s="6">
        <v>62805.57</v>
      </c>
    </row>
    <row r="19" spans="1:31" x14ac:dyDescent="0.25">
      <c r="A19" t="s">
        <v>50</v>
      </c>
      <c r="B19" s="6">
        <v>2397.16</v>
      </c>
      <c r="C19" s="6">
        <v>2428.1799999999998</v>
      </c>
      <c r="D19" s="6">
        <v>2541.2600000000002</v>
      </c>
      <c r="E19" s="6">
        <v>2555.9699999999998</v>
      </c>
      <c r="F19" s="6">
        <v>9922.57</v>
      </c>
      <c r="G19" s="6">
        <v>2518.6799999999998</v>
      </c>
      <c r="H19" s="6">
        <v>2584.8000000000002</v>
      </c>
      <c r="I19" s="6">
        <v>2737.75</v>
      </c>
      <c r="J19" s="6">
        <v>2745.11</v>
      </c>
      <c r="K19" s="6">
        <v>10586.89</v>
      </c>
      <c r="L19" s="6">
        <v>2664.31</v>
      </c>
      <c r="M19" s="6">
        <v>2765.9</v>
      </c>
      <c r="N19" s="6">
        <v>2870.49</v>
      </c>
      <c r="O19" s="6">
        <v>2865.51</v>
      </c>
      <c r="P19" s="6">
        <v>11137.22</v>
      </c>
      <c r="Q19" s="6">
        <v>2789.04</v>
      </c>
      <c r="R19" s="6">
        <v>2866.47</v>
      </c>
      <c r="S19" s="6">
        <v>3006.11</v>
      </c>
      <c r="T19" s="6">
        <v>2992.07</v>
      </c>
      <c r="U19" s="6">
        <v>11603.55</v>
      </c>
      <c r="V19" s="6">
        <v>2738.58</v>
      </c>
      <c r="W19" s="6">
        <v>2832.07</v>
      </c>
      <c r="X19" s="6">
        <v>2948.97</v>
      </c>
      <c r="Y19" s="6">
        <v>2955.26</v>
      </c>
      <c r="Z19" s="6">
        <v>11720.51</v>
      </c>
      <c r="AA19" s="6">
        <v>2800.05</v>
      </c>
      <c r="AB19" s="6">
        <v>2878.78</v>
      </c>
      <c r="AC19" s="6">
        <v>3021.87</v>
      </c>
      <c r="AD19" s="6">
        <v>3002.58</v>
      </c>
      <c r="AE19" s="6">
        <v>12024.8</v>
      </c>
    </row>
    <row r="20" spans="1:31" x14ac:dyDescent="0.25">
      <c r="A20" t="s">
        <v>51</v>
      </c>
      <c r="B20" s="6">
        <v>16651</v>
      </c>
      <c r="C20" s="6">
        <v>16853</v>
      </c>
      <c r="D20" s="6">
        <v>16926</v>
      </c>
      <c r="E20" s="6">
        <v>16954</v>
      </c>
      <c r="F20" s="6">
        <v>67384</v>
      </c>
      <c r="G20" s="6">
        <v>16941</v>
      </c>
      <c r="H20" s="6">
        <v>17413</v>
      </c>
      <c r="I20" s="6">
        <v>17526.97</v>
      </c>
      <c r="J20" s="6">
        <v>17565.72</v>
      </c>
      <c r="K20" s="6">
        <v>69453.75</v>
      </c>
      <c r="L20" s="6">
        <v>17503.72</v>
      </c>
      <c r="M20" s="6">
        <v>17839.36</v>
      </c>
      <c r="N20" s="6">
        <v>17971.16</v>
      </c>
      <c r="O20" s="6">
        <v>17985.62</v>
      </c>
      <c r="P20" s="6">
        <v>71247.05</v>
      </c>
      <c r="Q20" s="6">
        <v>17888.28</v>
      </c>
      <c r="R20" s="6">
        <v>18213.150000000001</v>
      </c>
      <c r="S20" s="6">
        <v>18321.82</v>
      </c>
      <c r="T20" s="6">
        <v>18373.47</v>
      </c>
      <c r="U20" s="6">
        <v>72800.94</v>
      </c>
      <c r="V20" s="6">
        <v>18052.25</v>
      </c>
      <c r="W20" s="6">
        <v>18451.87</v>
      </c>
      <c r="X20" s="6">
        <v>18528.25</v>
      </c>
      <c r="Y20" s="6">
        <v>18507.46</v>
      </c>
      <c r="Z20" s="6">
        <v>73883.320000000007</v>
      </c>
      <c r="AA20" s="6">
        <v>18318.560000000001</v>
      </c>
      <c r="AB20" s="6">
        <v>18698.79</v>
      </c>
      <c r="AC20" s="6">
        <v>18811.09</v>
      </c>
      <c r="AD20" s="6">
        <v>18759.849999999999</v>
      </c>
      <c r="AE20" s="6">
        <v>75056.66</v>
      </c>
    </row>
    <row r="21" spans="1:31" x14ac:dyDescent="0.25">
      <c r="A21" t="s">
        <v>52</v>
      </c>
      <c r="B21" s="6">
        <v>2066</v>
      </c>
      <c r="C21" s="6">
        <v>2136</v>
      </c>
      <c r="D21" s="6">
        <v>2198</v>
      </c>
      <c r="E21" s="6">
        <v>2245</v>
      </c>
      <c r="F21" s="6">
        <v>8645</v>
      </c>
      <c r="G21" s="6">
        <v>2505</v>
      </c>
      <c r="H21" s="6">
        <v>2593</v>
      </c>
      <c r="I21" s="6">
        <v>2667.53</v>
      </c>
      <c r="J21" s="6">
        <v>2733.45</v>
      </c>
      <c r="K21" s="6">
        <v>10498.26</v>
      </c>
      <c r="L21" s="6">
        <v>2872.55</v>
      </c>
      <c r="M21" s="6">
        <v>2926.28</v>
      </c>
      <c r="N21" s="6">
        <v>3016.16</v>
      </c>
      <c r="O21" s="6">
        <v>3087.23</v>
      </c>
      <c r="P21" s="6">
        <v>11955.67</v>
      </c>
      <c r="Q21" s="6">
        <v>3260.63</v>
      </c>
      <c r="R21" s="6">
        <v>3322.67</v>
      </c>
      <c r="S21" s="6">
        <v>3429.64</v>
      </c>
      <c r="T21" s="6">
        <v>3501.33</v>
      </c>
      <c r="U21" s="6">
        <v>13493.42</v>
      </c>
      <c r="V21" s="6">
        <v>3745.84</v>
      </c>
      <c r="W21" s="6">
        <v>3815.16</v>
      </c>
      <c r="X21" s="6">
        <v>3936.65</v>
      </c>
      <c r="Y21" s="6">
        <v>4032.36</v>
      </c>
      <c r="Z21" s="6">
        <v>15207.68</v>
      </c>
      <c r="AA21" s="6">
        <v>4224.6000000000004</v>
      </c>
      <c r="AB21" s="6">
        <v>4292.53</v>
      </c>
      <c r="AC21" s="6">
        <v>4417.96</v>
      </c>
      <c r="AD21" s="6">
        <v>4514.3599999999997</v>
      </c>
      <c r="AE21" s="6">
        <v>16897.84</v>
      </c>
    </row>
    <row r="22" spans="1:31" x14ac:dyDescent="0.25">
      <c r="A22" t="s">
        <v>53</v>
      </c>
      <c r="B22" s="6">
        <v>132</v>
      </c>
      <c r="C22" s="6">
        <v>163</v>
      </c>
      <c r="D22" s="6">
        <v>213</v>
      </c>
      <c r="E22" s="6">
        <v>257</v>
      </c>
      <c r="F22" s="6">
        <v>765</v>
      </c>
      <c r="G22" s="6">
        <v>294</v>
      </c>
      <c r="H22" s="6">
        <v>333</v>
      </c>
      <c r="I22" s="6">
        <v>383.24</v>
      </c>
      <c r="J22" s="6">
        <v>426.95</v>
      </c>
      <c r="K22" s="6">
        <v>1437.27</v>
      </c>
      <c r="L22" s="6">
        <v>464.32</v>
      </c>
      <c r="M22" s="6">
        <v>499.52</v>
      </c>
      <c r="N22" s="6">
        <v>553.99</v>
      </c>
      <c r="O22" s="6">
        <v>596.25</v>
      </c>
      <c r="P22" s="6">
        <v>2109.42</v>
      </c>
      <c r="Q22" s="6">
        <v>618.99</v>
      </c>
      <c r="R22" s="6">
        <v>644.6</v>
      </c>
      <c r="S22" s="6">
        <v>700.88</v>
      </c>
      <c r="T22" s="6">
        <v>736.82</v>
      </c>
      <c r="U22" s="6">
        <v>2717.44</v>
      </c>
      <c r="V22" s="6">
        <v>754.5</v>
      </c>
      <c r="W22" s="6">
        <v>774.89</v>
      </c>
      <c r="X22" s="6">
        <v>835.48</v>
      </c>
      <c r="Y22" s="6">
        <v>867.05</v>
      </c>
      <c r="Z22" s="6">
        <v>3255.19</v>
      </c>
      <c r="AA22" s="6">
        <v>886.28</v>
      </c>
      <c r="AB22" s="6">
        <v>902.73</v>
      </c>
      <c r="AC22" s="6">
        <v>965.38</v>
      </c>
      <c r="AD22" s="6">
        <v>994.24</v>
      </c>
      <c r="AE22" s="6">
        <v>3734.21</v>
      </c>
    </row>
    <row r="23" spans="1:31" x14ac:dyDescent="0.25">
      <c r="A23" t="s">
        <v>54</v>
      </c>
      <c r="B23" s="6">
        <v>2198</v>
      </c>
      <c r="C23" s="6">
        <v>2299</v>
      </c>
      <c r="D23" s="6">
        <v>2411</v>
      </c>
      <c r="E23" s="6">
        <v>2502</v>
      </c>
      <c r="F23" s="6">
        <v>9410</v>
      </c>
      <c r="G23" s="6">
        <v>2799</v>
      </c>
      <c r="H23" s="6">
        <v>2926</v>
      </c>
      <c r="I23" s="6">
        <v>3065.8</v>
      </c>
      <c r="J23" s="6">
        <v>3181.73</v>
      </c>
      <c r="K23" s="6">
        <v>11993.31</v>
      </c>
      <c r="L23" s="6">
        <v>3349.99</v>
      </c>
      <c r="M23" s="6">
        <v>3432.08</v>
      </c>
      <c r="N23" s="6">
        <v>3580.82</v>
      </c>
      <c r="O23" s="6">
        <v>3701.07</v>
      </c>
      <c r="P23" s="6">
        <v>14128.13</v>
      </c>
      <c r="Q23" s="6">
        <v>3902.26</v>
      </c>
      <c r="R23" s="6">
        <v>3977</v>
      </c>
      <c r="S23" s="6">
        <v>4148.0200000000004</v>
      </c>
      <c r="T23" s="6">
        <v>4268.25</v>
      </c>
      <c r="U23" s="6">
        <v>16264.78</v>
      </c>
      <c r="V23" s="6">
        <v>4500.34</v>
      </c>
      <c r="W23" s="6">
        <v>4590.05</v>
      </c>
      <c r="X23" s="6">
        <v>4772.13</v>
      </c>
      <c r="Y23" s="6">
        <v>4899.41</v>
      </c>
      <c r="Z23" s="6">
        <v>18469.22</v>
      </c>
      <c r="AA23" s="6">
        <v>5110.8900000000003</v>
      </c>
      <c r="AB23" s="6">
        <v>5195.26</v>
      </c>
      <c r="AC23" s="6">
        <v>5383.34</v>
      </c>
      <c r="AD23" s="6">
        <v>5508.6</v>
      </c>
      <c r="AE23" s="6">
        <v>20618.099999999999</v>
      </c>
    </row>
    <row r="24" spans="1:31" x14ac:dyDescent="0.25">
      <c r="A24" t="s">
        <v>55</v>
      </c>
      <c r="B24" s="6">
        <v>1755</v>
      </c>
      <c r="C24" s="6">
        <v>1769</v>
      </c>
      <c r="D24" s="6">
        <v>1832</v>
      </c>
      <c r="E24" s="6">
        <v>1887</v>
      </c>
      <c r="F24" s="6">
        <v>7243</v>
      </c>
      <c r="G24" s="6">
        <v>1882</v>
      </c>
      <c r="H24" s="6">
        <v>1946</v>
      </c>
      <c r="I24" s="6">
        <v>1992</v>
      </c>
      <c r="J24" s="6">
        <v>2046.85</v>
      </c>
      <c r="K24" s="6">
        <v>7866.85</v>
      </c>
      <c r="L24" s="6">
        <v>2037</v>
      </c>
      <c r="M24" s="6">
        <v>2106.48</v>
      </c>
      <c r="N24" s="6">
        <v>2146.61</v>
      </c>
      <c r="O24" s="6">
        <v>2196.75</v>
      </c>
      <c r="P24" s="6">
        <v>8495</v>
      </c>
      <c r="Q24" s="6">
        <v>2177.4</v>
      </c>
      <c r="R24" s="6">
        <v>2237.25</v>
      </c>
      <c r="S24" s="6">
        <v>2261.04</v>
      </c>
      <c r="T24" s="6">
        <v>2304.39</v>
      </c>
      <c r="U24" s="6">
        <v>9092.5</v>
      </c>
      <c r="V24" s="6">
        <v>2376.1799999999998</v>
      </c>
      <c r="W24" s="6">
        <v>2438.7199999999998</v>
      </c>
      <c r="X24" s="6">
        <v>2476.61</v>
      </c>
      <c r="Y24" s="6">
        <v>2524.98</v>
      </c>
      <c r="Z24" s="6">
        <v>9847.16</v>
      </c>
      <c r="AA24" s="6">
        <v>2545.2600000000002</v>
      </c>
      <c r="AB24" s="6">
        <v>2606.66</v>
      </c>
      <c r="AC24" s="6">
        <v>2642.05</v>
      </c>
      <c r="AD24" s="6">
        <v>2689.49</v>
      </c>
      <c r="AE24" s="6">
        <v>10498.97</v>
      </c>
    </row>
    <row r="25" spans="1:31" x14ac:dyDescent="0.25">
      <c r="A25" t="s">
        <v>56</v>
      </c>
      <c r="B25" s="6">
        <v>1294</v>
      </c>
      <c r="C25" s="6">
        <v>1249</v>
      </c>
      <c r="D25" s="6">
        <v>1198</v>
      </c>
      <c r="E25" s="6">
        <v>1170</v>
      </c>
      <c r="F25" s="6">
        <v>4911</v>
      </c>
      <c r="G25" s="6">
        <v>1083</v>
      </c>
      <c r="H25" s="6">
        <v>1042</v>
      </c>
      <c r="I25" s="6">
        <v>1021.53</v>
      </c>
      <c r="J25" s="6">
        <v>998.08</v>
      </c>
      <c r="K25" s="6">
        <v>4144.6099999999997</v>
      </c>
      <c r="L25" s="6">
        <v>932.87</v>
      </c>
      <c r="M25" s="6">
        <v>898.49</v>
      </c>
      <c r="N25" s="6">
        <v>881.42</v>
      </c>
      <c r="O25" s="6">
        <v>861.16</v>
      </c>
      <c r="P25" s="6">
        <v>3570.63</v>
      </c>
      <c r="Q25" s="6">
        <v>825.83</v>
      </c>
      <c r="R25" s="6">
        <v>794.57</v>
      </c>
      <c r="S25" s="6">
        <v>781.55</v>
      </c>
      <c r="T25" s="6">
        <v>764.06</v>
      </c>
      <c r="U25" s="6">
        <v>3148.6</v>
      </c>
      <c r="V25" s="6">
        <v>751.58</v>
      </c>
      <c r="W25" s="6">
        <v>723.62</v>
      </c>
      <c r="X25" s="6">
        <v>717.62</v>
      </c>
      <c r="Y25" s="6">
        <v>702.74</v>
      </c>
      <c r="Z25" s="6">
        <v>2813.96</v>
      </c>
      <c r="AA25" s="6">
        <v>677.3</v>
      </c>
      <c r="AB25" s="6">
        <v>652.17999999999995</v>
      </c>
      <c r="AC25" s="6">
        <v>647.12</v>
      </c>
      <c r="AD25" s="6">
        <v>633.78</v>
      </c>
      <c r="AE25" s="6">
        <v>2502.9299999999998</v>
      </c>
    </row>
    <row r="26" spans="1:31" x14ac:dyDescent="0.25">
      <c r="A26" t="s">
        <v>57</v>
      </c>
      <c r="B26" s="6">
        <v>162</v>
      </c>
      <c r="C26" s="6">
        <v>164</v>
      </c>
      <c r="D26" s="6">
        <v>162</v>
      </c>
      <c r="E26" s="6">
        <v>162</v>
      </c>
      <c r="F26" s="6">
        <v>650</v>
      </c>
      <c r="G26" s="6">
        <v>158</v>
      </c>
      <c r="H26" s="6">
        <v>151</v>
      </c>
      <c r="I26" s="6">
        <v>156.01</v>
      </c>
      <c r="J26" s="6">
        <v>156.22</v>
      </c>
      <c r="K26" s="6">
        <v>621.23</v>
      </c>
      <c r="L26" s="6">
        <v>152.80000000000001</v>
      </c>
      <c r="M26" s="6">
        <v>145.26</v>
      </c>
      <c r="N26" s="6">
        <v>150.43</v>
      </c>
      <c r="O26" s="6">
        <v>151.27000000000001</v>
      </c>
      <c r="P26" s="6">
        <v>597.96</v>
      </c>
      <c r="Q26" s="6">
        <v>146.75</v>
      </c>
      <c r="R26" s="6">
        <v>139.75</v>
      </c>
      <c r="S26" s="6">
        <v>144.31</v>
      </c>
      <c r="T26" s="6">
        <v>144.33000000000001</v>
      </c>
      <c r="U26" s="6">
        <v>577.04</v>
      </c>
      <c r="V26" s="6">
        <v>139.03</v>
      </c>
      <c r="W26" s="6">
        <v>132.63</v>
      </c>
      <c r="X26" s="6">
        <v>135.72</v>
      </c>
      <c r="Y26" s="6">
        <v>135.78</v>
      </c>
      <c r="Z26" s="6">
        <v>553.59</v>
      </c>
      <c r="AA26" s="6">
        <v>133.37</v>
      </c>
      <c r="AB26" s="6">
        <v>127.21</v>
      </c>
      <c r="AC26" s="6">
        <v>130.19</v>
      </c>
      <c r="AD26" s="6">
        <v>130.25</v>
      </c>
      <c r="AE26" s="6">
        <v>534.11</v>
      </c>
    </row>
    <row r="27" spans="1:31" x14ac:dyDescent="0.25">
      <c r="A27" t="s">
        <v>58</v>
      </c>
      <c r="B27" s="6">
        <v>22060</v>
      </c>
      <c r="C27" s="6">
        <v>22334</v>
      </c>
      <c r="D27" s="6">
        <v>22529</v>
      </c>
      <c r="E27" s="6">
        <v>22675</v>
      </c>
      <c r="F27" s="6">
        <v>89598</v>
      </c>
      <c r="G27" s="6">
        <v>22863</v>
      </c>
      <c r="H27" s="6">
        <v>23478</v>
      </c>
      <c r="I27" s="6">
        <v>23773.75</v>
      </c>
      <c r="J27" s="6">
        <v>23938.35</v>
      </c>
      <c r="K27" s="6">
        <v>94053.1</v>
      </c>
      <c r="L27" s="6">
        <v>23956.91</v>
      </c>
      <c r="M27" s="6">
        <v>24425.9</v>
      </c>
      <c r="N27" s="6">
        <v>24752.97</v>
      </c>
      <c r="O27" s="6">
        <v>24872.93</v>
      </c>
      <c r="P27" s="6">
        <v>97976.67</v>
      </c>
      <c r="Q27" s="6">
        <v>24940.53</v>
      </c>
      <c r="R27" s="6">
        <v>25361.72</v>
      </c>
      <c r="S27" s="6">
        <v>25656.74</v>
      </c>
      <c r="T27" s="6">
        <v>25854.49</v>
      </c>
      <c r="U27" s="6">
        <v>101853.62</v>
      </c>
      <c r="V27" s="6">
        <v>25819.37</v>
      </c>
      <c r="W27" s="6">
        <v>26336.89</v>
      </c>
      <c r="X27" s="6">
        <v>26630.33</v>
      </c>
      <c r="Y27" s="6">
        <v>26770.37</v>
      </c>
      <c r="Z27" s="6">
        <v>105551.96</v>
      </c>
      <c r="AA27" s="6">
        <v>26785.38</v>
      </c>
      <c r="AB27" s="6">
        <v>27280.1</v>
      </c>
      <c r="AC27" s="6">
        <v>27613.79</v>
      </c>
      <c r="AD27" s="6">
        <v>27721.97</v>
      </c>
      <c r="AE27" s="6">
        <v>109247.44</v>
      </c>
    </row>
    <row r="28" spans="1:31" x14ac:dyDescent="0.25">
      <c r="A28" t="s">
        <v>59</v>
      </c>
      <c r="B28" s="6">
        <v>5132</v>
      </c>
      <c r="C28" s="6">
        <v>5163</v>
      </c>
      <c r="D28" s="6">
        <v>4974</v>
      </c>
      <c r="E28" s="6">
        <v>7557</v>
      </c>
      <c r="F28" s="6">
        <v>22826</v>
      </c>
      <c r="G28" s="6">
        <v>5608</v>
      </c>
      <c r="H28" s="6">
        <v>5137</v>
      </c>
      <c r="I28" s="6">
        <v>5134.8900000000003</v>
      </c>
      <c r="J28" s="6">
        <v>7851.32</v>
      </c>
      <c r="K28" s="6">
        <v>23731.21</v>
      </c>
      <c r="L28" s="6">
        <v>5701.68</v>
      </c>
      <c r="M28" s="6">
        <v>5360.97</v>
      </c>
      <c r="N28" s="6">
        <v>5382.63</v>
      </c>
      <c r="O28" s="6">
        <v>8091.59</v>
      </c>
      <c r="P28" s="6">
        <v>24489.01</v>
      </c>
      <c r="Q28" s="6">
        <v>5878.79</v>
      </c>
      <c r="R28" s="6">
        <v>5395</v>
      </c>
      <c r="S28" s="6">
        <v>5482.85</v>
      </c>
      <c r="T28" s="6">
        <v>8346.27</v>
      </c>
      <c r="U28" s="6">
        <v>24792.13</v>
      </c>
      <c r="V28" s="6">
        <v>5942</v>
      </c>
      <c r="W28" s="6">
        <v>5447.71</v>
      </c>
      <c r="X28" s="6">
        <v>5545.68</v>
      </c>
      <c r="Y28" s="6">
        <v>8486.07</v>
      </c>
      <c r="Z28" s="6">
        <v>25123.67</v>
      </c>
      <c r="AA28" s="6">
        <v>5984.97</v>
      </c>
      <c r="AB28" s="6">
        <v>5485.18</v>
      </c>
      <c r="AC28" s="6">
        <v>5585.48</v>
      </c>
      <c r="AD28" s="6">
        <v>8551.4500000000007</v>
      </c>
      <c r="AE28" s="6">
        <v>25446.31</v>
      </c>
    </row>
    <row r="29" spans="1:31" x14ac:dyDescent="0.25">
      <c r="A29" t="s">
        <v>60</v>
      </c>
      <c r="B29" s="6">
        <v>27192</v>
      </c>
      <c r="C29" s="6">
        <v>27497</v>
      </c>
      <c r="D29" s="6">
        <v>27503</v>
      </c>
      <c r="E29" s="6">
        <v>30232</v>
      </c>
      <c r="F29" s="6">
        <v>112424</v>
      </c>
      <c r="G29" s="6">
        <v>28471</v>
      </c>
      <c r="H29" s="6">
        <v>28615</v>
      </c>
      <c r="I29" s="6">
        <v>28914.47</v>
      </c>
      <c r="J29" s="6">
        <v>31785.77</v>
      </c>
      <c r="K29" s="6">
        <v>117786.24000000001</v>
      </c>
      <c r="L29" s="6">
        <v>29666.41</v>
      </c>
      <c r="M29" s="6">
        <v>29801.33</v>
      </c>
      <c r="N29" s="6">
        <v>30135.599999999999</v>
      </c>
      <c r="O29" s="6">
        <v>32964.519999999997</v>
      </c>
      <c r="P29" s="6">
        <v>122554.94</v>
      </c>
      <c r="Q29" s="6">
        <v>30819.32</v>
      </c>
      <c r="R29" s="6">
        <v>30756.720000000001</v>
      </c>
      <c r="S29" s="6">
        <v>31139.59</v>
      </c>
      <c r="T29" s="6">
        <v>34200.76</v>
      </c>
      <c r="U29" s="6">
        <v>126842.92</v>
      </c>
      <c r="V29" s="6">
        <v>31761.37</v>
      </c>
      <c r="W29" s="6">
        <v>31784.6</v>
      </c>
      <c r="X29" s="6">
        <v>32176.01</v>
      </c>
      <c r="Y29" s="6">
        <v>35256.449999999997</v>
      </c>
      <c r="Z29" s="6">
        <v>131064.38</v>
      </c>
      <c r="AA29" s="6">
        <v>32770.35</v>
      </c>
      <c r="AB29" s="6">
        <v>32765.27</v>
      </c>
      <c r="AC29" s="6">
        <v>33199.269999999997</v>
      </c>
      <c r="AD29" s="6">
        <v>36273.42</v>
      </c>
      <c r="AE29" s="6">
        <v>135287.82999999999</v>
      </c>
    </row>
    <row r="30" spans="1:31" x14ac:dyDescent="0.25">
      <c r="A30" t="s">
        <v>61</v>
      </c>
      <c r="B30" s="6">
        <v>1206</v>
      </c>
      <c r="C30" s="6">
        <v>1124</v>
      </c>
      <c r="D30" s="6">
        <v>1031</v>
      </c>
      <c r="E30" s="6">
        <v>988</v>
      </c>
      <c r="F30" s="6">
        <v>4349</v>
      </c>
      <c r="G30" s="6">
        <v>918</v>
      </c>
      <c r="H30" s="6">
        <v>856</v>
      </c>
      <c r="I30" s="6">
        <v>798.56</v>
      </c>
      <c r="J30" s="6">
        <v>760.91</v>
      </c>
      <c r="K30" s="6">
        <v>3333.46</v>
      </c>
      <c r="L30" s="6">
        <v>677.13</v>
      </c>
      <c r="M30" s="6">
        <v>629.5</v>
      </c>
      <c r="N30" s="6">
        <v>584.4</v>
      </c>
      <c r="O30" s="6">
        <v>547.85</v>
      </c>
      <c r="P30" s="6">
        <v>2427.11</v>
      </c>
      <c r="Q30" s="6">
        <v>400.69</v>
      </c>
      <c r="R30" s="6">
        <v>364.3</v>
      </c>
      <c r="S30" s="6">
        <v>320.58</v>
      </c>
      <c r="T30" s="6">
        <v>293.33999999999997</v>
      </c>
      <c r="U30" s="6">
        <v>1547.73</v>
      </c>
      <c r="V30" s="6">
        <v>254.44</v>
      </c>
      <c r="W30" s="6">
        <v>223.48</v>
      </c>
      <c r="X30" s="6">
        <v>244.3</v>
      </c>
      <c r="Y30" s="6">
        <v>225.9</v>
      </c>
      <c r="Z30" s="6">
        <v>1034.9100000000001</v>
      </c>
      <c r="AA30" s="6">
        <v>195.18</v>
      </c>
      <c r="AB30" s="6">
        <v>176.43</v>
      </c>
      <c r="AC30" s="6">
        <v>157.34</v>
      </c>
      <c r="AD30" s="6">
        <v>147.07</v>
      </c>
      <c r="AE30" s="6">
        <v>841.66</v>
      </c>
    </row>
    <row r="31" spans="1:31" x14ac:dyDescent="0.25">
      <c r="A31" t="s">
        <v>62</v>
      </c>
      <c r="B31" s="6">
        <v>1162</v>
      </c>
      <c r="C31" s="6">
        <v>1078</v>
      </c>
      <c r="D31" s="6">
        <v>982</v>
      </c>
      <c r="E31" s="6">
        <v>901</v>
      </c>
      <c r="F31" s="6">
        <v>4123</v>
      </c>
      <c r="G31" s="6">
        <v>850</v>
      </c>
      <c r="H31" s="6">
        <v>776</v>
      </c>
      <c r="I31" s="6">
        <v>704</v>
      </c>
      <c r="J31" s="6">
        <v>633.6</v>
      </c>
      <c r="K31" s="6">
        <v>2963.53</v>
      </c>
      <c r="L31" s="6">
        <v>576.23</v>
      </c>
      <c r="M31" s="6">
        <v>512.13</v>
      </c>
      <c r="N31" s="6">
        <v>448.27</v>
      </c>
      <c r="O31" s="6">
        <v>386.53</v>
      </c>
      <c r="P31" s="6">
        <v>1907.56</v>
      </c>
      <c r="Q31" s="6">
        <v>323.74</v>
      </c>
      <c r="R31" s="6">
        <v>278</v>
      </c>
      <c r="S31" s="6">
        <v>243.02</v>
      </c>
      <c r="T31" s="6">
        <v>208.08</v>
      </c>
      <c r="U31" s="6">
        <v>1092.31</v>
      </c>
      <c r="V31" s="6">
        <v>203.19</v>
      </c>
      <c r="W31" s="6">
        <v>176.13</v>
      </c>
      <c r="X31" s="6">
        <v>156.22</v>
      </c>
      <c r="Y31" s="6">
        <v>167.59</v>
      </c>
      <c r="Z31" s="6">
        <v>649.12</v>
      </c>
      <c r="AA31" s="6">
        <v>214.81</v>
      </c>
      <c r="AB31" s="6">
        <v>196.33</v>
      </c>
      <c r="AC31" s="6">
        <v>186.38</v>
      </c>
      <c r="AD31" s="6">
        <v>164.83</v>
      </c>
      <c r="AE31" s="6">
        <v>667.13</v>
      </c>
    </row>
    <row r="32" spans="1:31" x14ac:dyDescent="0.25">
      <c r="A32" t="s">
        <v>63</v>
      </c>
      <c r="B32" s="6">
        <v>2368</v>
      </c>
      <c r="C32" s="6">
        <v>2202</v>
      </c>
      <c r="D32" s="6">
        <v>2013</v>
      </c>
      <c r="E32" s="6">
        <v>1889</v>
      </c>
      <c r="F32" s="6">
        <v>8472</v>
      </c>
      <c r="G32" s="6">
        <v>1768</v>
      </c>
      <c r="H32" s="6">
        <v>1632</v>
      </c>
      <c r="I32" s="6">
        <v>1504.54</v>
      </c>
      <c r="J32" s="6">
        <v>1400.95</v>
      </c>
      <c r="K32" s="6">
        <v>6305.49</v>
      </c>
      <c r="L32" s="6">
        <v>1259.3699999999999</v>
      </c>
      <c r="M32" s="6">
        <v>1143.27</v>
      </c>
      <c r="N32" s="6">
        <v>1040.74</v>
      </c>
      <c r="O32" s="6">
        <v>947.12</v>
      </c>
      <c r="P32" s="6">
        <v>4358.1099999999997</v>
      </c>
      <c r="Q32" s="6">
        <v>724.43</v>
      </c>
      <c r="R32" s="6">
        <v>642.29</v>
      </c>
      <c r="S32" s="6">
        <v>563.6</v>
      </c>
      <c r="T32" s="6">
        <v>501.43</v>
      </c>
      <c r="U32" s="6">
        <v>2651.29</v>
      </c>
      <c r="V32" s="6">
        <v>457.63</v>
      </c>
      <c r="W32" s="6">
        <v>399.61</v>
      </c>
      <c r="X32" s="6">
        <v>351.66</v>
      </c>
      <c r="Y32" s="6">
        <v>311.89999999999998</v>
      </c>
      <c r="Z32" s="6">
        <v>1654.41</v>
      </c>
      <c r="AA32" s="6">
        <v>346.97</v>
      </c>
      <c r="AB32" s="6">
        <v>422.12</v>
      </c>
      <c r="AC32" s="6">
        <v>391.25</v>
      </c>
      <c r="AD32" s="6">
        <v>358.64</v>
      </c>
      <c r="AE32" s="6">
        <v>1423.71</v>
      </c>
    </row>
    <row r="33" spans="1:31" x14ac:dyDescent="0.25">
      <c r="A33" t="s">
        <v>64</v>
      </c>
      <c r="B33" s="6">
        <v>29560</v>
      </c>
      <c r="C33" s="6">
        <v>29699</v>
      </c>
      <c r="D33" s="6">
        <v>29516</v>
      </c>
      <c r="E33" s="6">
        <v>32121</v>
      </c>
      <c r="F33" s="6">
        <v>120896</v>
      </c>
      <c r="G33" s="6">
        <v>30239</v>
      </c>
      <c r="H33" s="6">
        <v>30247</v>
      </c>
      <c r="I33" s="6">
        <v>30400.09</v>
      </c>
      <c r="J33" s="6">
        <v>33156.300000000003</v>
      </c>
      <c r="K33" s="6">
        <v>124037.87</v>
      </c>
      <c r="L33" s="6">
        <v>30930.93</v>
      </c>
      <c r="M33" s="6">
        <v>30937.15</v>
      </c>
      <c r="N33" s="6">
        <v>31150.69</v>
      </c>
      <c r="O33" s="6">
        <v>33884.32</v>
      </c>
      <c r="P33" s="6">
        <v>126817.07</v>
      </c>
      <c r="Q33" s="6">
        <v>31543.74</v>
      </c>
      <c r="R33" s="6">
        <v>31399.01</v>
      </c>
      <c r="S33" s="6">
        <v>31703.19</v>
      </c>
      <c r="T33" s="6">
        <v>34702.19</v>
      </c>
      <c r="U33" s="6">
        <v>129463.7</v>
      </c>
      <c r="V33" s="6">
        <v>32219</v>
      </c>
      <c r="W33" s="6">
        <v>32184.21</v>
      </c>
      <c r="X33" s="6">
        <v>32527.67</v>
      </c>
      <c r="Y33" s="6">
        <v>35568.35</v>
      </c>
      <c r="Z33" s="6">
        <v>132680.51</v>
      </c>
      <c r="AA33" s="6">
        <v>33047.919999999998</v>
      </c>
      <c r="AB33" s="6">
        <v>33013.94</v>
      </c>
      <c r="AC33" s="6">
        <v>33424.39</v>
      </c>
      <c r="AD33" s="6">
        <v>36483.01</v>
      </c>
      <c r="AE33" s="6">
        <v>136284.21</v>
      </c>
    </row>
    <row r="34" spans="1:31" x14ac:dyDescent="0.25">
      <c r="A34" t="s">
        <v>65</v>
      </c>
      <c r="B34" s="6">
        <v>615</v>
      </c>
      <c r="C34" s="6">
        <v>662</v>
      </c>
      <c r="D34" s="6">
        <v>696</v>
      </c>
      <c r="E34" s="6">
        <v>742</v>
      </c>
      <c r="F34" s="6">
        <v>2715</v>
      </c>
      <c r="G34" s="6">
        <v>753</v>
      </c>
      <c r="H34" s="6">
        <v>780</v>
      </c>
      <c r="I34" s="6">
        <v>713.78</v>
      </c>
      <c r="J34" s="6">
        <v>732.21</v>
      </c>
      <c r="K34" s="6">
        <v>2968.51</v>
      </c>
      <c r="L34" s="6">
        <v>732.73</v>
      </c>
      <c r="M34" s="6">
        <v>747.95</v>
      </c>
      <c r="N34" s="6">
        <v>703.81</v>
      </c>
      <c r="O34" s="6">
        <v>725.43</v>
      </c>
      <c r="P34" s="6">
        <v>2930.77</v>
      </c>
      <c r="Q34" s="6">
        <v>730.95</v>
      </c>
      <c r="R34" s="6">
        <v>759.87</v>
      </c>
      <c r="S34" s="6">
        <v>687.77</v>
      </c>
      <c r="T34" s="6">
        <v>716.48</v>
      </c>
      <c r="U34" s="6">
        <v>2982.09</v>
      </c>
      <c r="V34" s="6">
        <v>746.61</v>
      </c>
      <c r="W34" s="6">
        <v>777.66</v>
      </c>
      <c r="X34" s="6">
        <v>702.78</v>
      </c>
      <c r="Y34" s="6">
        <v>732.7</v>
      </c>
      <c r="Z34" s="6">
        <v>3056.4</v>
      </c>
      <c r="AA34" s="6">
        <v>761.41</v>
      </c>
      <c r="AB34" s="6">
        <v>792.13</v>
      </c>
      <c r="AC34" s="6">
        <v>711.2</v>
      </c>
      <c r="AD34" s="6">
        <v>741.48</v>
      </c>
      <c r="AE34" s="6">
        <v>3089.88</v>
      </c>
    </row>
    <row r="35" spans="1:31" x14ac:dyDescent="0.25">
      <c r="A35" t="s">
        <v>66</v>
      </c>
      <c r="B35" s="6">
        <v>356</v>
      </c>
      <c r="C35" s="6">
        <v>392</v>
      </c>
      <c r="D35" s="6">
        <v>399</v>
      </c>
      <c r="E35" s="6">
        <v>517</v>
      </c>
      <c r="F35" s="6">
        <v>1664</v>
      </c>
      <c r="G35" s="6">
        <v>420</v>
      </c>
      <c r="H35" s="6">
        <v>444</v>
      </c>
      <c r="I35" s="6">
        <v>428.21</v>
      </c>
      <c r="J35" s="6">
        <v>506.49</v>
      </c>
      <c r="K35" s="6">
        <v>1797.77</v>
      </c>
      <c r="L35" s="6">
        <v>449.42</v>
      </c>
      <c r="M35" s="6">
        <v>464.62</v>
      </c>
      <c r="N35" s="6">
        <v>442.62</v>
      </c>
      <c r="O35" s="6">
        <v>535.67999999999995</v>
      </c>
      <c r="P35" s="6">
        <v>1864.14</v>
      </c>
      <c r="Q35" s="6">
        <v>449.27</v>
      </c>
      <c r="R35" s="6">
        <v>442.96</v>
      </c>
      <c r="S35" s="6">
        <v>451.08</v>
      </c>
      <c r="T35" s="6">
        <v>559.46</v>
      </c>
      <c r="U35" s="6">
        <v>1859.21</v>
      </c>
      <c r="V35" s="6">
        <v>451.68</v>
      </c>
      <c r="W35" s="6">
        <v>471.07</v>
      </c>
      <c r="X35" s="6">
        <v>432.47</v>
      </c>
      <c r="Y35" s="6">
        <v>545.71</v>
      </c>
      <c r="Z35" s="6">
        <v>1861.54</v>
      </c>
      <c r="AA35" s="6">
        <v>458.22</v>
      </c>
      <c r="AB35" s="6">
        <v>478.48</v>
      </c>
      <c r="AC35" s="6">
        <v>437.21</v>
      </c>
      <c r="AD35" s="6">
        <v>550.98</v>
      </c>
      <c r="AE35" s="6">
        <v>1877.42</v>
      </c>
    </row>
    <row r="36" spans="1:31" x14ac:dyDescent="0.25">
      <c r="A36" t="s">
        <v>67</v>
      </c>
      <c r="B36" s="6">
        <v>971</v>
      </c>
      <c r="C36" s="6">
        <v>1054</v>
      </c>
      <c r="D36" s="6">
        <v>1095</v>
      </c>
      <c r="E36" s="6">
        <v>1259</v>
      </c>
      <c r="F36" s="6">
        <v>4379</v>
      </c>
      <c r="G36" s="6">
        <v>1173</v>
      </c>
      <c r="H36" s="6">
        <v>1224</v>
      </c>
      <c r="I36" s="6">
        <v>1141.99</v>
      </c>
      <c r="J36" s="6">
        <v>1238.71</v>
      </c>
      <c r="K36" s="6">
        <v>4766.29</v>
      </c>
      <c r="L36" s="6">
        <v>1182.1400000000001</v>
      </c>
      <c r="M36" s="6">
        <v>1212.57</v>
      </c>
      <c r="N36" s="6">
        <v>1146.43</v>
      </c>
      <c r="O36" s="6">
        <v>1261.1099999999999</v>
      </c>
      <c r="P36" s="6">
        <v>4794.91</v>
      </c>
      <c r="Q36" s="6">
        <v>1180.21</v>
      </c>
      <c r="R36" s="6">
        <v>1202.82</v>
      </c>
      <c r="S36" s="6">
        <v>1138.8499999999999</v>
      </c>
      <c r="T36" s="6">
        <v>1275.94</v>
      </c>
      <c r="U36" s="6">
        <v>4841.3</v>
      </c>
      <c r="V36" s="6">
        <v>1198.29</v>
      </c>
      <c r="W36" s="6">
        <v>1248.73</v>
      </c>
      <c r="X36" s="6">
        <v>1135.25</v>
      </c>
      <c r="Y36" s="6">
        <v>1278.4100000000001</v>
      </c>
      <c r="Z36" s="6">
        <v>4917.9399999999996</v>
      </c>
      <c r="AA36" s="6">
        <v>1219.6300000000001</v>
      </c>
      <c r="AB36" s="6">
        <v>1270.6099999999999</v>
      </c>
      <c r="AC36" s="6">
        <v>1148.4100000000001</v>
      </c>
      <c r="AD36" s="6">
        <v>1292.46</v>
      </c>
      <c r="AE36" s="6">
        <v>4967.3</v>
      </c>
    </row>
    <row r="37" spans="1:31" x14ac:dyDescent="0.25">
      <c r="A37" t="s">
        <v>68</v>
      </c>
      <c r="B37" s="6">
        <v>971</v>
      </c>
      <c r="C37" s="6">
        <v>1054</v>
      </c>
      <c r="D37" s="6">
        <v>1095</v>
      </c>
      <c r="E37" s="6">
        <v>1259</v>
      </c>
      <c r="F37" s="6">
        <v>4379</v>
      </c>
      <c r="G37" s="6">
        <v>1173</v>
      </c>
      <c r="H37" s="6">
        <v>1224</v>
      </c>
      <c r="I37" s="6">
        <v>1149.49</v>
      </c>
      <c r="J37" s="6">
        <v>1247.25</v>
      </c>
      <c r="K37" s="6">
        <v>4784.74</v>
      </c>
      <c r="L37" s="6">
        <v>1185.98</v>
      </c>
      <c r="M37" s="6">
        <v>1221.23</v>
      </c>
      <c r="N37" s="6">
        <v>1155.52</v>
      </c>
      <c r="O37" s="6">
        <v>1261.8800000000001</v>
      </c>
      <c r="P37" s="6">
        <v>4833.03</v>
      </c>
      <c r="Q37" s="6">
        <v>1180.21</v>
      </c>
      <c r="R37" s="6">
        <v>1202.82</v>
      </c>
      <c r="S37" s="6">
        <v>1138.8499999999999</v>
      </c>
      <c r="T37" s="6">
        <v>1275.94</v>
      </c>
      <c r="U37" s="6">
        <v>4891.37</v>
      </c>
      <c r="V37" s="6">
        <v>1198.29</v>
      </c>
      <c r="W37" s="6">
        <v>1248.73</v>
      </c>
      <c r="X37" s="6">
        <v>1135.25</v>
      </c>
      <c r="Y37" s="6">
        <v>1278.4100000000001</v>
      </c>
      <c r="Z37" s="6">
        <v>4975.67</v>
      </c>
      <c r="AA37" s="6">
        <v>1219.6300000000001</v>
      </c>
      <c r="AB37" s="6">
        <v>1270.6099999999999</v>
      </c>
      <c r="AC37" s="6">
        <v>1148.4100000000001</v>
      </c>
      <c r="AD37" s="6">
        <v>1292.46</v>
      </c>
      <c r="AE37" s="6">
        <v>5043.04</v>
      </c>
    </row>
    <row r="38" spans="1:31" x14ac:dyDescent="0.25">
      <c r="A38" t="s">
        <v>69</v>
      </c>
      <c r="B38" s="6">
        <v>95</v>
      </c>
      <c r="C38" s="6">
        <v>94</v>
      </c>
      <c r="D38" s="6">
        <v>98</v>
      </c>
      <c r="E38" s="6">
        <v>86</v>
      </c>
      <c r="F38" s="6">
        <v>373</v>
      </c>
      <c r="G38" s="6">
        <v>94</v>
      </c>
      <c r="H38" s="6">
        <v>87</v>
      </c>
      <c r="I38" s="6">
        <v>91.86</v>
      </c>
      <c r="J38" s="6">
        <v>85.73</v>
      </c>
      <c r="K38" s="6">
        <v>357.8</v>
      </c>
      <c r="L38" s="6">
        <v>90.65</v>
      </c>
      <c r="M38" s="6">
        <v>87.67</v>
      </c>
      <c r="N38" s="6">
        <v>89.24</v>
      </c>
      <c r="O38" s="6">
        <v>82.57</v>
      </c>
      <c r="P38" s="6">
        <v>348.55</v>
      </c>
      <c r="Q38" s="6">
        <v>90.89</v>
      </c>
      <c r="R38" s="6">
        <v>89.37</v>
      </c>
      <c r="S38" s="6">
        <v>88.26</v>
      </c>
      <c r="T38" s="6">
        <v>86.48</v>
      </c>
      <c r="U38" s="6">
        <v>346.94</v>
      </c>
      <c r="V38" s="6">
        <v>88.76</v>
      </c>
      <c r="W38" s="6">
        <v>86.68</v>
      </c>
      <c r="X38" s="6">
        <v>85.12</v>
      </c>
      <c r="Y38" s="6">
        <v>82.64</v>
      </c>
      <c r="Z38" s="6">
        <v>338.27</v>
      </c>
      <c r="AA38" s="6">
        <v>85.24</v>
      </c>
      <c r="AB38" s="6">
        <v>83.2</v>
      </c>
      <c r="AC38" s="6">
        <v>81.650000000000006</v>
      </c>
      <c r="AD38" s="6">
        <v>79.17</v>
      </c>
      <c r="AE38" s="6">
        <v>330.57</v>
      </c>
    </row>
    <row r="39" spans="1:31" x14ac:dyDescent="0.25">
      <c r="A39" t="s">
        <v>70</v>
      </c>
      <c r="B39" s="6">
        <v>30626</v>
      </c>
      <c r="C39" s="6">
        <v>30847</v>
      </c>
      <c r="D39" s="6">
        <v>30709</v>
      </c>
      <c r="E39" s="6">
        <v>33466</v>
      </c>
      <c r="F39" s="6">
        <v>125648</v>
      </c>
      <c r="G39" s="6">
        <v>31506</v>
      </c>
      <c r="H39" s="6">
        <v>31558</v>
      </c>
      <c r="I39" s="6">
        <v>31667.9</v>
      </c>
      <c r="J39" s="6">
        <v>34499.33</v>
      </c>
      <c r="K39" s="6">
        <v>129215.33</v>
      </c>
      <c r="L39" s="6">
        <v>32202.3</v>
      </c>
      <c r="M39" s="6">
        <v>32251.94</v>
      </c>
      <c r="N39" s="6">
        <v>32421.74</v>
      </c>
      <c r="O39" s="6">
        <v>35255.949999999997</v>
      </c>
      <c r="P39" s="6">
        <v>132052.75</v>
      </c>
      <c r="Q39" s="6">
        <v>32816.089999999997</v>
      </c>
      <c r="R39" s="6">
        <v>32690.07</v>
      </c>
      <c r="S39" s="6">
        <v>32932.11</v>
      </c>
      <c r="T39" s="6">
        <v>36065</v>
      </c>
      <c r="U39" s="6">
        <v>134712.76</v>
      </c>
      <c r="V39" s="6">
        <v>33509.199999999997</v>
      </c>
      <c r="W39" s="6">
        <v>33519.5</v>
      </c>
      <c r="X39" s="6">
        <v>33751.99</v>
      </c>
      <c r="Y39" s="6">
        <v>36931.43</v>
      </c>
      <c r="Z39" s="6">
        <v>138007.48000000001</v>
      </c>
      <c r="AA39" s="6">
        <v>34358.449999999997</v>
      </c>
      <c r="AB39" s="6">
        <v>34370.160000000003</v>
      </c>
      <c r="AC39" s="6">
        <v>34660.879999999997</v>
      </c>
      <c r="AD39" s="6">
        <v>37859.21</v>
      </c>
      <c r="AE39" s="6">
        <v>141694.19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7DDF-EB2C-4E78-8C47-8D9FD54C6D42}">
  <dimension ref="A1:AE57"/>
  <sheetViews>
    <sheetView workbookViewId="0">
      <selection sqref="A1:D1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71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72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t="s">
        <v>73</v>
      </c>
      <c r="B17" s="6">
        <v>22060</v>
      </c>
      <c r="C17" s="6">
        <v>22334</v>
      </c>
      <c r="D17" s="6">
        <v>22529</v>
      </c>
      <c r="E17" s="6">
        <v>22675</v>
      </c>
      <c r="F17" s="6">
        <v>89598</v>
      </c>
      <c r="G17" s="6">
        <v>22863</v>
      </c>
      <c r="H17" s="6">
        <v>23478</v>
      </c>
      <c r="I17" s="6">
        <v>23773.75</v>
      </c>
      <c r="J17" s="6">
        <v>23938.35</v>
      </c>
      <c r="K17" s="6">
        <v>94053.1</v>
      </c>
      <c r="L17" s="6">
        <v>23956.91</v>
      </c>
      <c r="M17" s="6">
        <v>24425.9</v>
      </c>
      <c r="N17" s="6">
        <v>24752.97</v>
      </c>
      <c r="O17" s="6">
        <v>24872.93</v>
      </c>
      <c r="P17" s="6">
        <v>97976.67</v>
      </c>
      <c r="Q17" s="6">
        <v>24940.53</v>
      </c>
      <c r="R17" s="6">
        <v>25361.72</v>
      </c>
      <c r="S17" s="6">
        <v>25656.74</v>
      </c>
      <c r="T17" s="6">
        <v>25854.49</v>
      </c>
      <c r="U17" s="6">
        <v>101853.62</v>
      </c>
      <c r="V17" s="6">
        <v>25819.37</v>
      </c>
      <c r="W17" s="6">
        <v>26336.89</v>
      </c>
      <c r="X17" s="6">
        <v>26630.33</v>
      </c>
      <c r="Y17" s="6">
        <v>26770.37</v>
      </c>
      <c r="Z17" s="6">
        <v>105551.96</v>
      </c>
      <c r="AA17" s="6">
        <v>26785.38</v>
      </c>
      <c r="AB17" s="6">
        <v>27280.1</v>
      </c>
      <c r="AC17" s="6">
        <v>27613.79</v>
      </c>
      <c r="AD17" s="6">
        <v>27721.97</v>
      </c>
      <c r="AE17" s="6">
        <v>109247.44</v>
      </c>
    </row>
    <row r="18" spans="1:31" x14ac:dyDescent="0.25">
      <c r="A18" t="s">
        <v>74</v>
      </c>
      <c r="B18" s="6">
        <v>2368</v>
      </c>
      <c r="C18" s="6">
        <v>2202</v>
      </c>
      <c r="D18" s="6">
        <v>2013</v>
      </c>
      <c r="E18" s="6">
        <v>1889</v>
      </c>
      <c r="F18" s="6">
        <v>8472</v>
      </c>
      <c r="G18" s="6">
        <v>1768</v>
      </c>
      <c r="H18" s="6">
        <v>1632</v>
      </c>
      <c r="I18" s="6">
        <v>1504.54</v>
      </c>
      <c r="J18" s="6">
        <v>1400.95</v>
      </c>
      <c r="K18" s="6">
        <v>6305.49</v>
      </c>
      <c r="L18" s="6">
        <v>1259.3699999999999</v>
      </c>
      <c r="M18" s="6">
        <v>1143.27</v>
      </c>
      <c r="N18" s="6">
        <v>1040.74</v>
      </c>
      <c r="O18" s="6">
        <v>947.12</v>
      </c>
      <c r="P18" s="6">
        <v>4358.1099999999997</v>
      </c>
      <c r="Q18" s="6">
        <v>724.43</v>
      </c>
      <c r="R18" s="6">
        <v>642.29</v>
      </c>
      <c r="S18" s="6">
        <v>563.6</v>
      </c>
      <c r="T18" s="6">
        <v>501.43</v>
      </c>
      <c r="U18" s="6">
        <v>2651.29</v>
      </c>
      <c r="V18" s="6">
        <v>457.63</v>
      </c>
      <c r="W18" s="6">
        <v>399.61</v>
      </c>
      <c r="X18" s="6">
        <v>351.66</v>
      </c>
      <c r="Y18" s="6">
        <v>311.89999999999998</v>
      </c>
      <c r="Z18" s="6">
        <v>1654.41</v>
      </c>
      <c r="AA18" s="6">
        <v>346.97</v>
      </c>
      <c r="AB18" s="6">
        <v>422.12</v>
      </c>
      <c r="AC18" s="6">
        <v>391.25</v>
      </c>
      <c r="AD18" s="6">
        <v>358.64</v>
      </c>
      <c r="AE18" s="6">
        <v>1423.71</v>
      </c>
    </row>
    <row r="19" spans="1:31" x14ac:dyDescent="0.25">
      <c r="A19" t="s">
        <v>75</v>
      </c>
      <c r="B19" s="6">
        <v>615</v>
      </c>
      <c r="C19" s="6">
        <v>662</v>
      </c>
      <c r="D19" s="6">
        <v>696</v>
      </c>
      <c r="E19" s="6">
        <v>742</v>
      </c>
      <c r="F19" s="6">
        <v>2715</v>
      </c>
      <c r="G19" s="6">
        <v>753</v>
      </c>
      <c r="H19" s="6">
        <v>780</v>
      </c>
      <c r="I19" s="6">
        <v>713.78</v>
      </c>
      <c r="J19" s="6">
        <v>732.21</v>
      </c>
      <c r="K19" s="6">
        <v>2968.51</v>
      </c>
      <c r="L19" s="6">
        <v>732.73</v>
      </c>
      <c r="M19" s="6">
        <v>747.95</v>
      </c>
      <c r="N19" s="6">
        <v>703.81</v>
      </c>
      <c r="O19" s="6">
        <v>725.43</v>
      </c>
      <c r="P19" s="6">
        <v>2930.77</v>
      </c>
      <c r="Q19" s="6">
        <v>730.95</v>
      </c>
      <c r="R19" s="6">
        <v>759.87</v>
      </c>
      <c r="S19" s="6">
        <v>687.77</v>
      </c>
      <c r="T19" s="6">
        <v>716.48</v>
      </c>
      <c r="U19" s="6">
        <v>2982.09</v>
      </c>
      <c r="V19" s="6">
        <v>746.61</v>
      </c>
      <c r="W19" s="6">
        <v>777.66</v>
      </c>
      <c r="X19" s="6">
        <v>702.78</v>
      </c>
      <c r="Y19" s="6">
        <v>732.7</v>
      </c>
      <c r="Z19" s="6">
        <v>3056.4</v>
      </c>
      <c r="AA19" s="6">
        <v>761.41</v>
      </c>
      <c r="AB19" s="6">
        <v>792.13</v>
      </c>
      <c r="AC19" s="6">
        <v>711.2</v>
      </c>
      <c r="AD19" s="6">
        <v>741.48</v>
      </c>
      <c r="AE19" s="6">
        <v>3089.88</v>
      </c>
    </row>
    <row r="20" spans="1:31" x14ac:dyDescent="0.25">
      <c r="A20" t="s">
        <v>76</v>
      </c>
      <c r="B20" s="6">
        <v>25043</v>
      </c>
      <c r="C20" s="6">
        <v>25198</v>
      </c>
      <c r="D20" s="6">
        <v>25238</v>
      </c>
      <c r="E20" s="6">
        <v>25306</v>
      </c>
      <c r="F20" s="6">
        <v>100785</v>
      </c>
      <c r="G20" s="6">
        <v>25384</v>
      </c>
      <c r="H20" s="6">
        <v>25890</v>
      </c>
      <c r="I20" s="6">
        <v>25981.49</v>
      </c>
      <c r="J20" s="6">
        <v>26080.84</v>
      </c>
      <c r="K20" s="6">
        <v>103336.33</v>
      </c>
      <c r="L20" s="6">
        <v>25962.47</v>
      </c>
      <c r="M20" s="6">
        <v>26311.25</v>
      </c>
      <c r="N20" s="6">
        <v>26466.93</v>
      </c>
      <c r="O20" s="6">
        <v>26555.69</v>
      </c>
      <c r="P20" s="6">
        <v>105241.21</v>
      </c>
      <c r="Q20" s="6">
        <v>26395.9</v>
      </c>
      <c r="R20" s="6">
        <v>26763.88</v>
      </c>
      <c r="S20" s="6">
        <v>26908.1</v>
      </c>
      <c r="T20" s="6">
        <v>27072.400000000001</v>
      </c>
      <c r="U20" s="6">
        <v>107452.64</v>
      </c>
      <c r="V20" s="6">
        <v>27023.61</v>
      </c>
      <c r="W20" s="6">
        <v>27514.16</v>
      </c>
      <c r="X20" s="6">
        <v>27684.76</v>
      </c>
      <c r="Y20" s="6">
        <v>27814.97</v>
      </c>
      <c r="Z20" s="6">
        <v>110255.08</v>
      </c>
      <c r="AA20" s="6">
        <v>27824.37</v>
      </c>
      <c r="AB20" s="6">
        <v>28320.9</v>
      </c>
      <c r="AC20" s="6">
        <v>28550.11</v>
      </c>
      <c r="AD20" s="6">
        <v>28673.040000000001</v>
      </c>
      <c r="AE20" s="6">
        <v>113402.32</v>
      </c>
    </row>
    <row r="21" spans="1:31" x14ac:dyDescent="0.25">
      <c r="A21" t="s">
        <v>77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t="s">
        <v>78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t="s">
        <v>79</v>
      </c>
      <c r="B23" s="6">
        <v>20976</v>
      </c>
      <c r="C23" s="6">
        <v>21295</v>
      </c>
      <c r="D23" s="6">
        <v>21274</v>
      </c>
      <c r="E23" s="6">
        <v>23714</v>
      </c>
      <c r="F23" s="6">
        <v>87259</v>
      </c>
      <c r="G23" s="6">
        <v>22152</v>
      </c>
      <c r="H23" s="6">
        <v>22329</v>
      </c>
      <c r="I23" s="6">
        <v>22529.96</v>
      </c>
      <c r="J23" s="6">
        <v>25029.95</v>
      </c>
      <c r="K23" s="6">
        <v>92040.91</v>
      </c>
      <c r="L23" s="6">
        <v>23462.97</v>
      </c>
      <c r="M23" s="6">
        <v>23392.31</v>
      </c>
      <c r="N23" s="6">
        <v>23565.52</v>
      </c>
      <c r="O23" s="6">
        <v>26179.82</v>
      </c>
      <c r="P23" s="6">
        <v>96421.23</v>
      </c>
      <c r="Q23" s="6">
        <v>24714.22</v>
      </c>
      <c r="R23" s="6">
        <v>24491.93</v>
      </c>
      <c r="S23" s="6">
        <v>24932.98</v>
      </c>
      <c r="T23" s="6">
        <v>27733.77</v>
      </c>
      <c r="U23" s="6">
        <v>100613.03</v>
      </c>
      <c r="V23" s="6">
        <v>24779.24</v>
      </c>
      <c r="W23" s="6">
        <v>24718.62</v>
      </c>
      <c r="X23" s="6">
        <v>24902.3</v>
      </c>
      <c r="Y23" s="6">
        <v>27397.07</v>
      </c>
      <c r="Z23" s="6">
        <v>103600.7</v>
      </c>
      <c r="AA23" s="6">
        <v>25594.82</v>
      </c>
      <c r="AB23" s="6">
        <v>25389.47</v>
      </c>
      <c r="AC23" s="6">
        <v>25797.439999999999</v>
      </c>
      <c r="AD23" s="6">
        <v>28174.46</v>
      </c>
      <c r="AE23" s="6">
        <v>107201.91</v>
      </c>
    </row>
    <row r="24" spans="1:31" x14ac:dyDescent="0.25">
      <c r="A24" t="s">
        <v>80</v>
      </c>
      <c r="B24" s="6">
        <v>6216</v>
      </c>
      <c r="C24" s="6">
        <v>6202</v>
      </c>
      <c r="D24" s="6">
        <v>6229</v>
      </c>
      <c r="E24" s="6">
        <v>6518</v>
      </c>
      <c r="F24" s="6">
        <v>25165</v>
      </c>
      <c r="G24" s="6">
        <v>6319</v>
      </c>
      <c r="H24" s="6">
        <v>6286</v>
      </c>
      <c r="I24" s="6">
        <v>6351.39</v>
      </c>
      <c r="J24" s="6">
        <v>6646.63</v>
      </c>
      <c r="K24" s="6">
        <v>25603.02</v>
      </c>
      <c r="L24" s="6">
        <v>6355.07</v>
      </c>
      <c r="M24" s="6">
        <v>6318.73</v>
      </c>
      <c r="N24" s="6">
        <v>6323.6</v>
      </c>
      <c r="O24" s="6">
        <v>6684.2</v>
      </c>
      <c r="P24" s="6">
        <v>25891.13</v>
      </c>
      <c r="Q24" s="6">
        <v>6213.54</v>
      </c>
      <c r="R24" s="6">
        <v>6127.74</v>
      </c>
      <c r="S24" s="6">
        <v>6073.02</v>
      </c>
      <c r="T24" s="6">
        <v>6458.46</v>
      </c>
      <c r="U24" s="6">
        <v>26338.13</v>
      </c>
      <c r="V24" s="6">
        <v>6751.83</v>
      </c>
      <c r="W24" s="6">
        <v>6761.24</v>
      </c>
      <c r="X24" s="6">
        <v>6830.18</v>
      </c>
      <c r="Y24" s="6">
        <v>7364.61</v>
      </c>
      <c r="Z24" s="6">
        <v>27685.84</v>
      </c>
      <c r="AA24" s="6">
        <v>6911.7</v>
      </c>
      <c r="AB24" s="6">
        <v>6959.73</v>
      </c>
      <c r="AC24" s="6">
        <v>6998.7</v>
      </c>
      <c r="AD24" s="6">
        <v>7571.13</v>
      </c>
      <c r="AE24" s="6">
        <v>28524.77</v>
      </c>
    </row>
    <row r="25" spans="1:31" x14ac:dyDescent="0.25">
      <c r="A25" t="s">
        <v>60</v>
      </c>
      <c r="B25" s="6">
        <v>27192</v>
      </c>
      <c r="C25" s="6">
        <v>27497</v>
      </c>
      <c r="D25" s="6">
        <v>27503</v>
      </c>
      <c r="E25" s="6">
        <v>30232</v>
      </c>
      <c r="F25" s="6">
        <v>112424</v>
      </c>
      <c r="G25" s="6">
        <v>28471</v>
      </c>
      <c r="H25" s="6">
        <v>28615</v>
      </c>
      <c r="I25" s="6">
        <v>28914.47</v>
      </c>
      <c r="J25" s="6">
        <v>31785.77</v>
      </c>
      <c r="K25" s="6">
        <v>117786.24000000001</v>
      </c>
      <c r="L25" s="6">
        <v>29666.41</v>
      </c>
      <c r="M25" s="6">
        <v>29801.33</v>
      </c>
      <c r="N25" s="6">
        <v>30135.599999999999</v>
      </c>
      <c r="O25" s="6">
        <v>32964.519999999997</v>
      </c>
      <c r="P25" s="6">
        <v>122554.94</v>
      </c>
      <c r="Q25" s="6">
        <v>30819.32</v>
      </c>
      <c r="R25" s="6">
        <v>30756.720000000001</v>
      </c>
      <c r="S25" s="6">
        <v>31139.59</v>
      </c>
      <c r="T25" s="6">
        <v>34200.76</v>
      </c>
      <c r="U25" s="6">
        <v>126842.92</v>
      </c>
      <c r="V25" s="6">
        <v>31761.37</v>
      </c>
      <c r="W25" s="6">
        <v>31784.6</v>
      </c>
      <c r="X25" s="6">
        <v>32176.01</v>
      </c>
      <c r="Y25" s="6">
        <v>35256.449999999997</v>
      </c>
      <c r="Z25" s="6">
        <v>131064.38</v>
      </c>
      <c r="AA25" s="6">
        <v>32770.35</v>
      </c>
      <c r="AB25" s="6">
        <v>32765.27</v>
      </c>
      <c r="AC25" s="6">
        <v>33199.269999999997</v>
      </c>
      <c r="AD25" s="6">
        <v>36273.42</v>
      </c>
      <c r="AE25" s="6">
        <v>135287.82999999999</v>
      </c>
    </row>
    <row r="26" spans="1:31" x14ac:dyDescent="0.25">
      <c r="A26" t="s">
        <v>63</v>
      </c>
      <c r="B26" s="6">
        <v>2368</v>
      </c>
      <c r="C26" s="6">
        <v>2202</v>
      </c>
      <c r="D26" s="6">
        <v>2013</v>
      </c>
      <c r="E26" s="6">
        <v>1889</v>
      </c>
      <c r="F26" s="6">
        <v>8472</v>
      </c>
      <c r="G26" s="6">
        <v>1768</v>
      </c>
      <c r="H26" s="6">
        <v>1632</v>
      </c>
      <c r="I26" s="6">
        <v>1504.54</v>
      </c>
      <c r="J26" s="6">
        <v>1400.95</v>
      </c>
      <c r="K26" s="6">
        <v>6305.49</v>
      </c>
      <c r="L26" s="6">
        <v>1259.3699999999999</v>
      </c>
      <c r="M26" s="6">
        <v>1143.27</v>
      </c>
      <c r="N26" s="6">
        <v>1040.74</v>
      </c>
      <c r="O26" s="6">
        <v>947.12</v>
      </c>
      <c r="P26" s="6">
        <v>4358.1099999999997</v>
      </c>
      <c r="Q26" s="6">
        <v>724.43</v>
      </c>
      <c r="R26" s="6">
        <v>642.29</v>
      </c>
      <c r="S26" s="6">
        <v>563.6</v>
      </c>
      <c r="T26" s="6">
        <v>501.43</v>
      </c>
      <c r="U26" s="6">
        <v>2651.29</v>
      </c>
      <c r="V26" s="6">
        <v>457.63</v>
      </c>
      <c r="W26" s="6">
        <v>399.61</v>
      </c>
      <c r="X26" s="6">
        <v>351.66</v>
      </c>
      <c r="Y26" s="6">
        <v>311.89999999999998</v>
      </c>
      <c r="Z26" s="6">
        <v>1654.41</v>
      </c>
      <c r="AA26" s="6">
        <v>346.97</v>
      </c>
      <c r="AB26" s="6">
        <v>422.12</v>
      </c>
      <c r="AC26" s="6">
        <v>391.25</v>
      </c>
      <c r="AD26" s="6">
        <v>358.64</v>
      </c>
      <c r="AE26" s="6">
        <v>1423.71</v>
      </c>
    </row>
    <row r="27" spans="1:31" x14ac:dyDescent="0.25">
      <c r="A27" t="s">
        <v>64</v>
      </c>
      <c r="B27" s="6">
        <v>29560</v>
      </c>
      <c r="C27" s="6">
        <v>29699</v>
      </c>
      <c r="D27" s="6">
        <v>29516</v>
      </c>
      <c r="E27" s="6">
        <v>32121</v>
      </c>
      <c r="F27" s="6">
        <v>120896</v>
      </c>
      <c r="G27" s="6">
        <v>30239</v>
      </c>
      <c r="H27" s="6">
        <v>30247</v>
      </c>
      <c r="I27" s="6">
        <v>30400.09</v>
      </c>
      <c r="J27" s="6">
        <v>33156.300000000003</v>
      </c>
      <c r="K27" s="6">
        <v>124037.87</v>
      </c>
      <c r="L27" s="6">
        <v>30930.93</v>
      </c>
      <c r="M27" s="6">
        <v>30937.15</v>
      </c>
      <c r="N27" s="6">
        <v>31150.69</v>
      </c>
      <c r="O27" s="6">
        <v>33884.32</v>
      </c>
      <c r="P27" s="6">
        <v>126817.07</v>
      </c>
      <c r="Q27" s="6">
        <v>31543.74</v>
      </c>
      <c r="R27" s="6">
        <v>31399.01</v>
      </c>
      <c r="S27" s="6">
        <v>31703.19</v>
      </c>
      <c r="T27" s="6">
        <v>34702.19</v>
      </c>
      <c r="U27" s="6">
        <v>129463.7</v>
      </c>
      <c r="V27" s="6">
        <v>32219</v>
      </c>
      <c r="W27" s="6">
        <v>32184.21</v>
      </c>
      <c r="X27" s="6">
        <v>32527.67</v>
      </c>
      <c r="Y27" s="6">
        <v>35568.35</v>
      </c>
      <c r="Z27" s="6">
        <v>132680.51</v>
      </c>
      <c r="AA27" s="6">
        <v>33047.919999999998</v>
      </c>
      <c r="AB27" s="6">
        <v>33013.94</v>
      </c>
      <c r="AC27" s="6">
        <v>33424.39</v>
      </c>
      <c r="AD27" s="6">
        <v>36483.01</v>
      </c>
      <c r="AE27" s="6">
        <v>136284.21</v>
      </c>
    </row>
    <row r="28" spans="1:31" x14ac:dyDescent="0.25">
      <c r="A28" t="s">
        <v>68</v>
      </c>
      <c r="B28" s="6">
        <v>971</v>
      </c>
      <c r="C28" s="6">
        <v>1054</v>
      </c>
      <c r="D28" s="6">
        <v>1095</v>
      </c>
      <c r="E28" s="6">
        <v>1259</v>
      </c>
      <c r="F28" s="6">
        <v>4379</v>
      </c>
      <c r="G28" s="6">
        <v>1173</v>
      </c>
      <c r="H28" s="6">
        <v>1224</v>
      </c>
      <c r="I28" s="6">
        <v>1149.49</v>
      </c>
      <c r="J28" s="6">
        <v>1247.25</v>
      </c>
      <c r="K28" s="6">
        <v>4784.74</v>
      </c>
      <c r="L28" s="6">
        <v>1185.98</v>
      </c>
      <c r="M28" s="6">
        <v>1221.23</v>
      </c>
      <c r="N28" s="6">
        <v>1155.52</v>
      </c>
      <c r="O28" s="6">
        <v>1261.8800000000001</v>
      </c>
      <c r="P28" s="6">
        <v>4833.03</v>
      </c>
      <c r="Q28" s="6">
        <v>1180.21</v>
      </c>
      <c r="R28" s="6">
        <v>1202.82</v>
      </c>
      <c r="S28" s="6">
        <v>1138.8499999999999</v>
      </c>
      <c r="T28" s="6">
        <v>1275.94</v>
      </c>
      <c r="U28" s="6">
        <v>4891.37</v>
      </c>
      <c r="V28" s="6">
        <v>1198.29</v>
      </c>
      <c r="W28" s="6">
        <v>1248.73</v>
      </c>
      <c r="X28" s="6">
        <v>1135.25</v>
      </c>
      <c r="Y28" s="6">
        <v>1278.4100000000001</v>
      </c>
      <c r="Z28" s="6">
        <v>4975.67</v>
      </c>
      <c r="AA28" s="6">
        <v>1219.6300000000001</v>
      </c>
      <c r="AB28" s="6">
        <v>1270.6099999999999</v>
      </c>
      <c r="AC28" s="6">
        <v>1148.4100000000001</v>
      </c>
      <c r="AD28" s="6">
        <v>1292.46</v>
      </c>
      <c r="AE28" s="6">
        <v>5043.04</v>
      </c>
    </row>
    <row r="29" spans="1:31" x14ac:dyDescent="0.25">
      <c r="A29" t="s">
        <v>69</v>
      </c>
      <c r="B29" s="6">
        <v>95</v>
      </c>
      <c r="C29" s="6">
        <v>94</v>
      </c>
      <c r="D29" s="6">
        <v>98</v>
      </c>
      <c r="E29" s="6">
        <v>86</v>
      </c>
      <c r="F29" s="6">
        <v>373</v>
      </c>
      <c r="G29" s="6">
        <v>94</v>
      </c>
      <c r="H29" s="6">
        <v>87</v>
      </c>
      <c r="I29" s="6">
        <v>91.86</v>
      </c>
      <c r="J29" s="6">
        <v>85.73</v>
      </c>
      <c r="K29" s="6">
        <v>357.8</v>
      </c>
      <c r="L29" s="6">
        <v>90.65</v>
      </c>
      <c r="M29" s="6">
        <v>87.67</v>
      </c>
      <c r="N29" s="6">
        <v>89.24</v>
      </c>
      <c r="O29" s="6">
        <v>82.57</v>
      </c>
      <c r="P29" s="6">
        <v>348.55</v>
      </c>
      <c r="Q29" s="6">
        <v>90.89</v>
      </c>
      <c r="R29" s="6">
        <v>89.37</v>
      </c>
      <c r="S29" s="6">
        <v>88.26</v>
      </c>
      <c r="T29" s="6">
        <v>86.48</v>
      </c>
      <c r="U29" s="6">
        <v>346.94</v>
      </c>
      <c r="V29" s="6">
        <v>88.76</v>
      </c>
      <c r="W29" s="6">
        <v>86.68</v>
      </c>
      <c r="X29" s="6">
        <v>85.12</v>
      </c>
      <c r="Y29" s="6">
        <v>82.64</v>
      </c>
      <c r="Z29" s="6">
        <v>338.27</v>
      </c>
      <c r="AA29" s="6">
        <v>85.24</v>
      </c>
      <c r="AB29" s="6">
        <v>83.2</v>
      </c>
      <c r="AC29" s="6">
        <v>81.650000000000006</v>
      </c>
      <c r="AD29" s="6">
        <v>79.17</v>
      </c>
      <c r="AE29" s="6">
        <v>330.57</v>
      </c>
    </row>
    <row r="30" spans="1:31" x14ac:dyDescent="0.25">
      <c r="A30" t="s">
        <v>70</v>
      </c>
      <c r="B30" s="6">
        <v>30626</v>
      </c>
      <c r="C30" s="6">
        <v>30847</v>
      </c>
      <c r="D30" s="6">
        <v>30709</v>
      </c>
      <c r="E30" s="6">
        <v>33466</v>
      </c>
      <c r="F30" s="6">
        <v>125648</v>
      </c>
      <c r="G30" s="6">
        <v>31506</v>
      </c>
      <c r="H30" s="6">
        <v>31558</v>
      </c>
      <c r="I30" s="6">
        <v>31667.9</v>
      </c>
      <c r="J30" s="6">
        <v>34499.33</v>
      </c>
      <c r="K30" s="6">
        <v>129215.33</v>
      </c>
      <c r="L30" s="6">
        <v>32202.3</v>
      </c>
      <c r="M30" s="6">
        <v>32251.94</v>
      </c>
      <c r="N30" s="6">
        <v>32421.74</v>
      </c>
      <c r="O30" s="6">
        <v>35255.949999999997</v>
      </c>
      <c r="P30" s="6">
        <v>132052.75</v>
      </c>
      <c r="Q30" s="6">
        <v>32816.089999999997</v>
      </c>
      <c r="R30" s="6">
        <v>32690.07</v>
      </c>
      <c r="S30" s="6">
        <v>32932.11</v>
      </c>
      <c r="T30" s="6">
        <v>36065</v>
      </c>
      <c r="U30" s="6">
        <v>134712.76</v>
      </c>
      <c r="V30" s="6">
        <v>33509.199999999997</v>
      </c>
      <c r="W30" s="6">
        <v>33519.5</v>
      </c>
      <c r="X30" s="6">
        <v>33751.99</v>
      </c>
      <c r="Y30" s="6">
        <v>36931.43</v>
      </c>
      <c r="Z30" s="6">
        <v>138007.48000000001</v>
      </c>
      <c r="AA30" s="6">
        <v>34358.449999999997</v>
      </c>
      <c r="AB30" s="6">
        <v>34370.160000000003</v>
      </c>
      <c r="AC30" s="6">
        <v>34660.879999999997</v>
      </c>
      <c r="AD30" s="6">
        <v>37859.21</v>
      </c>
      <c r="AE30" s="6">
        <v>141694.19</v>
      </c>
    </row>
    <row r="31" spans="1:31" x14ac:dyDescent="0.25">
      <c r="A31" t="s">
        <v>77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t="s">
        <v>81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t="s">
        <v>82</v>
      </c>
      <c r="B33" s="6">
        <v>16247</v>
      </c>
      <c r="C33" s="6">
        <v>16356</v>
      </c>
      <c r="D33" s="6">
        <v>16010</v>
      </c>
      <c r="E33" s="6">
        <v>19264</v>
      </c>
      <c r="F33" s="6">
        <v>67877</v>
      </c>
      <c r="G33" s="6">
        <v>16913</v>
      </c>
      <c r="H33" s="6">
        <v>16583</v>
      </c>
      <c r="I33" s="6">
        <v>16676.2</v>
      </c>
      <c r="J33" s="6">
        <v>20026.37</v>
      </c>
      <c r="K33" s="6">
        <v>70198.570000000007</v>
      </c>
      <c r="L33" s="6">
        <v>17398.560000000001</v>
      </c>
      <c r="M33" s="6">
        <v>16986.46</v>
      </c>
      <c r="N33" s="6">
        <v>17017.349999999999</v>
      </c>
      <c r="O33" s="6">
        <v>20522.400000000001</v>
      </c>
      <c r="P33" s="6">
        <v>71910.539999999994</v>
      </c>
      <c r="Q33" s="6">
        <v>17636.400000000001</v>
      </c>
      <c r="R33" s="6">
        <v>17172.41</v>
      </c>
      <c r="S33" s="6">
        <v>17338.98</v>
      </c>
      <c r="T33" s="6">
        <v>20944.830000000002</v>
      </c>
      <c r="U33" s="6">
        <v>73205.38</v>
      </c>
      <c r="V33" s="6">
        <v>17991.32</v>
      </c>
      <c r="W33" s="6">
        <v>17540.599999999999</v>
      </c>
      <c r="X33" s="6">
        <v>17751.89</v>
      </c>
      <c r="Y33" s="6">
        <v>21431.53</v>
      </c>
      <c r="Z33" s="6">
        <v>74994.98</v>
      </c>
      <c r="AA33" s="6">
        <v>18376.86</v>
      </c>
      <c r="AB33" s="6">
        <v>17916.25</v>
      </c>
      <c r="AC33" s="6">
        <v>18158.54</v>
      </c>
      <c r="AD33" s="6">
        <v>21868.9</v>
      </c>
      <c r="AE33" s="6">
        <v>76752.61</v>
      </c>
    </row>
    <row r="34" spans="1:31" x14ac:dyDescent="0.25">
      <c r="A34" t="s">
        <v>83</v>
      </c>
      <c r="B34" s="6">
        <v>1349</v>
      </c>
      <c r="C34" s="6">
        <v>1243</v>
      </c>
      <c r="D34" s="6">
        <v>1334</v>
      </c>
      <c r="E34" s="6">
        <v>1207</v>
      </c>
      <c r="F34" s="6">
        <v>5133</v>
      </c>
      <c r="G34" s="6">
        <v>1156</v>
      </c>
      <c r="H34" s="6">
        <v>1109</v>
      </c>
      <c r="I34" s="6">
        <v>1088.6199999999999</v>
      </c>
      <c r="J34" s="6">
        <v>1013.43</v>
      </c>
      <c r="K34" s="6">
        <v>4367.05</v>
      </c>
      <c r="L34" s="6">
        <v>954.26</v>
      </c>
      <c r="M34" s="6">
        <v>918.11</v>
      </c>
      <c r="N34" s="6">
        <v>904.81</v>
      </c>
      <c r="O34" s="6">
        <v>849.62</v>
      </c>
      <c r="P34" s="6">
        <v>3590.8</v>
      </c>
      <c r="Q34" s="6">
        <v>723.81</v>
      </c>
      <c r="R34" s="6">
        <v>685.82</v>
      </c>
      <c r="S34" s="6">
        <v>664.65</v>
      </c>
      <c r="T34" s="6">
        <v>619.99</v>
      </c>
      <c r="U34" s="6">
        <v>2722.26</v>
      </c>
      <c r="V34" s="6">
        <v>562.19000000000005</v>
      </c>
      <c r="W34" s="6">
        <v>519.21</v>
      </c>
      <c r="X34" s="6">
        <v>486.12</v>
      </c>
      <c r="Y34" s="6">
        <v>444.68</v>
      </c>
      <c r="Z34" s="6">
        <v>1903.29</v>
      </c>
      <c r="AA34" s="6">
        <v>455.7</v>
      </c>
      <c r="AB34" s="6">
        <v>430.04</v>
      </c>
      <c r="AC34" s="6">
        <v>412.99</v>
      </c>
      <c r="AD34" s="6">
        <v>383.05</v>
      </c>
      <c r="AE34" s="6">
        <v>1541.27</v>
      </c>
    </row>
    <row r="35" spans="1:31" x14ac:dyDescent="0.25">
      <c r="A35" t="s">
        <v>84</v>
      </c>
      <c r="B35" s="6">
        <v>17596</v>
      </c>
      <c r="C35" s="6">
        <v>17599</v>
      </c>
      <c r="D35" s="6">
        <v>17344</v>
      </c>
      <c r="E35" s="6">
        <v>20471</v>
      </c>
      <c r="F35" s="6">
        <v>73010</v>
      </c>
      <c r="G35" s="6">
        <v>18069</v>
      </c>
      <c r="H35" s="6">
        <v>17692</v>
      </c>
      <c r="I35" s="6">
        <v>17758.46</v>
      </c>
      <c r="J35" s="6">
        <v>20976.91</v>
      </c>
      <c r="K35" s="6">
        <v>74508</v>
      </c>
      <c r="L35" s="6">
        <v>18301.099999999999</v>
      </c>
      <c r="M35" s="6">
        <v>17953.099999999999</v>
      </c>
      <c r="N35" s="6">
        <v>18017.66</v>
      </c>
      <c r="O35" s="6">
        <v>21267.26</v>
      </c>
      <c r="P35" s="6">
        <v>75477.070000000007</v>
      </c>
      <c r="Q35" s="6">
        <v>18360.21</v>
      </c>
      <c r="R35" s="6">
        <v>17858.23</v>
      </c>
      <c r="S35" s="6">
        <v>18003.64</v>
      </c>
      <c r="T35" s="6">
        <v>21564.81</v>
      </c>
      <c r="U35" s="6">
        <v>75931.89</v>
      </c>
      <c r="V35" s="6">
        <v>18553.509999999998</v>
      </c>
      <c r="W35" s="6">
        <v>18059.810000000001</v>
      </c>
      <c r="X35" s="6">
        <v>18238.009999999998</v>
      </c>
      <c r="Y35" s="6">
        <v>21876.2</v>
      </c>
      <c r="Z35" s="6">
        <v>76955.08</v>
      </c>
      <c r="AA35" s="6">
        <v>18741.419999999998</v>
      </c>
      <c r="AB35" s="6">
        <v>18260.28</v>
      </c>
      <c r="AC35" s="6">
        <v>18488.93</v>
      </c>
      <c r="AD35" s="6">
        <v>22175.34</v>
      </c>
      <c r="AE35" s="6">
        <v>78122.710000000006</v>
      </c>
    </row>
    <row r="36" spans="1:31" x14ac:dyDescent="0.25">
      <c r="A36" t="s">
        <v>85</v>
      </c>
      <c r="B36" s="6">
        <v>778</v>
      </c>
      <c r="C36" s="6">
        <v>853</v>
      </c>
      <c r="D36" s="6">
        <v>896</v>
      </c>
      <c r="E36" s="6">
        <v>1036</v>
      </c>
      <c r="F36" s="6">
        <v>3563</v>
      </c>
      <c r="G36" s="6">
        <v>953</v>
      </c>
      <c r="H36" s="6">
        <v>997</v>
      </c>
      <c r="I36" s="6">
        <v>940.16</v>
      </c>
      <c r="J36" s="6">
        <v>1022.58</v>
      </c>
      <c r="K36" s="6">
        <v>3904.51</v>
      </c>
      <c r="L36" s="6">
        <v>961.39</v>
      </c>
      <c r="M36" s="6">
        <v>987.02</v>
      </c>
      <c r="N36" s="6">
        <v>937.2</v>
      </c>
      <c r="O36" s="6">
        <v>1027.98</v>
      </c>
      <c r="P36" s="6">
        <v>3911.34</v>
      </c>
      <c r="Q36" s="6">
        <v>956.9</v>
      </c>
      <c r="R36" s="6">
        <v>973.35</v>
      </c>
      <c r="S36" s="6">
        <v>931.92</v>
      </c>
      <c r="T36" s="6">
        <v>1042.68</v>
      </c>
      <c r="U36" s="6">
        <v>3957.45</v>
      </c>
      <c r="V36" s="6">
        <v>973.78</v>
      </c>
      <c r="W36" s="6">
        <v>1011.7</v>
      </c>
      <c r="X36" s="6">
        <v>924.04</v>
      </c>
      <c r="Y36" s="6">
        <v>1047.28</v>
      </c>
      <c r="Z36" s="6">
        <v>4010.34</v>
      </c>
      <c r="AA36" s="6">
        <v>989.46</v>
      </c>
      <c r="AB36" s="6">
        <v>1027.67</v>
      </c>
      <c r="AC36" s="6">
        <v>933.24</v>
      </c>
      <c r="AD36" s="6">
        <v>1057.07</v>
      </c>
      <c r="AE36" s="6">
        <v>4055.68</v>
      </c>
    </row>
    <row r="37" spans="1:31" x14ac:dyDescent="0.25">
      <c r="A37" t="s">
        <v>86</v>
      </c>
      <c r="B37" s="6">
        <v>719</v>
      </c>
      <c r="C37" s="6">
        <v>643</v>
      </c>
      <c r="D37" s="6">
        <v>1033</v>
      </c>
      <c r="E37" s="6">
        <v>1043</v>
      </c>
      <c r="F37" s="6">
        <v>4027</v>
      </c>
      <c r="G37" s="6">
        <v>860</v>
      </c>
      <c r="H37" s="6">
        <v>865</v>
      </c>
      <c r="I37" s="6">
        <v>629.37</v>
      </c>
      <c r="J37" s="6">
        <v>860.51</v>
      </c>
      <c r="K37" s="6">
        <v>2986.31</v>
      </c>
      <c r="L37" s="6">
        <v>708.14</v>
      </c>
      <c r="M37" s="6">
        <v>581.55999999999995</v>
      </c>
      <c r="N37" s="6">
        <v>603.66</v>
      </c>
      <c r="O37" s="6">
        <v>845.88</v>
      </c>
      <c r="P37" s="6">
        <v>2639.66</v>
      </c>
      <c r="Q37" s="6">
        <v>675.39</v>
      </c>
      <c r="R37" s="6">
        <v>594.5</v>
      </c>
      <c r="S37" s="6">
        <v>590.87</v>
      </c>
      <c r="T37" s="6">
        <v>638.16999999999996</v>
      </c>
      <c r="U37" s="6">
        <v>2385.31</v>
      </c>
      <c r="V37" s="6">
        <v>774.05</v>
      </c>
      <c r="W37" s="6">
        <v>605.16</v>
      </c>
      <c r="X37" s="6">
        <v>613.89</v>
      </c>
      <c r="Y37" s="6">
        <v>679.09</v>
      </c>
      <c r="Z37" s="6">
        <v>2405.85</v>
      </c>
      <c r="AA37" s="6">
        <v>753.27</v>
      </c>
      <c r="AB37" s="6">
        <v>604.02</v>
      </c>
      <c r="AC37" s="6">
        <v>612.53</v>
      </c>
      <c r="AD37" s="6">
        <v>691.33</v>
      </c>
      <c r="AE37" s="6">
        <v>2394.09</v>
      </c>
    </row>
    <row r="38" spans="1:31" x14ac:dyDescent="0.25">
      <c r="A38" t="s">
        <v>87</v>
      </c>
      <c r="B38" s="6">
        <v>19178</v>
      </c>
      <c r="C38" s="6">
        <v>19095</v>
      </c>
      <c r="D38" s="6">
        <v>19273</v>
      </c>
      <c r="E38" s="6">
        <v>22550</v>
      </c>
      <c r="F38" s="6">
        <v>80600</v>
      </c>
      <c r="G38" s="6">
        <v>19882</v>
      </c>
      <c r="H38" s="6">
        <v>19554</v>
      </c>
      <c r="I38" s="6">
        <v>19301.39</v>
      </c>
      <c r="J38" s="6">
        <v>22825.63</v>
      </c>
      <c r="K38" s="6">
        <v>81467.69</v>
      </c>
      <c r="L38" s="6">
        <v>19949.349999999999</v>
      </c>
      <c r="M38" s="6">
        <v>19564.71</v>
      </c>
      <c r="N38" s="6">
        <v>19653.939999999999</v>
      </c>
      <c r="O38" s="6">
        <v>23126.5</v>
      </c>
      <c r="P38" s="6">
        <v>81986.960000000006</v>
      </c>
      <c r="Q38" s="6">
        <v>19950.66</v>
      </c>
      <c r="R38" s="6">
        <v>19511.28</v>
      </c>
      <c r="S38" s="6">
        <v>19678.8</v>
      </c>
      <c r="T38" s="6">
        <v>23367.68</v>
      </c>
      <c r="U38" s="6">
        <v>82218.03</v>
      </c>
      <c r="V38" s="6">
        <v>20278.150000000001</v>
      </c>
      <c r="W38" s="6">
        <v>19912.189999999999</v>
      </c>
      <c r="X38" s="6">
        <v>20153.689999999999</v>
      </c>
      <c r="Y38" s="6">
        <v>23994.39</v>
      </c>
      <c r="Z38" s="6">
        <v>84002.91</v>
      </c>
      <c r="AA38" s="6">
        <v>20487.78</v>
      </c>
      <c r="AB38" s="6">
        <v>20149.55</v>
      </c>
      <c r="AC38" s="6">
        <v>20421.3</v>
      </c>
      <c r="AD38" s="6">
        <v>24314.61</v>
      </c>
      <c r="AE38" s="6">
        <v>85196.02</v>
      </c>
    </row>
    <row r="39" spans="1:31" x14ac:dyDescent="0.25">
      <c r="A39" t="s">
        <v>77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t="s">
        <v>88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t="s">
        <v>89</v>
      </c>
      <c r="B41" s="6">
        <v>9175</v>
      </c>
      <c r="C41" s="6">
        <v>9429</v>
      </c>
      <c r="D41" s="6">
        <v>9701</v>
      </c>
      <c r="E41" s="6">
        <v>9286</v>
      </c>
      <c r="F41" s="6">
        <v>37591</v>
      </c>
      <c r="G41" s="6">
        <v>9563</v>
      </c>
      <c r="H41" s="6">
        <v>10095</v>
      </c>
      <c r="I41" s="6">
        <v>10259.68</v>
      </c>
      <c r="J41" s="6">
        <v>9843.8700000000008</v>
      </c>
      <c r="K41" s="6">
        <v>39761.550000000003</v>
      </c>
      <c r="L41" s="6">
        <v>10288.58</v>
      </c>
      <c r="M41" s="6">
        <v>10559.43</v>
      </c>
      <c r="N41" s="6">
        <v>10906.72</v>
      </c>
      <c r="O41" s="6">
        <v>10370.65</v>
      </c>
      <c r="P41" s="6">
        <v>41999.89</v>
      </c>
      <c r="Q41" s="6">
        <v>10874.34</v>
      </c>
      <c r="R41" s="6">
        <v>11256.16</v>
      </c>
      <c r="S41" s="6">
        <v>11581.44</v>
      </c>
      <c r="T41" s="6">
        <v>11085.07</v>
      </c>
      <c r="U41" s="6">
        <v>44231.89</v>
      </c>
      <c r="V41" s="6">
        <v>11534.17</v>
      </c>
      <c r="W41" s="6">
        <v>11987.14</v>
      </c>
      <c r="X41" s="6">
        <v>12351.48</v>
      </c>
      <c r="Y41" s="6">
        <v>11762.15</v>
      </c>
      <c r="Z41" s="6">
        <v>46114.68</v>
      </c>
      <c r="AA41" s="6">
        <v>12100.96</v>
      </c>
      <c r="AB41" s="6">
        <v>12489.91</v>
      </c>
      <c r="AC41" s="6">
        <v>12992.3</v>
      </c>
      <c r="AD41" s="6">
        <v>12296.11</v>
      </c>
      <c r="AE41" s="6">
        <v>47966.94</v>
      </c>
    </row>
    <row r="42" spans="1:31" x14ac:dyDescent="0.25">
      <c r="A42" t="s">
        <v>90</v>
      </c>
      <c r="B42" s="6">
        <v>1770</v>
      </c>
      <c r="C42" s="6">
        <v>1712</v>
      </c>
      <c r="D42" s="6">
        <v>1792</v>
      </c>
      <c r="E42" s="6">
        <v>1682</v>
      </c>
      <c r="F42" s="6">
        <v>6956</v>
      </c>
      <c r="G42" s="6">
        <v>1995</v>
      </c>
      <c r="H42" s="6">
        <v>1937</v>
      </c>
      <c r="I42" s="6">
        <v>1889.96</v>
      </c>
      <c r="J42" s="6">
        <v>1760.05</v>
      </c>
      <c r="K42" s="6">
        <v>7582.01</v>
      </c>
      <c r="L42" s="6">
        <v>2114.7399999999998</v>
      </c>
      <c r="M42" s="6">
        <v>2030.57</v>
      </c>
      <c r="N42" s="6">
        <v>1915.84</v>
      </c>
      <c r="O42" s="6">
        <v>1853.12</v>
      </c>
      <c r="P42" s="6">
        <v>8043.82</v>
      </c>
      <c r="Q42" s="6">
        <v>2278.64</v>
      </c>
      <c r="R42" s="6">
        <v>2167.7399999999998</v>
      </c>
      <c r="S42" s="6">
        <v>2041.93</v>
      </c>
      <c r="T42" s="6">
        <v>2044.29</v>
      </c>
      <c r="U42" s="6">
        <v>8483.89</v>
      </c>
      <c r="V42" s="6">
        <v>2331.14</v>
      </c>
      <c r="W42" s="6">
        <v>2283.3000000000002</v>
      </c>
      <c r="X42" s="6">
        <v>2178.08</v>
      </c>
      <c r="Y42" s="6">
        <v>2161.0500000000002</v>
      </c>
      <c r="Z42" s="6">
        <v>8887.01</v>
      </c>
      <c r="AA42" s="6">
        <v>2430.9899999999998</v>
      </c>
      <c r="AB42" s="6">
        <v>2400.71</v>
      </c>
      <c r="AC42" s="6">
        <v>2274.52</v>
      </c>
      <c r="AD42" s="6">
        <v>2275.1799999999998</v>
      </c>
      <c r="AE42" s="6">
        <v>9326.17</v>
      </c>
    </row>
    <row r="43" spans="1:31" x14ac:dyDescent="0.25">
      <c r="A43" t="s">
        <v>91</v>
      </c>
      <c r="B43" s="6">
        <v>10945</v>
      </c>
      <c r="C43" s="6">
        <v>11141</v>
      </c>
      <c r="D43" s="6">
        <v>11493</v>
      </c>
      <c r="E43" s="6">
        <v>10968</v>
      </c>
      <c r="F43" s="6">
        <v>44547</v>
      </c>
      <c r="G43" s="6">
        <v>11558</v>
      </c>
      <c r="H43" s="6">
        <v>12032</v>
      </c>
      <c r="I43" s="6">
        <v>12240.49</v>
      </c>
      <c r="J43" s="6">
        <v>11713.56</v>
      </c>
      <c r="K43" s="6">
        <v>47544.04</v>
      </c>
      <c r="L43" s="6">
        <v>12315.75</v>
      </c>
      <c r="M43" s="6">
        <v>12759.45</v>
      </c>
      <c r="N43" s="6">
        <v>13038.25</v>
      </c>
      <c r="O43" s="6">
        <v>12399.7</v>
      </c>
      <c r="P43" s="6">
        <v>50510.31</v>
      </c>
      <c r="Q43" s="6">
        <v>13182.92</v>
      </c>
      <c r="R43" s="6">
        <v>13584.31</v>
      </c>
      <c r="S43" s="6">
        <v>13800.61</v>
      </c>
      <c r="T43" s="6">
        <v>13255.94</v>
      </c>
      <c r="U43" s="6">
        <v>53603.28</v>
      </c>
      <c r="V43" s="6">
        <v>13770.05</v>
      </c>
      <c r="W43" s="6">
        <v>14244</v>
      </c>
      <c r="X43" s="6">
        <v>14424.12</v>
      </c>
      <c r="Y43" s="6">
        <v>13824.92</v>
      </c>
      <c r="Z43" s="6">
        <v>56048.28</v>
      </c>
      <c r="AA43" s="6">
        <v>14393.48</v>
      </c>
      <c r="AB43" s="6">
        <v>14849.02</v>
      </c>
      <c r="AC43" s="6">
        <v>15040.72</v>
      </c>
      <c r="AD43" s="6">
        <v>14404.53</v>
      </c>
      <c r="AE43" s="6">
        <v>58480.23</v>
      </c>
    </row>
    <row r="44" spans="1:31" x14ac:dyDescent="0.25">
      <c r="A44" t="s">
        <v>92</v>
      </c>
      <c r="B44" s="6">
        <v>1019</v>
      </c>
      <c r="C44" s="6">
        <v>959</v>
      </c>
      <c r="D44" s="6">
        <v>679</v>
      </c>
      <c r="E44" s="6">
        <v>682</v>
      </c>
      <c r="F44" s="6">
        <v>3339</v>
      </c>
      <c r="G44" s="6">
        <v>612</v>
      </c>
      <c r="H44" s="6">
        <v>523</v>
      </c>
      <c r="I44" s="6">
        <v>414.73</v>
      </c>
      <c r="J44" s="6">
        <v>387.29</v>
      </c>
      <c r="K44" s="6">
        <v>1937.02</v>
      </c>
      <c r="L44" s="6">
        <v>313.24</v>
      </c>
      <c r="M44" s="6">
        <v>238.89</v>
      </c>
      <c r="N44" s="6">
        <v>130.75</v>
      </c>
      <c r="O44" s="6">
        <v>90.76</v>
      </c>
      <c r="P44" s="6">
        <v>800.51</v>
      </c>
      <c r="Q44" s="6">
        <v>0.62</v>
      </c>
      <c r="R44" s="6">
        <v>-43.53</v>
      </c>
      <c r="S44" s="6">
        <v>-101.05</v>
      </c>
      <c r="T44" s="6">
        <v>-118.56</v>
      </c>
      <c r="U44" s="6">
        <v>-64.59</v>
      </c>
      <c r="V44" s="6">
        <v>-104.55</v>
      </c>
      <c r="W44" s="6">
        <v>-119.6</v>
      </c>
      <c r="X44" s="6">
        <v>-134.46</v>
      </c>
      <c r="Y44" s="6">
        <v>-132.77000000000001</v>
      </c>
      <c r="Z44" s="6">
        <v>-279.23</v>
      </c>
      <c r="AA44" s="6">
        <v>-48.87</v>
      </c>
      <c r="AB44" s="6">
        <v>-54.61</v>
      </c>
      <c r="AC44" s="6">
        <v>-131.58000000000001</v>
      </c>
      <c r="AD44" s="6">
        <v>-121.07</v>
      </c>
      <c r="AE44" s="6">
        <v>-203.86</v>
      </c>
    </row>
    <row r="45" spans="1:31" x14ac:dyDescent="0.25">
      <c r="A45" t="s">
        <v>93</v>
      </c>
      <c r="B45" s="6">
        <v>11964</v>
      </c>
      <c r="C45" s="6">
        <v>12100</v>
      </c>
      <c r="D45" s="6">
        <v>12172</v>
      </c>
      <c r="E45" s="6">
        <v>11650</v>
      </c>
      <c r="F45" s="6">
        <v>47886</v>
      </c>
      <c r="G45" s="6">
        <v>12170</v>
      </c>
      <c r="H45" s="6">
        <v>12555</v>
      </c>
      <c r="I45" s="6">
        <v>12656.3</v>
      </c>
      <c r="J45" s="6">
        <v>12107.95</v>
      </c>
      <c r="K45" s="6">
        <v>49465.67</v>
      </c>
      <c r="L45" s="6">
        <v>12628.99</v>
      </c>
      <c r="M45" s="6">
        <v>12998.33</v>
      </c>
      <c r="N45" s="6">
        <v>13169.01</v>
      </c>
      <c r="O45" s="6">
        <v>12490.46</v>
      </c>
      <c r="P45" s="6">
        <v>51281.25</v>
      </c>
      <c r="Q45" s="6">
        <v>13183.53</v>
      </c>
      <c r="R45" s="6">
        <v>13540.78</v>
      </c>
      <c r="S45" s="6">
        <v>13699.55</v>
      </c>
      <c r="T45" s="6">
        <v>13137.38</v>
      </c>
      <c r="U45" s="6">
        <v>53490.84</v>
      </c>
      <c r="V45" s="6">
        <v>13665.49</v>
      </c>
      <c r="W45" s="6">
        <v>14124.4</v>
      </c>
      <c r="X45" s="6">
        <v>14289.66</v>
      </c>
      <c r="Y45" s="6">
        <v>13692.15</v>
      </c>
      <c r="Z45" s="6">
        <v>55697.42</v>
      </c>
      <c r="AA45" s="6">
        <v>14306.5</v>
      </c>
      <c r="AB45" s="6">
        <v>14753.66</v>
      </c>
      <c r="AC45" s="6">
        <v>14935.46</v>
      </c>
      <c r="AD45" s="6">
        <v>14307.67</v>
      </c>
      <c r="AE45" s="6">
        <v>58139.93</v>
      </c>
    </row>
    <row r="46" spans="1:31" x14ac:dyDescent="0.25">
      <c r="A46" t="s">
        <v>94</v>
      </c>
      <c r="B46" s="6">
        <v>193</v>
      </c>
      <c r="C46" s="6">
        <v>201</v>
      </c>
      <c r="D46" s="6">
        <v>199</v>
      </c>
      <c r="E46" s="6">
        <v>223</v>
      </c>
      <c r="F46" s="6">
        <v>816</v>
      </c>
      <c r="G46" s="6">
        <v>220</v>
      </c>
      <c r="H46" s="6">
        <v>227</v>
      </c>
      <c r="I46" s="6">
        <v>205.57</v>
      </c>
      <c r="J46" s="6">
        <v>224.38</v>
      </c>
      <c r="K46" s="6">
        <v>875.67</v>
      </c>
      <c r="L46" s="6">
        <v>220.07</v>
      </c>
      <c r="M46" s="6">
        <v>229.04</v>
      </c>
      <c r="N46" s="6">
        <v>209.24</v>
      </c>
      <c r="O46" s="6">
        <v>233.14</v>
      </c>
      <c r="P46" s="6">
        <v>907.83</v>
      </c>
      <c r="Q46" s="6">
        <v>223.31</v>
      </c>
      <c r="R46" s="6">
        <v>229.47</v>
      </c>
      <c r="S46" s="6">
        <v>206.93</v>
      </c>
      <c r="T46" s="6">
        <v>233.26</v>
      </c>
      <c r="U46" s="6">
        <v>933.92</v>
      </c>
      <c r="V46" s="6">
        <v>224.51</v>
      </c>
      <c r="W46" s="6">
        <v>237.03</v>
      </c>
      <c r="X46" s="6">
        <v>211.22</v>
      </c>
      <c r="Y46" s="6">
        <v>231.13</v>
      </c>
      <c r="Z46" s="6">
        <v>965.33</v>
      </c>
      <c r="AA46" s="6">
        <v>230.18</v>
      </c>
      <c r="AB46" s="6">
        <v>242.93</v>
      </c>
      <c r="AC46" s="6">
        <v>215.16</v>
      </c>
      <c r="AD46" s="6">
        <v>235.39</v>
      </c>
      <c r="AE46" s="6">
        <v>987.36</v>
      </c>
    </row>
    <row r="47" spans="1:31" x14ac:dyDescent="0.25">
      <c r="A47" t="s">
        <v>95</v>
      </c>
      <c r="B47" s="6">
        <v>-624</v>
      </c>
      <c r="C47" s="6">
        <v>-570</v>
      </c>
      <c r="D47" s="6">
        <v>-510</v>
      </c>
      <c r="E47" s="6">
        <v>-957</v>
      </c>
      <c r="F47" s="6">
        <v>-2341</v>
      </c>
      <c r="G47" s="6">
        <v>-766</v>
      </c>
      <c r="H47" s="6">
        <v>-778</v>
      </c>
      <c r="I47" s="6">
        <v>-537.6</v>
      </c>
      <c r="J47" s="6">
        <v>-648.51</v>
      </c>
      <c r="K47" s="6">
        <v>-2407.14</v>
      </c>
      <c r="L47" s="6">
        <v>-591.39</v>
      </c>
      <c r="M47" s="6">
        <v>-495.56</v>
      </c>
      <c r="N47" s="6">
        <v>-509.14</v>
      </c>
      <c r="O47" s="6">
        <v>-695.71</v>
      </c>
      <c r="P47" s="6">
        <v>-2179.0300000000002</v>
      </c>
      <c r="Q47" s="6">
        <v>-545.54999999999995</v>
      </c>
      <c r="R47" s="6">
        <v>-545.66999999999996</v>
      </c>
      <c r="S47" s="6">
        <v>-557.04999999999995</v>
      </c>
      <c r="T47" s="6">
        <v>-621.21</v>
      </c>
      <c r="U47" s="6">
        <v>-2008.13</v>
      </c>
      <c r="V47" s="6">
        <v>-499.51</v>
      </c>
      <c r="W47" s="6">
        <v>-500.59</v>
      </c>
      <c r="X47" s="6">
        <v>-524.66</v>
      </c>
      <c r="Y47" s="6">
        <v>-885.27</v>
      </c>
      <c r="Z47" s="6">
        <v>-2070.7399999999998</v>
      </c>
      <c r="AA47" s="6">
        <v>-484.94</v>
      </c>
      <c r="AB47" s="6">
        <v>-495.24</v>
      </c>
      <c r="AC47" s="6">
        <v>-518.46</v>
      </c>
      <c r="AD47" s="6">
        <v>-606.26</v>
      </c>
      <c r="AE47" s="6">
        <v>-1947.65</v>
      </c>
    </row>
    <row r="48" spans="1:31" x14ac:dyDescent="0.25">
      <c r="A48" t="s">
        <v>96</v>
      </c>
      <c r="B48" s="6">
        <v>10944</v>
      </c>
      <c r="C48" s="6">
        <v>11752</v>
      </c>
      <c r="D48" s="6">
        <v>11436</v>
      </c>
      <c r="E48" s="6">
        <v>10916</v>
      </c>
      <c r="F48" s="6">
        <v>45048</v>
      </c>
      <c r="G48" s="6">
        <v>11624</v>
      </c>
      <c r="H48" s="6">
        <v>12004</v>
      </c>
      <c r="I48" s="6">
        <v>12306.16</v>
      </c>
      <c r="J48" s="6">
        <v>11668.56</v>
      </c>
      <c r="K48" s="6">
        <v>47751.02</v>
      </c>
      <c r="L48" s="6">
        <v>12242.29</v>
      </c>
      <c r="M48" s="6">
        <v>12716.43</v>
      </c>
      <c r="N48" s="6">
        <v>12852.44</v>
      </c>
      <c r="O48" s="6">
        <v>12011.22</v>
      </c>
      <c r="P48" s="6">
        <v>49908.58</v>
      </c>
      <c r="Q48" s="6">
        <v>12861.29</v>
      </c>
      <c r="R48" s="6">
        <v>13224.58</v>
      </c>
      <c r="S48" s="6">
        <v>13349.44</v>
      </c>
      <c r="T48" s="6">
        <v>12749.42</v>
      </c>
      <c r="U48" s="6">
        <v>52313.74</v>
      </c>
      <c r="V48" s="6">
        <v>13390.49</v>
      </c>
      <c r="W48" s="6">
        <v>13860.84</v>
      </c>
      <c r="X48" s="6">
        <v>13976.21</v>
      </c>
      <c r="Y48" s="6">
        <v>13038.01</v>
      </c>
      <c r="Z48" s="6">
        <v>54455.61</v>
      </c>
      <c r="AA48" s="6">
        <v>14051.74</v>
      </c>
      <c r="AB48" s="6">
        <v>14501.35</v>
      </c>
      <c r="AC48" s="6">
        <v>14632.17</v>
      </c>
      <c r="AD48" s="6">
        <v>13936.81</v>
      </c>
      <c r="AE48" s="6">
        <v>56996.15</v>
      </c>
    </row>
    <row r="49" spans="1:31" x14ac:dyDescent="0.25">
      <c r="A49" t="s">
        <v>77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25">
      <c r="A50" t="s">
        <v>97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x14ac:dyDescent="0.25">
      <c r="A51" t="s">
        <v>98</v>
      </c>
      <c r="B51" s="6">
        <v>5972</v>
      </c>
      <c r="C51" s="6">
        <v>6106</v>
      </c>
      <c r="D51" s="6">
        <v>6417</v>
      </c>
      <c r="E51" s="6">
        <v>6093</v>
      </c>
      <c r="F51" s="6">
        <v>24588</v>
      </c>
      <c r="G51" s="6">
        <v>6853</v>
      </c>
      <c r="H51" s="6">
        <v>7345</v>
      </c>
      <c r="I51" s="6">
        <v>7368.96</v>
      </c>
      <c r="J51" s="6">
        <v>6760.85</v>
      </c>
      <c r="K51" s="6">
        <v>28327.81</v>
      </c>
      <c r="L51" s="6">
        <v>7607.22</v>
      </c>
      <c r="M51" s="6">
        <v>7951.6</v>
      </c>
      <c r="N51" s="6">
        <v>8102.7</v>
      </c>
      <c r="O51" s="6">
        <v>7474.14</v>
      </c>
      <c r="P51" s="6">
        <v>31136.32</v>
      </c>
      <c r="Q51" s="6">
        <v>8388.0400000000009</v>
      </c>
      <c r="R51" s="6">
        <v>8740.5400000000009</v>
      </c>
      <c r="S51" s="6">
        <v>8833.32</v>
      </c>
      <c r="T51" s="6">
        <v>8242.19</v>
      </c>
      <c r="U51" s="6">
        <v>33951.24</v>
      </c>
      <c r="V51" s="6">
        <v>8863.52</v>
      </c>
      <c r="W51" s="6">
        <v>9280.6299999999992</v>
      </c>
      <c r="X51" s="6">
        <v>9319.4</v>
      </c>
      <c r="Y51" s="6">
        <v>8809.81</v>
      </c>
      <c r="Z51" s="6">
        <v>36024.18</v>
      </c>
      <c r="AA51" s="6">
        <v>9342.41</v>
      </c>
      <c r="AB51" s="6">
        <v>9746.19</v>
      </c>
      <c r="AC51" s="6">
        <v>9809.35</v>
      </c>
      <c r="AD51" s="6">
        <v>9267.49</v>
      </c>
      <c r="AE51" s="6">
        <v>38150.61</v>
      </c>
    </row>
    <row r="52" spans="1:31" x14ac:dyDescent="0.25">
      <c r="A52" t="s">
        <v>99</v>
      </c>
      <c r="B52" s="6">
        <v>1019</v>
      </c>
      <c r="C52" s="6">
        <v>959</v>
      </c>
      <c r="D52" s="6">
        <v>679</v>
      </c>
      <c r="E52" s="6">
        <v>682</v>
      </c>
      <c r="F52" s="6">
        <v>3339</v>
      </c>
      <c r="G52" s="6">
        <v>612</v>
      </c>
      <c r="H52" s="6">
        <v>523</v>
      </c>
      <c r="I52" s="6">
        <v>403.65</v>
      </c>
      <c r="J52" s="6">
        <v>379.99</v>
      </c>
      <c r="K52" s="6">
        <v>1918.64</v>
      </c>
      <c r="L52" s="6">
        <v>294.89</v>
      </c>
      <c r="M52" s="6">
        <v>219.6</v>
      </c>
      <c r="N52" s="6">
        <v>118.79</v>
      </c>
      <c r="O52" s="6">
        <v>85.52</v>
      </c>
      <c r="P52" s="6">
        <v>743.06</v>
      </c>
      <c r="Q52" s="6">
        <v>-0.61</v>
      </c>
      <c r="R52" s="6">
        <v>-43.45</v>
      </c>
      <c r="S52" s="6">
        <v>-102.96</v>
      </c>
      <c r="T52" s="6">
        <v>-115.9</v>
      </c>
      <c r="U52" s="6">
        <v>-105.31</v>
      </c>
      <c r="V52" s="6">
        <v>-87.66</v>
      </c>
      <c r="W52" s="6">
        <v>-97.92</v>
      </c>
      <c r="X52" s="6">
        <v>-108.8</v>
      </c>
      <c r="Y52" s="6">
        <v>-101.13</v>
      </c>
      <c r="Z52" s="6">
        <v>-234.29</v>
      </c>
      <c r="AA52" s="6">
        <v>-48.87</v>
      </c>
      <c r="AB52" s="6">
        <v>-54.61</v>
      </c>
      <c r="AC52" s="6">
        <v>-62.7</v>
      </c>
      <c r="AD52" s="6">
        <v>-47.67</v>
      </c>
      <c r="AE52" s="6">
        <v>-202.93</v>
      </c>
    </row>
    <row r="53" spans="1:31" x14ac:dyDescent="0.25">
      <c r="A53" t="s">
        <v>100</v>
      </c>
      <c r="B53" s="6">
        <v>6991</v>
      </c>
      <c r="C53" s="6">
        <v>7065</v>
      </c>
      <c r="D53" s="6">
        <v>7096</v>
      </c>
      <c r="E53" s="6">
        <v>6775</v>
      </c>
      <c r="F53" s="6">
        <v>27927</v>
      </c>
      <c r="G53" s="6">
        <v>7465</v>
      </c>
      <c r="H53" s="6">
        <v>7868</v>
      </c>
      <c r="I53" s="6">
        <v>7776.16</v>
      </c>
      <c r="J53" s="6">
        <v>7135.88</v>
      </c>
      <c r="K53" s="6">
        <v>30245.040000000001</v>
      </c>
      <c r="L53" s="6">
        <v>7864.35</v>
      </c>
      <c r="M53" s="6">
        <v>8187.44</v>
      </c>
      <c r="N53" s="6">
        <v>8207.41</v>
      </c>
      <c r="O53" s="6">
        <v>7537.5</v>
      </c>
      <c r="P53" s="6">
        <v>31831.18</v>
      </c>
      <c r="Q53" s="6">
        <v>8302.81</v>
      </c>
      <c r="R53" s="6">
        <v>8719.31</v>
      </c>
      <c r="S53" s="6">
        <v>8680.4699999999993</v>
      </c>
      <c r="T53" s="6">
        <v>8044.92</v>
      </c>
      <c r="U53" s="6">
        <v>33770.17</v>
      </c>
      <c r="V53" s="6">
        <v>8608.2900000000009</v>
      </c>
      <c r="W53" s="6">
        <v>9197.9699999999993</v>
      </c>
      <c r="X53" s="6">
        <v>9103.8700000000008</v>
      </c>
      <c r="Y53" s="6">
        <v>8531.81</v>
      </c>
      <c r="Z53" s="6">
        <v>35640.44</v>
      </c>
      <c r="AA53" s="6">
        <v>9105.4500000000007</v>
      </c>
      <c r="AB53" s="6">
        <v>9729.39</v>
      </c>
      <c r="AC53" s="6">
        <v>9634.69</v>
      </c>
      <c r="AD53" s="6">
        <v>9040.2099999999991</v>
      </c>
      <c r="AE53" s="6">
        <v>37791.629999999997</v>
      </c>
    </row>
    <row r="54" spans="1:31" x14ac:dyDescent="0.25">
      <c r="A54" t="s">
        <v>101</v>
      </c>
      <c r="B54" s="6">
        <v>43</v>
      </c>
      <c r="C54" s="6">
        <v>46</v>
      </c>
      <c r="D54" s="6">
        <v>22</v>
      </c>
      <c r="E54" s="6">
        <v>34</v>
      </c>
      <c r="F54" s="6">
        <v>145</v>
      </c>
      <c r="G54" s="6">
        <v>20</v>
      </c>
      <c r="H54" s="6">
        <v>38</v>
      </c>
      <c r="I54" s="6">
        <v>17.23</v>
      </c>
      <c r="J54" s="6">
        <v>32.01</v>
      </c>
      <c r="K54" s="6">
        <v>109.32</v>
      </c>
      <c r="L54" s="6">
        <v>31.47</v>
      </c>
      <c r="M54" s="6">
        <v>44.41</v>
      </c>
      <c r="N54" s="6">
        <v>22.63</v>
      </c>
      <c r="O54" s="6">
        <v>41.4</v>
      </c>
      <c r="P54" s="6">
        <v>154.16999999999999</v>
      </c>
      <c r="Q54" s="6">
        <v>28.91</v>
      </c>
      <c r="R54" s="6">
        <v>46.07</v>
      </c>
      <c r="S54" s="6">
        <v>18.68</v>
      </c>
      <c r="T54" s="6">
        <v>41.88</v>
      </c>
      <c r="U54" s="6">
        <v>177.49</v>
      </c>
      <c r="V54" s="6">
        <v>22.33</v>
      </c>
      <c r="W54" s="6">
        <v>41.02</v>
      </c>
      <c r="X54" s="6">
        <v>21.56</v>
      </c>
      <c r="Y54" s="6">
        <v>35.06</v>
      </c>
      <c r="Z54" s="6">
        <v>189.53</v>
      </c>
      <c r="AA54" s="6">
        <v>22</v>
      </c>
      <c r="AB54" s="6">
        <v>41.02</v>
      </c>
      <c r="AC54" s="6">
        <v>21.56</v>
      </c>
      <c r="AD54" s="6">
        <v>35.28</v>
      </c>
      <c r="AE54" s="6">
        <v>195.91</v>
      </c>
    </row>
    <row r="55" spans="1:31" x14ac:dyDescent="0.25">
      <c r="A55" t="s">
        <v>102</v>
      </c>
      <c r="B55" s="6">
        <v>-1280</v>
      </c>
      <c r="C55" s="6">
        <v>-610</v>
      </c>
      <c r="D55" s="6">
        <v>-999</v>
      </c>
      <c r="E55" s="6">
        <v>-1021</v>
      </c>
      <c r="F55" s="6">
        <v>-3910</v>
      </c>
      <c r="G55" s="6">
        <v>-827</v>
      </c>
      <c r="H55" s="6">
        <v>-868</v>
      </c>
      <c r="I55" s="6">
        <v>-619.35</v>
      </c>
      <c r="J55" s="6">
        <v>-688.47</v>
      </c>
      <c r="K55" s="6">
        <v>-2863.94</v>
      </c>
      <c r="L55" s="6">
        <v>-688.53</v>
      </c>
      <c r="M55" s="6">
        <v>-594.66</v>
      </c>
      <c r="N55" s="6">
        <v>-603.52</v>
      </c>
      <c r="O55" s="6">
        <v>-667.34</v>
      </c>
      <c r="P55" s="6">
        <v>-2432.09</v>
      </c>
      <c r="Q55" s="6">
        <v>-679.49</v>
      </c>
      <c r="R55" s="6">
        <v>-607.97</v>
      </c>
      <c r="S55" s="6">
        <v>-598.9</v>
      </c>
      <c r="T55" s="6">
        <v>-639.66999999999996</v>
      </c>
      <c r="U55" s="6">
        <v>-2401.84</v>
      </c>
      <c r="V55" s="6">
        <v>-703.86</v>
      </c>
      <c r="W55" s="6">
        <v>-586.57000000000005</v>
      </c>
      <c r="X55" s="6">
        <v>-585.49</v>
      </c>
      <c r="Y55" s="6">
        <v>-638.51</v>
      </c>
      <c r="Z55" s="6">
        <v>-2356.96</v>
      </c>
      <c r="AA55" s="6">
        <v>-680.95</v>
      </c>
      <c r="AB55" s="6">
        <v>-578.55999999999995</v>
      </c>
      <c r="AC55" s="6">
        <v>-576.13</v>
      </c>
      <c r="AD55" s="6">
        <v>-641.61</v>
      </c>
      <c r="AE55" s="6">
        <v>-2338.9</v>
      </c>
    </row>
    <row r="56" spans="1:31" x14ac:dyDescent="0.25">
      <c r="A56" t="s">
        <v>103</v>
      </c>
      <c r="B56" s="7" t="s">
        <v>104</v>
      </c>
      <c r="C56" s="7" t="s">
        <v>104</v>
      </c>
      <c r="D56" s="7" t="s">
        <v>104</v>
      </c>
      <c r="E56" s="7" t="s">
        <v>104</v>
      </c>
      <c r="F56" s="7" t="s">
        <v>104</v>
      </c>
      <c r="G56" s="7" t="s">
        <v>104</v>
      </c>
      <c r="H56" s="7" t="s">
        <v>104</v>
      </c>
      <c r="I56" s="7" t="s">
        <v>104</v>
      </c>
      <c r="J56" s="7" t="s">
        <v>104</v>
      </c>
      <c r="K56" s="7" t="s">
        <v>104</v>
      </c>
      <c r="L56" s="7" t="s">
        <v>104</v>
      </c>
      <c r="M56" s="7" t="s">
        <v>104</v>
      </c>
      <c r="N56" s="7" t="s">
        <v>104</v>
      </c>
      <c r="O56" s="7" t="s">
        <v>104</v>
      </c>
      <c r="P56" s="7" t="s">
        <v>104</v>
      </c>
      <c r="Q56" s="7" t="s">
        <v>104</v>
      </c>
      <c r="R56" s="7" t="s">
        <v>104</v>
      </c>
      <c r="S56" s="7" t="s">
        <v>104</v>
      </c>
      <c r="T56" s="7" t="s">
        <v>104</v>
      </c>
      <c r="U56" s="7" t="s">
        <v>104</v>
      </c>
      <c r="V56" s="7" t="s">
        <v>104</v>
      </c>
      <c r="W56" s="7" t="s">
        <v>104</v>
      </c>
      <c r="X56" s="7" t="s">
        <v>104</v>
      </c>
      <c r="Y56" s="7" t="s">
        <v>104</v>
      </c>
      <c r="Z56" s="7" t="s">
        <v>104</v>
      </c>
      <c r="AA56" s="7" t="s">
        <v>104</v>
      </c>
      <c r="AB56" s="7" t="s">
        <v>104</v>
      </c>
      <c r="AC56" s="7" t="s">
        <v>104</v>
      </c>
      <c r="AD56" s="7" t="s">
        <v>104</v>
      </c>
      <c r="AE56" s="7" t="s">
        <v>104</v>
      </c>
    </row>
    <row r="57" spans="1:31" x14ac:dyDescent="0.25">
      <c r="A57" t="s">
        <v>105</v>
      </c>
      <c r="B57" s="6">
        <v>5754</v>
      </c>
      <c r="C57" s="6">
        <v>6501</v>
      </c>
      <c r="D57" s="6">
        <v>6119</v>
      </c>
      <c r="E57" s="6">
        <v>5788</v>
      </c>
      <c r="F57" s="6">
        <v>24162</v>
      </c>
      <c r="G57" s="6">
        <v>6658</v>
      </c>
      <c r="H57" s="6">
        <v>7038</v>
      </c>
      <c r="I57" s="6">
        <v>7188.82</v>
      </c>
      <c r="J57" s="6">
        <v>6489.34</v>
      </c>
      <c r="K57" s="6">
        <v>27412.86</v>
      </c>
      <c r="L57" s="6">
        <v>7168.23</v>
      </c>
      <c r="M57" s="6">
        <v>7642.17</v>
      </c>
      <c r="N57" s="6">
        <v>7726.89</v>
      </c>
      <c r="O57" s="6">
        <v>6886.41</v>
      </c>
      <c r="P57" s="6">
        <v>29443.98</v>
      </c>
      <c r="Q57" s="6">
        <v>7798.12</v>
      </c>
      <c r="R57" s="6">
        <v>8173.02</v>
      </c>
      <c r="S57" s="6">
        <v>8181.89</v>
      </c>
      <c r="T57" s="6">
        <v>7589.91</v>
      </c>
      <c r="U57" s="6">
        <v>31708.81</v>
      </c>
      <c r="V57" s="6">
        <v>8243.3799999999992</v>
      </c>
      <c r="W57" s="6">
        <v>8724.8799999999992</v>
      </c>
      <c r="X57" s="6">
        <v>8703.01</v>
      </c>
      <c r="Y57" s="6">
        <v>7793.84</v>
      </c>
      <c r="Z57" s="6">
        <v>33522.51</v>
      </c>
      <c r="AA57" s="6">
        <v>8827.9</v>
      </c>
      <c r="AB57" s="6">
        <v>9294.7900000000009</v>
      </c>
      <c r="AC57" s="6">
        <v>9281.8700000000008</v>
      </c>
      <c r="AD57" s="6">
        <v>8629.32</v>
      </c>
      <c r="AE57" s="6">
        <v>35856.339999999997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A37F-8CA9-4C67-9DEA-7E5B20B750A5}">
  <dimension ref="A1:AE71"/>
  <sheetViews>
    <sheetView workbookViewId="0">
      <selection sqref="A1:D1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106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107</v>
      </c>
      <c r="B16" s="6">
        <v>25138</v>
      </c>
      <c r="C16" s="6">
        <v>25292</v>
      </c>
      <c r="D16" s="6">
        <v>25336</v>
      </c>
      <c r="E16" s="6">
        <v>25392</v>
      </c>
      <c r="F16" s="6">
        <v>101158</v>
      </c>
      <c r="G16" s="6">
        <v>25478</v>
      </c>
      <c r="H16" s="6">
        <v>25977</v>
      </c>
      <c r="I16" s="6">
        <v>26084.69</v>
      </c>
      <c r="J16" s="6">
        <v>26176.83</v>
      </c>
      <c r="K16" s="6">
        <v>103631.83</v>
      </c>
      <c r="L16" s="6">
        <v>25994.06</v>
      </c>
      <c r="M16" s="6">
        <v>26322.71</v>
      </c>
      <c r="N16" s="6">
        <v>26558.6</v>
      </c>
      <c r="O16" s="6">
        <v>26629.08</v>
      </c>
      <c r="P16" s="6">
        <v>105457.07</v>
      </c>
      <c r="Q16" s="6">
        <v>26502.43</v>
      </c>
      <c r="R16" s="6">
        <v>26837.57</v>
      </c>
      <c r="S16" s="6">
        <v>27081.09</v>
      </c>
      <c r="T16" s="6">
        <v>27245.72</v>
      </c>
      <c r="U16" s="6">
        <v>107631.46</v>
      </c>
      <c r="V16" s="6">
        <v>27105.05</v>
      </c>
      <c r="W16" s="6">
        <v>27545.49</v>
      </c>
      <c r="X16" s="6">
        <v>27809.42</v>
      </c>
      <c r="Y16" s="6">
        <v>27934.14</v>
      </c>
      <c r="Z16" s="6">
        <v>110294.63</v>
      </c>
      <c r="AA16" s="6">
        <v>27930.57</v>
      </c>
      <c r="AB16" s="6">
        <v>28368.560000000001</v>
      </c>
      <c r="AC16" s="6">
        <v>28700.02</v>
      </c>
      <c r="AD16" s="6">
        <v>28811.82</v>
      </c>
      <c r="AE16" s="6">
        <v>113527.44</v>
      </c>
    </row>
    <row r="17" spans="1:31" x14ac:dyDescent="0.25">
      <c r="A17" t="s">
        <v>108</v>
      </c>
      <c r="B17" s="6">
        <v>5488</v>
      </c>
      <c r="C17" s="6">
        <v>5555</v>
      </c>
      <c r="D17" s="6">
        <v>5373</v>
      </c>
      <c r="E17" s="6">
        <v>8074</v>
      </c>
      <c r="F17" s="6">
        <v>24490</v>
      </c>
      <c r="G17" s="6">
        <v>6028</v>
      </c>
      <c r="H17" s="6">
        <v>5581</v>
      </c>
      <c r="I17" s="6">
        <v>5537.36</v>
      </c>
      <c r="J17" s="6">
        <v>8360.35</v>
      </c>
      <c r="K17" s="6">
        <v>25604.28</v>
      </c>
      <c r="L17" s="6">
        <v>6209.08</v>
      </c>
      <c r="M17" s="6">
        <v>5766.98</v>
      </c>
      <c r="N17" s="6">
        <v>5671.96</v>
      </c>
      <c r="O17" s="6">
        <v>8683.2900000000009</v>
      </c>
      <c r="P17" s="6">
        <v>26373.77</v>
      </c>
      <c r="Q17" s="6">
        <v>6324.85</v>
      </c>
      <c r="R17" s="6">
        <v>5807.87</v>
      </c>
      <c r="S17" s="6">
        <v>5801.47</v>
      </c>
      <c r="T17" s="6">
        <v>8861.17</v>
      </c>
      <c r="U17" s="6">
        <v>26911.66</v>
      </c>
      <c r="V17" s="6">
        <v>6334.48</v>
      </c>
      <c r="W17" s="6">
        <v>5876.7</v>
      </c>
      <c r="X17" s="6">
        <v>5791.98</v>
      </c>
      <c r="Y17" s="6">
        <v>8879.75</v>
      </c>
      <c r="Z17" s="6">
        <v>27349.31</v>
      </c>
      <c r="AA17" s="6">
        <v>6382.16</v>
      </c>
      <c r="AB17" s="6">
        <v>5919.4</v>
      </c>
      <c r="AC17" s="6">
        <v>5830.49</v>
      </c>
      <c r="AD17" s="6">
        <v>8939.82</v>
      </c>
      <c r="AE17" s="6">
        <v>27761.39</v>
      </c>
    </row>
    <row r="18" spans="1:31" x14ac:dyDescent="0.25">
      <c r="A18" t="s">
        <v>70</v>
      </c>
      <c r="B18" s="6">
        <v>30626</v>
      </c>
      <c r="C18" s="6">
        <v>30847</v>
      </c>
      <c r="D18" s="6">
        <v>30709</v>
      </c>
      <c r="E18" s="6">
        <v>33466</v>
      </c>
      <c r="F18" s="6">
        <v>125648</v>
      </c>
      <c r="G18" s="6">
        <v>31506</v>
      </c>
      <c r="H18" s="6">
        <v>31558</v>
      </c>
      <c r="I18" s="6">
        <v>31667.9</v>
      </c>
      <c r="J18" s="6">
        <v>34499.33</v>
      </c>
      <c r="K18" s="6">
        <v>129215.33</v>
      </c>
      <c r="L18" s="6">
        <v>32202.3</v>
      </c>
      <c r="M18" s="6">
        <v>32251.94</v>
      </c>
      <c r="N18" s="6">
        <v>32421.74</v>
      </c>
      <c r="O18" s="6">
        <v>35255.949999999997</v>
      </c>
      <c r="P18" s="6">
        <v>132052.75</v>
      </c>
      <c r="Q18" s="6">
        <v>32816.089999999997</v>
      </c>
      <c r="R18" s="6">
        <v>32690.07</v>
      </c>
      <c r="S18" s="6">
        <v>32932.11</v>
      </c>
      <c r="T18" s="6">
        <v>36065</v>
      </c>
      <c r="U18" s="6">
        <v>134712.76</v>
      </c>
      <c r="V18" s="6">
        <v>33509.199999999997</v>
      </c>
      <c r="W18" s="6">
        <v>33519.5</v>
      </c>
      <c r="X18" s="6">
        <v>33751.99</v>
      </c>
      <c r="Y18" s="6">
        <v>36931.43</v>
      </c>
      <c r="Z18" s="6">
        <v>138007.48000000001</v>
      </c>
      <c r="AA18" s="6">
        <v>34358.449999999997</v>
      </c>
      <c r="AB18" s="6">
        <v>34370.160000000003</v>
      </c>
      <c r="AC18" s="6">
        <v>34660.879999999997</v>
      </c>
      <c r="AD18" s="6">
        <v>37859.21</v>
      </c>
      <c r="AE18" s="6">
        <v>141694.19</v>
      </c>
    </row>
    <row r="19" spans="1:31" x14ac:dyDescent="0.25">
      <c r="A19" t="s">
        <v>109</v>
      </c>
      <c r="B19" s="6">
        <v>5694</v>
      </c>
      <c r="C19" s="6">
        <v>5738</v>
      </c>
      <c r="D19" s="6">
        <v>5468</v>
      </c>
      <c r="E19" s="6">
        <v>8496</v>
      </c>
      <c r="F19" s="6">
        <v>25396</v>
      </c>
      <c r="G19" s="6">
        <v>6305</v>
      </c>
      <c r="H19" s="6">
        <v>5741</v>
      </c>
      <c r="I19" s="6">
        <v>5712.31</v>
      </c>
      <c r="J19" s="6">
        <v>8108.68</v>
      </c>
      <c r="K19" s="6">
        <v>25866.99</v>
      </c>
      <c r="L19" s="6">
        <v>6207.03</v>
      </c>
      <c r="M19" s="6">
        <v>5773.46</v>
      </c>
      <c r="N19" s="6">
        <v>5746.54</v>
      </c>
      <c r="O19" s="6">
        <v>8038.6</v>
      </c>
      <c r="P19" s="6">
        <v>26019.31</v>
      </c>
      <c r="Q19" s="6">
        <v>6593.8</v>
      </c>
      <c r="R19" s="6">
        <v>5847.03</v>
      </c>
      <c r="S19" s="6">
        <v>5956.86</v>
      </c>
      <c r="T19" s="6">
        <v>9337.31</v>
      </c>
      <c r="U19" s="6">
        <v>26434.14</v>
      </c>
      <c r="V19" s="6">
        <v>6373.75</v>
      </c>
      <c r="W19" s="6">
        <v>5784.9</v>
      </c>
      <c r="X19" s="6">
        <v>5766.78</v>
      </c>
      <c r="Y19" s="6">
        <v>9139.15</v>
      </c>
      <c r="Z19" s="6">
        <v>26366.55</v>
      </c>
      <c r="AA19" s="6">
        <v>6352.23</v>
      </c>
      <c r="AB19" s="6">
        <v>5757.39</v>
      </c>
      <c r="AC19" s="6">
        <v>5745.86</v>
      </c>
      <c r="AD19" s="6">
        <v>9106.94</v>
      </c>
      <c r="AE19" s="6">
        <v>26648.9</v>
      </c>
    </row>
    <row r="20" spans="1:31" x14ac:dyDescent="0.25">
      <c r="A20" t="s">
        <v>110</v>
      </c>
      <c r="B20" s="7" t="s">
        <v>104</v>
      </c>
      <c r="C20" s="7" t="s">
        <v>104</v>
      </c>
      <c r="D20" s="7" t="s">
        <v>104</v>
      </c>
      <c r="E20" s="7" t="s">
        <v>104</v>
      </c>
      <c r="F20" s="7" t="s">
        <v>104</v>
      </c>
      <c r="G20" s="7" t="s">
        <v>104</v>
      </c>
      <c r="H20" s="7" t="s">
        <v>104</v>
      </c>
      <c r="I20" s="7" t="s">
        <v>104</v>
      </c>
      <c r="J20" s="7" t="s">
        <v>104</v>
      </c>
      <c r="K20" s="7" t="s">
        <v>104</v>
      </c>
      <c r="L20" s="7" t="s">
        <v>104</v>
      </c>
      <c r="M20" s="7" t="s">
        <v>104</v>
      </c>
      <c r="N20" s="7" t="s">
        <v>104</v>
      </c>
      <c r="O20" s="7" t="s">
        <v>104</v>
      </c>
      <c r="P20" s="7" t="s">
        <v>104</v>
      </c>
      <c r="Q20" s="7" t="s">
        <v>104</v>
      </c>
      <c r="R20" s="7" t="s">
        <v>104</v>
      </c>
      <c r="S20" s="7" t="s">
        <v>104</v>
      </c>
      <c r="T20" s="7" t="s">
        <v>104</v>
      </c>
      <c r="U20" s="7" t="s">
        <v>104</v>
      </c>
      <c r="V20" s="7" t="s">
        <v>104</v>
      </c>
      <c r="W20" s="7" t="s">
        <v>104</v>
      </c>
      <c r="X20" s="7" t="s">
        <v>104</v>
      </c>
      <c r="Y20" s="7" t="s">
        <v>104</v>
      </c>
      <c r="Z20" s="7" t="s">
        <v>104</v>
      </c>
      <c r="AA20" s="7" t="s">
        <v>104</v>
      </c>
      <c r="AB20" s="7" t="s">
        <v>104</v>
      </c>
      <c r="AC20" s="7" t="s">
        <v>104</v>
      </c>
      <c r="AD20" s="7" t="s">
        <v>104</v>
      </c>
      <c r="AE20" s="7" t="s">
        <v>104</v>
      </c>
    </row>
    <row r="21" spans="1:31" x14ac:dyDescent="0.25">
      <c r="A21" t="s">
        <v>111</v>
      </c>
      <c r="B21" s="6">
        <v>6339</v>
      </c>
      <c r="C21" s="6">
        <v>6412</v>
      </c>
      <c r="D21" s="6">
        <v>6351</v>
      </c>
      <c r="E21" s="6">
        <v>6322</v>
      </c>
      <c r="F21" s="6">
        <v>25424</v>
      </c>
      <c r="G21" s="6">
        <v>6261</v>
      </c>
      <c r="H21" s="6">
        <v>6306</v>
      </c>
      <c r="I21" s="6">
        <v>6273.22</v>
      </c>
      <c r="J21" s="6">
        <v>6783.43</v>
      </c>
      <c r="K21" s="6">
        <v>25623.65</v>
      </c>
      <c r="L21" s="6">
        <v>6541.89</v>
      </c>
      <c r="M21" s="6">
        <v>6444.22</v>
      </c>
      <c r="N21" s="6">
        <v>6446.34</v>
      </c>
      <c r="O21" s="6">
        <v>7138.51</v>
      </c>
      <c r="P21" s="6">
        <v>25880.2</v>
      </c>
      <c r="Q21" s="6">
        <v>6665.37</v>
      </c>
      <c r="R21" s="6">
        <v>6672.95</v>
      </c>
      <c r="S21" s="6">
        <v>6817.33</v>
      </c>
      <c r="T21" s="6">
        <v>6819.51</v>
      </c>
      <c r="U21" s="6">
        <v>25736.19</v>
      </c>
      <c r="V21" s="6">
        <v>6551.01</v>
      </c>
      <c r="W21" s="6">
        <v>6565.39</v>
      </c>
      <c r="X21" s="6">
        <v>6833.35</v>
      </c>
      <c r="Y21" s="6">
        <v>6822.39</v>
      </c>
      <c r="Z21" s="6">
        <v>25681.39</v>
      </c>
      <c r="AA21" s="6">
        <v>6727.24</v>
      </c>
      <c r="AB21" s="6">
        <v>6741.99</v>
      </c>
      <c r="AC21" s="6">
        <v>7018.16</v>
      </c>
      <c r="AD21" s="6">
        <v>7000.74</v>
      </c>
      <c r="AE21" s="6">
        <v>26202.07</v>
      </c>
    </row>
    <row r="22" spans="1:31" x14ac:dyDescent="0.25">
      <c r="A22" t="s">
        <v>112</v>
      </c>
      <c r="B22" s="6">
        <v>12033</v>
      </c>
      <c r="C22" s="6">
        <v>12150</v>
      </c>
      <c r="D22" s="6">
        <v>11819</v>
      </c>
      <c r="E22" s="6">
        <v>14818</v>
      </c>
      <c r="F22" s="6">
        <v>50820</v>
      </c>
      <c r="G22" s="6">
        <v>12566</v>
      </c>
      <c r="H22" s="6">
        <v>12047</v>
      </c>
      <c r="I22" s="6">
        <v>12452.47</v>
      </c>
      <c r="J22" s="6">
        <v>15089</v>
      </c>
      <c r="K22" s="6">
        <v>52154.47</v>
      </c>
      <c r="L22" s="6">
        <v>13105.93</v>
      </c>
      <c r="M22" s="6">
        <v>12802.74</v>
      </c>
      <c r="N22" s="6">
        <v>13023.69</v>
      </c>
      <c r="O22" s="6">
        <v>15364.61</v>
      </c>
      <c r="P22" s="6">
        <v>53619.25</v>
      </c>
      <c r="Q22" s="6">
        <v>13259.17</v>
      </c>
      <c r="R22" s="6">
        <v>12519.99</v>
      </c>
      <c r="S22" s="6">
        <v>12774.19</v>
      </c>
      <c r="T22" s="6">
        <v>16156.82</v>
      </c>
      <c r="U22" s="6">
        <v>52093.5</v>
      </c>
      <c r="V22" s="6">
        <v>12924.76</v>
      </c>
      <c r="W22" s="6">
        <v>12350.29</v>
      </c>
      <c r="X22" s="6">
        <v>12600.14</v>
      </c>
      <c r="Y22" s="6">
        <v>15961.54</v>
      </c>
      <c r="Z22" s="6">
        <v>52047.94</v>
      </c>
      <c r="AA22" s="6">
        <v>13079.47</v>
      </c>
      <c r="AB22" s="6">
        <v>12499.38</v>
      </c>
      <c r="AC22" s="6">
        <v>12764.02</v>
      </c>
      <c r="AD22" s="6">
        <v>16107.68</v>
      </c>
      <c r="AE22" s="6">
        <v>52850.97</v>
      </c>
    </row>
    <row r="23" spans="1:31" x14ac:dyDescent="0.25">
      <c r="A23" t="s">
        <v>113</v>
      </c>
      <c r="B23" s="6">
        <v>7145</v>
      </c>
      <c r="C23" s="6">
        <v>6945</v>
      </c>
      <c r="D23" s="6">
        <v>7454</v>
      </c>
      <c r="E23" s="6">
        <v>7398</v>
      </c>
      <c r="F23" s="6">
        <v>28942</v>
      </c>
      <c r="G23" s="6">
        <v>7316</v>
      </c>
      <c r="H23" s="6">
        <v>7221</v>
      </c>
      <c r="I23" s="6">
        <v>6765.75</v>
      </c>
      <c r="J23" s="6">
        <v>7653.54</v>
      </c>
      <c r="K23" s="6">
        <v>28956.3</v>
      </c>
      <c r="L23" s="6">
        <v>6707.95</v>
      </c>
      <c r="M23" s="6">
        <v>6679.13</v>
      </c>
      <c r="N23" s="6">
        <v>6570.44</v>
      </c>
      <c r="O23" s="6">
        <v>7579.45</v>
      </c>
      <c r="P23" s="6">
        <v>27841.23</v>
      </c>
      <c r="Q23" s="6">
        <v>6723.6</v>
      </c>
      <c r="R23" s="6">
        <v>6827.15</v>
      </c>
      <c r="S23" s="6">
        <v>6715.83</v>
      </c>
      <c r="T23" s="6">
        <v>7021.88</v>
      </c>
      <c r="U23" s="6">
        <v>29362.9</v>
      </c>
      <c r="V23" s="6">
        <v>7145.06</v>
      </c>
      <c r="W23" s="6">
        <v>7261.51</v>
      </c>
      <c r="X23" s="6">
        <v>7036.28</v>
      </c>
      <c r="Y23" s="6">
        <v>7381.94</v>
      </c>
      <c r="Z23" s="6">
        <v>30838.560000000001</v>
      </c>
      <c r="AA23" s="6">
        <v>7092.18</v>
      </c>
      <c r="AB23" s="6">
        <v>7186.51</v>
      </c>
      <c r="AC23" s="6">
        <v>6945.25</v>
      </c>
      <c r="AD23" s="6">
        <v>7325.31</v>
      </c>
      <c r="AE23" s="6">
        <v>31119.14</v>
      </c>
    </row>
    <row r="24" spans="1:31" x14ac:dyDescent="0.25">
      <c r="A24" t="s">
        <v>114</v>
      </c>
      <c r="B24" s="6">
        <v>504</v>
      </c>
      <c r="C24" s="7" t="s">
        <v>104</v>
      </c>
      <c r="D24" s="7" t="s">
        <v>104</v>
      </c>
      <c r="E24" s="6">
        <v>334</v>
      </c>
      <c r="F24" s="6">
        <v>838</v>
      </c>
      <c r="G24" s="7" t="s">
        <v>104</v>
      </c>
      <c r="H24" s="6">
        <v>286</v>
      </c>
      <c r="I24" s="7" t="s">
        <v>104</v>
      </c>
      <c r="J24" s="7" t="s">
        <v>104</v>
      </c>
      <c r="K24" s="6">
        <v>286</v>
      </c>
      <c r="L24" s="7" t="s">
        <v>104</v>
      </c>
      <c r="M24" s="7" t="s">
        <v>104</v>
      </c>
      <c r="N24" s="7" t="s">
        <v>104</v>
      </c>
      <c r="O24" s="7" t="s">
        <v>104</v>
      </c>
      <c r="P24" s="7" t="s">
        <v>104</v>
      </c>
      <c r="Q24" s="7" t="s">
        <v>104</v>
      </c>
      <c r="R24" s="7" t="s">
        <v>104</v>
      </c>
      <c r="S24" s="7" t="s">
        <v>104</v>
      </c>
      <c r="T24" s="7" t="s">
        <v>104</v>
      </c>
      <c r="U24" s="7" t="s">
        <v>104</v>
      </c>
      <c r="V24" s="7" t="s">
        <v>104</v>
      </c>
      <c r="W24" s="7" t="s">
        <v>104</v>
      </c>
      <c r="X24" s="7" t="s">
        <v>104</v>
      </c>
      <c r="Y24" s="7" t="s">
        <v>104</v>
      </c>
      <c r="Z24" s="7" t="s">
        <v>104</v>
      </c>
      <c r="AA24" s="7" t="s">
        <v>104</v>
      </c>
      <c r="AB24" s="7" t="s">
        <v>104</v>
      </c>
      <c r="AC24" s="7" t="s">
        <v>104</v>
      </c>
      <c r="AD24" s="7" t="s">
        <v>104</v>
      </c>
      <c r="AE24" s="7" t="s">
        <v>104</v>
      </c>
    </row>
    <row r="25" spans="1:31" x14ac:dyDescent="0.25">
      <c r="A25" t="s">
        <v>87</v>
      </c>
      <c r="B25" s="6">
        <v>19178</v>
      </c>
      <c r="C25" s="6">
        <v>19095</v>
      </c>
      <c r="D25" s="6">
        <v>19273</v>
      </c>
      <c r="E25" s="6">
        <v>22550</v>
      </c>
      <c r="F25" s="6">
        <v>80600</v>
      </c>
      <c r="G25" s="6">
        <v>19882</v>
      </c>
      <c r="H25" s="6">
        <v>19554</v>
      </c>
      <c r="I25" s="6">
        <v>19301.39</v>
      </c>
      <c r="J25" s="6">
        <v>22825.63</v>
      </c>
      <c r="K25" s="6">
        <v>81467.69</v>
      </c>
      <c r="L25" s="6">
        <v>19949.349999999999</v>
      </c>
      <c r="M25" s="6">
        <v>19564.71</v>
      </c>
      <c r="N25" s="6">
        <v>19653.939999999999</v>
      </c>
      <c r="O25" s="6">
        <v>23126.5</v>
      </c>
      <c r="P25" s="6">
        <v>81986.960000000006</v>
      </c>
      <c r="Q25" s="6">
        <v>19950.66</v>
      </c>
      <c r="R25" s="6">
        <v>19511.28</v>
      </c>
      <c r="S25" s="6">
        <v>19678.8</v>
      </c>
      <c r="T25" s="6">
        <v>23367.68</v>
      </c>
      <c r="U25" s="6">
        <v>82218.03</v>
      </c>
      <c r="V25" s="6">
        <v>20278.150000000001</v>
      </c>
      <c r="W25" s="6">
        <v>19912.189999999999</v>
      </c>
      <c r="X25" s="6">
        <v>20153.689999999999</v>
      </c>
      <c r="Y25" s="6">
        <v>23994.39</v>
      </c>
      <c r="Z25" s="6">
        <v>84002.91</v>
      </c>
      <c r="AA25" s="6">
        <v>20487.78</v>
      </c>
      <c r="AB25" s="6">
        <v>20149.55</v>
      </c>
      <c r="AC25" s="6">
        <v>20421.3</v>
      </c>
      <c r="AD25" s="6">
        <v>24314.61</v>
      </c>
      <c r="AE25" s="6">
        <v>85196.02</v>
      </c>
    </row>
    <row r="26" spans="1:31" x14ac:dyDescent="0.25">
      <c r="A26" t="s">
        <v>115</v>
      </c>
      <c r="B26" s="6">
        <v>589</v>
      </c>
      <c r="C26" s="6">
        <v>-21</v>
      </c>
      <c r="D26" s="6">
        <v>425</v>
      </c>
      <c r="E26" s="6">
        <v>320</v>
      </c>
      <c r="F26" s="6">
        <v>1313</v>
      </c>
      <c r="G26" s="6">
        <v>171</v>
      </c>
      <c r="H26" s="6">
        <v>334</v>
      </c>
      <c r="I26" s="6">
        <v>-86.36</v>
      </c>
      <c r="J26" s="6">
        <v>-95.4</v>
      </c>
      <c r="K26" s="6">
        <v>379.25</v>
      </c>
      <c r="L26" s="6">
        <v>-97.33</v>
      </c>
      <c r="M26" s="6">
        <v>-118.58</v>
      </c>
      <c r="N26" s="6">
        <v>84.14</v>
      </c>
      <c r="O26" s="6">
        <v>-19.34</v>
      </c>
      <c r="P26" s="6">
        <v>-505.31</v>
      </c>
      <c r="Q26" s="6">
        <v>50</v>
      </c>
      <c r="R26" s="6">
        <v>50</v>
      </c>
      <c r="S26" s="6">
        <v>50</v>
      </c>
      <c r="T26" s="6">
        <v>50</v>
      </c>
      <c r="U26" s="6">
        <v>-563.33000000000004</v>
      </c>
      <c r="V26" s="6">
        <v>50</v>
      </c>
      <c r="W26" s="6">
        <v>50</v>
      </c>
      <c r="X26" s="6">
        <v>50</v>
      </c>
      <c r="Y26" s="6">
        <v>50</v>
      </c>
      <c r="Z26" s="6">
        <v>450</v>
      </c>
      <c r="AA26" s="6">
        <v>50</v>
      </c>
      <c r="AB26" s="6">
        <v>50</v>
      </c>
      <c r="AC26" s="6">
        <v>50</v>
      </c>
      <c r="AD26" s="6">
        <v>50</v>
      </c>
      <c r="AE26" s="6">
        <v>450</v>
      </c>
    </row>
    <row r="27" spans="1:31" x14ac:dyDescent="0.25">
      <c r="A27" t="s">
        <v>116</v>
      </c>
      <c r="B27" s="6">
        <v>19093</v>
      </c>
      <c r="C27" s="6">
        <v>19116</v>
      </c>
      <c r="D27" s="6">
        <v>18848</v>
      </c>
      <c r="E27" s="6">
        <v>22230</v>
      </c>
      <c r="F27" s="6">
        <v>79287</v>
      </c>
      <c r="G27" s="6">
        <v>19711</v>
      </c>
      <c r="H27" s="6">
        <v>19220</v>
      </c>
      <c r="I27" s="6">
        <v>19342.03</v>
      </c>
      <c r="J27" s="6">
        <v>22767.03</v>
      </c>
      <c r="K27" s="6">
        <v>81058.45</v>
      </c>
      <c r="L27" s="6">
        <v>19953.36</v>
      </c>
      <c r="M27" s="6">
        <v>19518.240000000002</v>
      </c>
      <c r="N27" s="6">
        <v>19550.8</v>
      </c>
      <c r="O27" s="6">
        <v>23056.69</v>
      </c>
      <c r="P27" s="6">
        <v>82009.429999999993</v>
      </c>
      <c r="Q27" s="6">
        <v>19904.8</v>
      </c>
      <c r="R27" s="6">
        <v>19415.490000000002</v>
      </c>
      <c r="S27" s="6">
        <v>19532.669999999998</v>
      </c>
      <c r="T27" s="6">
        <v>23265.57</v>
      </c>
      <c r="U27" s="6">
        <v>82325.42</v>
      </c>
      <c r="V27" s="6">
        <v>20088.71</v>
      </c>
      <c r="W27" s="6">
        <v>19628.66</v>
      </c>
      <c r="X27" s="6">
        <v>19745.78</v>
      </c>
      <c r="Y27" s="6">
        <v>23583.42</v>
      </c>
      <c r="Z27" s="6">
        <v>83339.490000000005</v>
      </c>
      <c r="AA27" s="6">
        <v>20276.71</v>
      </c>
      <c r="AB27" s="6">
        <v>19838.8</v>
      </c>
      <c r="AC27" s="6">
        <v>19998.71</v>
      </c>
      <c r="AD27" s="6">
        <v>23892.400000000001</v>
      </c>
      <c r="AE27" s="6">
        <v>84538.59</v>
      </c>
    </row>
    <row r="28" spans="1:31" x14ac:dyDescent="0.25">
      <c r="A28" t="s">
        <v>117</v>
      </c>
      <c r="B28" s="6">
        <v>5190</v>
      </c>
      <c r="C28" s="6">
        <v>5251</v>
      </c>
      <c r="D28" s="6">
        <v>5317</v>
      </c>
      <c r="E28" s="6">
        <v>5128</v>
      </c>
      <c r="F28" s="6">
        <v>20886</v>
      </c>
      <c r="G28" s="6">
        <v>4966</v>
      </c>
      <c r="H28" s="6">
        <v>4966</v>
      </c>
      <c r="I28" s="6">
        <v>5101.72</v>
      </c>
      <c r="J28" s="6">
        <v>5171</v>
      </c>
      <c r="K28" s="6">
        <v>20214.919999999998</v>
      </c>
      <c r="L28" s="6">
        <v>5052.1499999999996</v>
      </c>
      <c r="M28" s="6">
        <v>5070.41</v>
      </c>
      <c r="N28" s="6">
        <v>5116.95</v>
      </c>
      <c r="O28" s="6">
        <v>5201.93</v>
      </c>
      <c r="P28" s="6">
        <v>20425.330000000002</v>
      </c>
      <c r="Q28" s="6">
        <v>5063.17</v>
      </c>
      <c r="R28" s="6">
        <v>5051.5600000000004</v>
      </c>
      <c r="S28" s="6">
        <v>5167.55</v>
      </c>
      <c r="T28" s="6">
        <v>5159.51</v>
      </c>
      <c r="U28" s="6">
        <v>20525.3</v>
      </c>
      <c r="V28" s="6">
        <v>5147.1099999999997</v>
      </c>
      <c r="W28" s="6">
        <v>5135.96</v>
      </c>
      <c r="X28" s="6">
        <v>5273.2</v>
      </c>
      <c r="Y28" s="6">
        <v>5244.16</v>
      </c>
      <c r="Z28" s="6">
        <v>20868.25</v>
      </c>
      <c r="AA28" s="6">
        <v>5223.84</v>
      </c>
      <c r="AB28" s="6">
        <v>5206.5600000000004</v>
      </c>
      <c r="AC28" s="6">
        <v>5350.3</v>
      </c>
      <c r="AD28" s="6">
        <v>5307.49</v>
      </c>
      <c r="AE28" s="6">
        <v>21098.74</v>
      </c>
    </row>
    <row r="29" spans="1:31" x14ac:dyDescent="0.25">
      <c r="A29" t="s">
        <v>118</v>
      </c>
      <c r="B29" s="6">
        <v>9</v>
      </c>
      <c r="C29" s="6">
        <v>9</v>
      </c>
      <c r="D29" s="6">
        <v>10</v>
      </c>
      <c r="E29" s="6">
        <v>10</v>
      </c>
      <c r="F29" s="6">
        <v>38</v>
      </c>
      <c r="G29" s="6">
        <v>57</v>
      </c>
      <c r="H29" s="6">
        <v>84</v>
      </c>
      <c r="I29" s="6">
        <v>26.08</v>
      </c>
      <c r="J29" s="6">
        <v>24.92</v>
      </c>
      <c r="K29" s="6">
        <v>117</v>
      </c>
      <c r="L29" s="6">
        <v>43.22</v>
      </c>
      <c r="M29" s="6">
        <v>49.89</v>
      </c>
      <c r="N29" s="6">
        <v>29.11</v>
      </c>
      <c r="O29" s="6">
        <v>28.6</v>
      </c>
      <c r="P29" s="6">
        <v>4214.88</v>
      </c>
      <c r="Q29" s="6">
        <v>20.74</v>
      </c>
      <c r="R29" s="6">
        <v>29.38</v>
      </c>
      <c r="S29" s="6">
        <v>5.0599999999999996</v>
      </c>
      <c r="T29" s="6">
        <v>5.0599999999999996</v>
      </c>
      <c r="U29" s="6">
        <v>5270.1</v>
      </c>
      <c r="V29" s="6">
        <v>29.18</v>
      </c>
      <c r="W29" s="6">
        <v>43.01</v>
      </c>
      <c r="X29" s="6">
        <v>4.0999999999999996</v>
      </c>
      <c r="Y29" s="6">
        <v>4.0999999999999996</v>
      </c>
      <c r="Z29" s="6">
        <v>164.48</v>
      </c>
      <c r="AA29" s="6">
        <v>23.35</v>
      </c>
      <c r="AB29" s="6">
        <v>34.409999999999997</v>
      </c>
      <c r="AC29" s="6">
        <v>3.28</v>
      </c>
      <c r="AD29" s="6">
        <v>3.28</v>
      </c>
      <c r="AE29" s="6">
        <v>144.01</v>
      </c>
    </row>
    <row r="30" spans="1:31" x14ac:dyDescent="0.25">
      <c r="A30" t="s">
        <v>119</v>
      </c>
      <c r="B30" s="6">
        <v>5190</v>
      </c>
      <c r="C30" s="6">
        <v>5251</v>
      </c>
      <c r="D30" s="6">
        <v>5307</v>
      </c>
      <c r="E30" s="6">
        <v>5118</v>
      </c>
      <c r="F30" s="6">
        <v>20848</v>
      </c>
      <c r="G30" s="6">
        <v>4909</v>
      </c>
      <c r="H30" s="6">
        <v>4966</v>
      </c>
      <c r="I30" s="6">
        <v>5067.91</v>
      </c>
      <c r="J30" s="6">
        <v>5121.46</v>
      </c>
      <c r="K30" s="6">
        <v>20111.330000000002</v>
      </c>
      <c r="L30" s="6">
        <v>4995.1899999999996</v>
      </c>
      <c r="M30" s="6">
        <v>4982.79</v>
      </c>
      <c r="N30" s="6">
        <v>5088.67</v>
      </c>
      <c r="O30" s="6">
        <v>5144.54</v>
      </c>
      <c r="P30" s="6">
        <v>20348.349999999999</v>
      </c>
      <c r="Q30" s="6">
        <v>4954.22</v>
      </c>
      <c r="R30" s="6">
        <v>4933.4799999999996</v>
      </c>
      <c r="S30" s="6">
        <v>5109.92</v>
      </c>
      <c r="T30" s="6">
        <v>5004.3599999999997</v>
      </c>
      <c r="U30" s="6">
        <v>20504.16</v>
      </c>
      <c r="V30" s="6">
        <v>5037.87</v>
      </c>
      <c r="W30" s="6">
        <v>5011.3999999999996</v>
      </c>
      <c r="X30" s="6">
        <v>5219.34</v>
      </c>
      <c r="Y30" s="6">
        <v>5057.41</v>
      </c>
      <c r="Z30" s="6">
        <v>21077.42</v>
      </c>
      <c r="AA30" s="6">
        <v>5100.97</v>
      </c>
      <c r="AB30" s="6">
        <v>5071.3</v>
      </c>
      <c r="AC30" s="6">
        <v>5278.67</v>
      </c>
      <c r="AD30" s="6">
        <v>5103.8999999999996</v>
      </c>
      <c r="AE30" s="6">
        <v>21390.02</v>
      </c>
    </row>
    <row r="31" spans="1:31" x14ac:dyDescent="0.25">
      <c r="A31" t="s">
        <v>120</v>
      </c>
      <c r="B31" s="6">
        <v>24872</v>
      </c>
      <c r="C31" s="6">
        <v>24346</v>
      </c>
      <c r="D31" s="6">
        <v>24590</v>
      </c>
      <c r="E31" s="6">
        <v>27678</v>
      </c>
      <c r="F31" s="6">
        <v>101486</v>
      </c>
      <c r="G31" s="6">
        <v>24848</v>
      </c>
      <c r="H31" s="6">
        <v>24520</v>
      </c>
      <c r="I31" s="6">
        <v>24493.919999999998</v>
      </c>
      <c r="J31" s="6">
        <v>28097.34</v>
      </c>
      <c r="K31" s="6">
        <v>101893.34</v>
      </c>
      <c r="L31" s="6">
        <v>25076.26</v>
      </c>
      <c r="M31" s="6">
        <v>24718.22</v>
      </c>
      <c r="N31" s="6">
        <v>24775.16</v>
      </c>
      <c r="O31" s="6">
        <v>28340.65</v>
      </c>
      <c r="P31" s="6">
        <v>102711.85</v>
      </c>
      <c r="Q31" s="6">
        <v>24989.25</v>
      </c>
      <c r="R31" s="6">
        <v>24546.2</v>
      </c>
      <c r="S31" s="6">
        <v>24818.17</v>
      </c>
      <c r="T31" s="6">
        <v>28454.67</v>
      </c>
      <c r="U31" s="6">
        <v>103053.39</v>
      </c>
      <c r="V31" s="6">
        <v>25387.03</v>
      </c>
      <c r="W31" s="6">
        <v>25017.05</v>
      </c>
      <c r="X31" s="6">
        <v>25397.13</v>
      </c>
      <c r="Y31" s="6">
        <v>29142.560000000001</v>
      </c>
      <c r="Z31" s="6">
        <v>104968.45</v>
      </c>
      <c r="AA31" s="6">
        <v>25666.69</v>
      </c>
      <c r="AB31" s="6">
        <v>25320.32</v>
      </c>
      <c r="AC31" s="6">
        <v>25731.95</v>
      </c>
      <c r="AD31" s="6">
        <v>29520.6</v>
      </c>
      <c r="AE31" s="6">
        <v>106468.69</v>
      </c>
    </row>
    <row r="32" spans="1:31" x14ac:dyDescent="0.25">
      <c r="A32" t="s">
        <v>121</v>
      </c>
      <c r="B32" s="6">
        <v>24283</v>
      </c>
      <c r="C32" s="6">
        <v>24367</v>
      </c>
      <c r="D32" s="6">
        <v>24165</v>
      </c>
      <c r="E32" s="6">
        <v>27348</v>
      </c>
      <c r="F32" s="6">
        <v>100135</v>
      </c>
      <c r="G32" s="6">
        <v>24620</v>
      </c>
      <c r="H32" s="6">
        <v>24102</v>
      </c>
      <c r="I32" s="6">
        <v>24422.04</v>
      </c>
      <c r="J32" s="6">
        <v>27859.74</v>
      </c>
      <c r="K32" s="6">
        <v>101132.3</v>
      </c>
      <c r="L32" s="6">
        <v>25071.87</v>
      </c>
      <c r="M32" s="6">
        <v>24581.09</v>
      </c>
      <c r="N32" s="6">
        <v>24683.68</v>
      </c>
      <c r="O32" s="6">
        <v>28368.799999999999</v>
      </c>
      <c r="P32" s="6">
        <v>100257.72</v>
      </c>
      <c r="Q32" s="6">
        <v>25051.29</v>
      </c>
      <c r="R32" s="6">
        <v>24421.89</v>
      </c>
      <c r="S32" s="6">
        <v>24898.66</v>
      </c>
      <c r="T32" s="6">
        <v>28415.77</v>
      </c>
      <c r="U32" s="6">
        <v>101086.2</v>
      </c>
      <c r="V32" s="6">
        <v>25722.93</v>
      </c>
      <c r="W32" s="6">
        <v>24820.27</v>
      </c>
      <c r="X32" s="6">
        <v>25567.69</v>
      </c>
      <c r="Y32" s="6">
        <v>29211.87</v>
      </c>
      <c r="Z32" s="6">
        <v>105689.93</v>
      </c>
      <c r="AA32" s="6">
        <v>26027.53</v>
      </c>
      <c r="AB32" s="6">
        <v>25068.17</v>
      </c>
      <c r="AC32" s="6">
        <v>25880.46</v>
      </c>
      <c r="AD32" s="6">
        <v>29573.119999999999</v>
      </c>
      <c r="AE32" s="6">
        <v>107349.61</v>
      </c>
    </row>
    <row r="33" spans="1:31" x14ac:dyDescent="0.25">
      <c r="A33" t="s">
        <v>96</v>
      </c>
      <c r="B33" s="6">
        <v>10944</v>
      </c>
      <c r="C33" s="6">
        <v>11752</v>
      </c>
      <c r="D33" s="6">
        <v>11436</v>
      </c>
      <c r="E33" s="6">
        <v>10916</v>
      </c>
      <c r="F33" s="6">
        <v>45048</v>
      </c>
      <c r="G33" s="6">
        <v>11624</v>
      </c>
      <c r="H33" s="6">
        <v>12004</v>
      </c>
      <c r="I33" s="6">
        <v>12306.16</v>
      </c>
      <c r="J33" s="6">
        <v>11668.56</v>
      </c>
      <c r="K33" s="6">
        <v>47751.02</v>
      </c>
      <c r="L33" s="6">
        <v>12242.29</v>
      </c>
      <c r="M33" s="6">
        <v>12716.43</v>
      </c>
      <c r="N33" s="6">
        <v>12852.44</v>
      </c>
      <c r="O33" s="6">
        <v>12011.22</v>
      </c>
      <c r="P33" s="6">
        <v>49908.58</v>
      </c>
      <c r="Q33" s="6">
        <v>12861.29</v>
      </c>
      <c r="R33" s="6">
        <v>13224.58</v>
      </c>
      <c r="S33" s="6">
        <v>13349.44</v>
      </c>
      <c r="T33" s="6">
        <v>12749.42</v>
      </c>
      <c r="U33" s="6">
        <v>52313.74</v>
      </c>
      <c r="V33" s="6">
        <v>13390.49</v>
      </c>
      <c r="W33" s="6">
        <v>13860.84</v>
      </c>
      <c r="X33" s="6">
        <v>13976.21</v>
      </c>
      <c r="Y33" s="6">
        <v>13038.01</v>
      </c>
      <c r="Z33" s="6">
        <v>54455.61</v>
      </c>
      <c r="AA33" s="6">
        <v>14051.74</v>
      </c>
      <c r="AB33" s="6">
        <v>14501.35</v>
      </c>
      <c r="AC33" s="6">
        <v>14632.17</v>
      </c>
      <c r="AD33" s="6">
        <v>13936.81</v>
      </c>
      <c r="AE33" s="6">
        <v>56996.15</v>
      </c>
    </row>
    <row r="34" spans="1:31" x14ac:dyDescent="0.25">
      <c r="A34" t="s">
        <v>122</v>
      </c>
      <c r="B34" s="6">
        <v>589</v>
      </c>
      <c r="C34" s="6">
        <v>-21</v>
      </c>
      <c r="D34" s="6">
        <v>425</v>
      </c>
      <c r="E34" s="6">
        <v>320</v>
      </c>
      <c r="F34" s="6">
        <v>1313</v>
      </c>
      <c r="G34" s="6">
        <v>171</v>
      </c>
      <c r="H34" s="6">
        <v>334</v>
      </c>
      <c r="I34" s="6">
        <v>69.19</v>
      </c>
      <c r="J34" s="6">
        <v>208.81</v>
      </c>
      <c r="K34" s="6">
        <v>583.61</v>
      </c>
      <c r="L34" s="6">
        <v>65.650000000000006</v>
      </c>
      <c r="M34" s="6">
        <v>91.49</v>
      </c>
      <c r="N34" s="6">
        <v>61.99</v>
      </c>
      <c r="O34" s="6">
        <v>332.49</v>
      </c>
      <c r="P34" s="6">
        <v>464.18</v>
      </c>
      <c r="Q34" s="6">
        <v>118.41</v>
      </c>
      <c r="R34" s="6">
        <v>118.43</v>
      </c>
      <c r="S34" s="6">
        <v>118.27</v>
      </c>
      <c r="T34" s="6">
        <v>117.9</v>
      </c>
      <c r="U34" s="6">
        <v>429.2</v>
      </c>
      <c r="V34" s="6">
        <v>75</v>
      </c>
      <c r="W34" s="6">
        <v>75</v>
      </c>
      <c r="X34" s="6">
        <v>75</v>
      </c>
      <c r="Y34" s="6">
        <v>775</v>
      </c>
      <c r="Z34" s="6">
        <v>681.75</v>
      </c>
      <c r="AA34" s="6">
        <v>75</v>
      </c>
      <c r="AB34" s="6">
        <v>75</v>
      </c>
      <c r="AC34" s="6">
        <v>75</v>
      </c>
      <c r="AD34" s="6">
        <v>75</v>
      </c>
      <c r="AE34" s="6">
        <v>331.75</v>
      </c>
    </row>
    <row r="35" spans="1:31" x14ac:dyDescent="0.25">
      <c r="A35" t="s">
        <v>123</v>
      </c>
      <c r="B35" s="6">
        <v>11533</v>
      </c>
      <c r="C35" s="6">
        <v>11731</v>
      </c>
      <c r="D35" s="6">
        <v>11861</v>
      </c>
      <c r="E35" s="6">
        <v>11236</v>
      </c>
      <c r="F35" s="6">
        <v>46361</v>
      </c>
      <c r="G35" s="6">
        <v>11795</v>
      </c>
      <c r="H35" s="6">
        <v>12338</v>
      </c>
      <c r="I35" s="6">
        <v>12325.8</v>
      </c>
      <c r="J35" s="6">
        <v>11732.12</v>
      </c>
      <c r="K35" s="6">
        <v>48163.77</v>
      </c>
      <c r="L35" s="6">
        <v>12249.29</v>
      </c>
      <c r="M35" s="6">
        <v>12734.22</v>
      </c>
      <c r="N35" s="6">
        <v>12871.66</v>
      </c>
      <c r="O35" s="6">
        <v>12199.23</v>
      </c>
      <c r="P35" s="6">
        <v>50045.84</v>
      </c>
      <c r="Q35" s="6">
        <v>12912.04</v>
      </c>
      <c r="R35" s="6">
        <v>13275.33</v>
      </c>
      <c r="S35" s="6">
        <v>13400.12</v>
      </c>
      <c r="T35" s="6">
        <v>12799.95</v>
      </c>
      <c r="U35" s="6">
        <v>52390.05</v>
      </c>
      <c r="V35" s="6">
        <v>13420.49</v>
      </c>
      <c r="W35" s="6">
        <v>13890.84</v>
      </c>
      <c r="X35" s="6">
        <v>14006.21</v>
      </c>
      <c r="Y35" s="6">
        <v>13348.01</v>
      </c>
      <c r="Z35" s="6">
        <v>54669.919999999998</v>
      </c>
      <c r="AA35" s="6">
        <v>14081.74</v>
      </c>
      <c r="AB35" s="6">
        <v>14531.35</v>
      </c>
      <c r="AC35" s="6">
        <v>14662.17</v>
      </c>
      <c r="AD35" s="6">
        <v>13966.81</v>
      </c>
      <c r="AE35" s="6">
        <v>57157.53</v>
      </c>
    </row>
    <row r="36" spans="1:31" x14ac:dyDescent="0.25">
      <c r="A36" t="s">
        <v>105</v>
      </c>
      <c r="B36" s="6">
        <v>5754</v>
      </c>
      <c r="C36" s="6">
        <v>6501</v>
      </c>
      <c r="D36" s="6">
        <v>6119</v>
      </c>
      <c r="E36" s="6">
        <v>5788</v>
      </c>
      <c r="F36" s="6">
        <v>24162</v>
      </c>
      <c r="G36" s="6">
        <v>6658</v>
      </c>
      <c r="H36" s="6">
        <v>7038</v>
      </c>
      <c r="I36" s="6">
        <v>7188.82</v>
      </c>
      <c r="J36" s="6">
        <v>6489.34</v>
      </c>
      <c r="K36" s="6">
        <v>27412.86</v>
      </c>
      <c r="L36" s="6">
        <v>7168.23</v>
      </c>
      <c r="M36" s="6">
        <v>7642.17</v>
      </c>
      <c r="N36" s="6">
        <v>7726.89</v>
      </c>
      <c r="O36" s="6">
        <v>6886.41</v>
      </c>
      <c r="P36" s="6">
        <v>29443.98</v>
      </c>
      <c r="Q36" s="6">
        <v>7798.12</v>
      </c>
      <c r="R36" s="6">
        <v>8173.02</v>
      </c>
      <c r="S36" s="6">
        <v>8181.89</v>
      </c>
      <c r="T36" s="6">
        <v>7589.91</v>
      </c>
      <c r="U36" s="6">
        <v>31708.81</v>
      </c>
      <c r="V36" s="6">
        <v>8243.3799999999992</v>
      </c>
      <c r="W36" s="6">
        <v>8724.8799999999992</v>
      </c>
      <c r="X36" s="6">
        <v>8703.01</v>
      </c>
      <c r="Y36" s="6">
        <v>7793.84</v>
      </c>
      <c r="Z36" s="6">
        <v>33522.51</v>
      </c>
      <c r="AA36" s="6">
        <v>8827.9</v>
      </c>
      <c r="AB36" s="6">
        <v>9294.7900000000009</v>
      </c>
      <c r="AC36" s="6">
        <v>9281.8700000000008</v>
      </c>
      <c r="AD36" s="6">
        <v>8629.32</v>
      </c>
      <c r="AE36" s="6">
        <v>35856.339999999997</v>
      </c>
    </row>
    <row r="37" spans="1:31" x14ac:dyDescent="0.25">
      <c r="A37" t="s">
        <v>124</v>
      </c>
      <c r="B37" s="6">
        <v>589</v>
      </c>
      <c r="C37" s="6">
        <v>-21</v>
      </c>
      <c r="D37" s="6">
        <v>435</v>
      </c>
      <c r="E37" s="6">
        <v>330</v>
      </c>
      <c r="F37" s="6">
        <v>1351</v>
      </c>
      <c r="G37" s="6">
        <v>228</v>
      </c>
      <c r="H37" s="6">
        <v>334</v>
      </c>
      <c r="I37" s="6">
        <v>90.72</v>
      </c>
      <c r="J37" s="6">
        <v>231.61</v>
      </c>
      <c r="K37" s="6">
        <v>712.72</v>
      </c>
      <c r="L37" s="6">
        <v>98.93</v>
      </c>
      <c r="M37" s="6">
        <v>102.94</v>
      </c>
      <c r="N37" s="6">
        <v>90.47</v>
      </c>
      <c r="O37" s="6">
        <v>370.16</v>
      </c>
      <c r="P37" s="6">
        <v>2997.79</v>
      </c>
      <c r="Q37" s="6">
        <v>113.83</v>
      </c>
      <c r="R37" s="6">
        <v>119.59</v>
      </c>
      <c r="S37" s="6">
        <v>103.37</v>
      </c>
      <c r="T37" s="6">
        <v>103.37</v>
      </c>
      <c r="U37" s="6">
        <v>3340.92</v>
      </c>
      <c r="V37" s="6">
        <v>64.59</v>
      </c>
      <c r="W37" s="6">
        <v>71.5</v>
      </c>
      <c r="X37" s="6">
        <v>52.05</v>
      </c>
      <c r="Y37" s="6">
        <v>752.05</v>
      </c>
      <c r="Z37" s="6">
        <v>643.19000000000005</v>
      </c>
      <c r="AA37" s="6">
        <v>61.67</v>
      </c>
      <c r="AB37" s="6">
        <v>67.2</v>
      </c>
      <c r="AC37" s="6">
        <v>51.64</v>
      </c>
      <c r="AD37" s="6">
        <v>51.64</v>
      </c>
      <c r="AE37" s="6">
        <v>355</v>
      </c>
    </row>
    <row r="38" spans="1:31" x14ac:dyDescent="0.25">
      <c r="A38" t="s">
        <v>125</v>
      </c>
      <c r="B38" s="6">
        <v>6343</v>
      </c>
      <c r="C38" s="6">
        <v>6480</v>
      </c>
      <c r="D38" s="6">
        <v>6544</v>
      </c>
      <c r="E38" s="6">
        <v>6118</v>
      </c>
      <c r="F38" s="6">
        <v>25513</v>
      </c>
      <c r="G38" s="6">
        <v>6886</v>
      </c>
      <c r="H38" s="6">
        <v>7372</v>
      </c>
      <c r="I38" s="6">
        <v>7283.76</v>
      </c>
      <c r="J38" s="6">
        <v>6607.21</v>
      </c>
      <c r="K38" s="6">
        <v>28075.17</v>
      </c>
      <c r="L38" s="6">
        <v>7324.79</v>
      </c>
      <c r="M38" s="6">
        <v>7735.69</v>
      </c>
      <c r="N38" s="6">
        <v>7695.67</v>
      </c>
      <c r="O38" s="6">
        <v>6982.06</v>
      </c>
      <c r="P38" s="6">
        <v>31225.21</v>
      </c>
      <c r="Q38" s="6">
        <v>7617.81</v>
      </c>
      <c r="R38" s="6">
        <v>8184.57</v>
      </c>
      <c r="S38" s="6">
        <v>8056.16</v>
      </c>
      <c r="T38" s="6">
        <v>7459.21</v>
      </c>
      <c r="U38" s="6">
        <v>33247.32</v>
      </c>
      <c r="V38" s="6">
        <v>7777.4</v>
      </c>
      <c r="W38" s="6">
        <v>8560.74</v>
      </c>
      <c r="X38" s="6">
        <v>8401.61</v>
      </c>
      <c r="Y38" s="6">
        <v>7806.87</v>
      </c>
      <c r="Z38" s="6">
        <v>33393.08</v>
      </c>
      <c r="AA38" s="6">
        <v>8234.2800000000007</v>
      </c>
      <c r="AB38" s="6">
        <v>9057.27</v>
      </c>
      <c r="AC38" s="6">
        <v>8867.7900000000009</v>
      </c>
      <c r="AD38" s="6">
        <v>8247.77</v>
      </c>
      <c r="AE38" s="6">
        <v>35551.51</v>
      </c>
    </row>
    <row r="39" spans="1:31" x14ac:dyDescent="0.25">
      <c r="A39" t="s">
        <v>126</v>
      </c>
      <c r="B39" s="6">
        <v>-1658</v>
      </c>
      <c r="C39" s="6">
        <v>-1655</v>
      </c>
      <c r="D39" s="6">
        <v>-1700</v>
      </c>
      <c r="E39" s="6">
        <v>-1791</v>
      </c>
      <c r="F39" s="6">
        <v>-6804</v>
      </c>
      <c r="G39" s="6">
        <v>-1813</v>
      </c>
      <c r="H39" s="6">
        <v>-1883</v>
      </c>
      <c r="I39" s="6">
        <v>-1899.4</v>
      </c>
      <c r="J39" s="6">
        <v>-1943.66</v>
      </c>
      <c r="K39" s="6">
        <v>-7537.21</v>
      </c>
      <c r="L39" s="6">
        <v>-1920.2</v>
      </c>
      <c r="M39" s="6">
        <v>-1916.2</v>
      </c>
      <c r="N39" s="6">
        <v>-1908.04</v>
      </c>
      <c r="O39" s="6">
        <v>-1909.32</v>
      </c>
      <c r="P39" s="6">
        <v>-7726.13</v>
      </c>
      <c r="Q39" s="6">
        <v>-1897.01</v>
      </c>
      <c r="R39" s="6">
        <v>-1892.22</v>
      </c>
      <c r="S39" s="6">
        <v>-1881.91</v>
      </c>
      <c r="T39" s="6">
        <v>-1864.22</v>
      </c>
      <c r="U39" s="6">
        <v>-7714.41</v>
      </c>
      <c r="V39" s="6">
        <v>-1812.36</v>
      </c>
      <c r="W39" s="6">
        <v>-1805.96</v>
      </c>
      <c r="X39" s="6">
        <v>-1779.65</v>
      </c>
      <c r="Y39" s="6">
        <v>-1774.5</v>
      </c>
      <c r="Z39" s="6">
        <v>-7616.88</v>
      </c>
      <c r="AA39" s="6">
        <v>-1751.7</v>
      </c>
      <c r="AB39" s="6">
        <v>-1739.38</v>
      </c>
      <c r="AC39" s="6">
        <v>-1721.32</v>
      </c>
      <c r="AD39" s="6">
        <v>-1698.73</v>
      </c>
      <c r="AE39" s="6">
        <v>-7402.18</v>
      </c>
    </row>
    <row r="40" spans="1:31" x14ac:dyDescent="0.25">
      <c r="A40" t="s">
        <v>127</v>
      </c>
      <c r="B40" s="6">
        <v>1440</v>
      </c>
      <c r="C40" s="6">
        <v>485</v>
      </c>
      <c r="D40" s="6">
        <v>-20</v>
      </c>
      <c r="E40" s="6">
        <v>-10</v>
      </c>
      <c r="F40" s="6">
        <v>1895</v>
      </c>
      <c r="G40" s="6">
        <v>-41</v>
      </c>
      <c r="H40" s="6">
        <v>-29</v>
      </c>
      <c r="I40" s="6">
        <v>4.62</v>
      </c>
      <c r="J40" s="6">
        <v>-6.61</v>
      </c>
      <c r="K40" s="6">
        <v>-69.88</v>
      </c>
      <c r="L40" s="6">
        <v>-11.95</v>
      </c>
      <c r="M40" s="6">
        <v>-10.210000000000001</v>
      </c>
      <c r="N40" s="6">
        <v>-9.1300000000000008</v>
      </c>
      <c r="O40" s="6">
        <v>-37.43</v>
      </c>
      <c r="P40" s="6">
        <v>-62.9</v>
      </c>
      <c r="Q40" s="6">
        <v>-23.57</v>
      </c>
      <c r="R40" s="6">
        <v>-24.44</v>
      </c>
      <c r="S40" s="6">
        <v>-23.2</v>
      </c>
      <c r="T40" s="6">
        <v>-21.98</v>
      </c>
      <c r="U40" s="6">
        <v>-17.100000000000001</v>
      </c>
      <c r="V40" s="6">
        <v>-15.33</v>
      </c>
      <c r="W40" s="6">
        <v>-18.329999999999998</v>
      </c>
      <c r="X40" s="6">
        <v>-18.329999999999998</v>
      </c>
      <c r="Y40" s="6">
        <v>-18.329999999999998</v>
      </c>
      <c r="Z40" s="6">
        <v>16.78</v>
      </c>
      <c r="AA40" s="6">
        <v>-5.33</v>
      </c>
      <c r="AB40" s="6">
        <v>-8.33</v>
      </c>
      <c r="AC40" s="6">
        <v>-8.33</v>
      </c>
      <c r="AD40" s="6">
        <v>-8.33</v>
      </c>
      <c r="AE40" s="6">
        <v>45.52</v>
      </c>
    </row>
    <row r="41" spans="1:31" x14ac:dyDescent="0.25">
      <c r="A41" t="s">
        <v>128</v>
      </c>
      <c r="B41" s="6">
        <v>455</v>
      </c>
      <c r="C41" s="6">
        <v>767</v>
      </c>
      <c r="D41" s="6">
        <v>6254</v>
      </c>
      <c r="E41" s="6">
        <v>278</v>
      </c>
      <c r="F41" s="6">
        <v>7754</v>
      </c>
      <c r="G41" s="6">
        <v>594</v>
      </c>
      <c r="H41" s="6">
        <v>696</v>
      </c>
      <c r="I41" s="6">
        <v>511.74</v>
      </c>
      <c r="J41" s="6">
        <v>496.83</v>
      </c>
      <c r="K41" s="6">
        <v>2226.44</v>
      </c>
      <c r="L41" s="6">
        <v>461.9</v>
      </c>
      <c r="M41" s="6">
        <v>453.87</v>
      </c>
      <c r="N41" s="6">
        <v>439.44</v>
      </c>
      <c r="O41" s="6">
        <v>388.41</v>
      </c>
      <c r="P41" s="6">
        <v>1779.84</v>
      </c>
      <c r="Q41" s="6">
        <v>383.83</v>
      </c>
      <c r="R41" s="6">
        <v>370.4</v>
      </c>
      <c r="S41" s="6">
        <v>375.23</v>
      </c>
      <c r="T41" s="6">
        <v>375.07</v>
      </c>
      <c r="U41" s="6">
        <v>1546.12</v>
      </c>
      <c r="V41" s="6">
        <v>428.95</v>
      </c>
      <c r="W41" s="6">
        <v>412.41</v>
      </c>
      <c r="X41" s="6">
        <v>420.72</v>
      </c>
      <c r="Y41" s="6">
        <v>424.11</v>
      </c>
      <c r="Z41" s="6">
        <v>1566.21</v>
      </c>
      <c r="AA41" s="6">
        <v>443.36</v>
      </c>
      <c r="AB41" s="6">
        <v>424.06</v>
      </c>
      <c r="AC41" s="6">
        <v>433.52</v>
      </c>
      <c r="AD41" s="6">
        <v>438.12</v>
      </c>
      <c r="AE41" s="6">
        <v>1591.07</v>
      </c>
    </row>
    <row r="42" spans="1:31" x14ac:dyDescent="0.25">
      <c r="A42" t="s">
        <v>129</v>
      </c>
      <c r="B42" s="6">
        <v>1895</v>
      </c>
      <c r="C42" s="6">
        <v>1252</v>
      </c>
      <c r="D42" s="6">
        <v>6234</v>
      </c>
      <c r="E42" s="6">
        <v>268</v>
      </c>
      <c r="F42" s="6">
        <v>9649</v>
      </c>
      <c r="G42" s="6">
        <v>553</v>
      </c>
      <c r="H42" s="6">
        <v>667</v>
      </c>
      <c r="I42" s="6">
        <v>514.79</v>
      </c>
      <c r="J42" s="6">
        <v>493.33</v>
      </c>
      <c r="K42" s="6">
        <v>2156.94</v>
      </c>
      <c r="L42" s="6">
        <v>456.66</v>
      </c>
      <c r="M42" s="6">
        <v>448.99</v>
      </c>
      <c r="N42" s="6">
        <v>434.11</v>
      </c>
      <c r="O42" s="6">
        <v>366.58</v>
      </c>
      <c r="P42" s="6">
        <v>1738.14</v>
      </c>
      <c r="Q42" s="6">
        <v>370.36</v>
      </c>
      <c r="R42" s="6">
        <v>356.43</v>
      </c>
      <c r="S42" s="6">
        <v>361.97</v>
      </c>
      <c r="T42" s="6">
        <v>362.5</v>
      </c>
      <c r="U42" s="6">
        <v>1509.57</v>
      </c>
      <c r="V42" s="6">
        <v>419.75</v>
      </c>
      <c r="W42" s="6">
        <v>401.41</v>
      </c>
      <c r="X42" s="6">
        <v>409.72</v>
      </c>
      <c r="Y42" s="6">
        <v>413.11</v>
      </c>
      <c r="Z42" s="6">
        <v>1540.04</v>
      </c>
      <c r="AA42" s="6">
        <v>440.16</v>
      </c>
      <c r="AB42" s="6">
        <v>419.06</v>
      </c>
      <c r="AC42" s="6">
        <v>428.52</v>
      </c>
      <c r="AD42" s="6">
        <v>433.12</v>
      </c>
      <c r="AE42" s="6">
        <v>1578.35</v>
      </c>
    </row>
    <row r="43" spans="1:31" x14ac:dyDescent="0.25">
      <c r="A43" t="s">
        <v>130</v>
      </c>
      <c r="B43" s="6">
        <v>237</v>
      </c>
      <c r="C43" s="6">
        <v>-403</v>
      </c>
      <c r="D43" s="6">
        <v>4534</v>
      </c>
      <c r="E43" s="6">
        <v>-1523</v>
      </c>
      <c r="F43" s="6">
        <v>2845</v>
      </c>
      <c r="G43" s="6">
        <v>-1260</v>
      </c>
      <c r="H43" s="6">
        <v>-1216</v>
      </c>
      <c r="I43" s="6">
        <v>-1387.56</v>
      </c>
      <c r="J43" s="6">
        <v>-1466.68</v>
      </c>
      <c r="K43" s="6">
        <v>-5366.31</v>
      </c>
      <c r="L43" s="6">
        <v>-1463.78</v>
      </c>
      <c r="M43" s="6">
        <v>-1468.48</v>
      </c>
      <c r="N43" s="6">
        <v>-1483.62</v>
      </c>
      <c r="O43" s="6">
        <v>-1547.25</v>
      </c>
      <c r="P43" s="6">
        <v>-5977.35</v>
      </c>
      <c r="Q43" s="6">
        <v>-1526.65</v>
      </c>
      <c r="R43" s="6">
        <v>-1535.79</v>
      </c>
      <c r="S43" s="6">
        <v>-1519.94</v>
      </c>
      <c r="T43" s="6">
        <v>-1501.72</v>
      </c>
      <c r="U43" s="6">
        <v>-6211.86</v>
      </c>
      <c r="V43" s="6">
        <v>-1392.61</v>
      </c>
      <c r="W43" s="6">
        <v>-1404.56</v>
      </c>
      <c r="X43" s="6">
        <v>-1369.93</v>
      </c>
      <c r="Y43" s="6">
        <v>-1361.39</v>
      </c>
      <c r="Z43" s="6">
        <v>-6187.44</v>
      </c>
      <c r="AA43" s="6">
        <v>-1311.53</v>
      </c>
      <c r="AB43" s="6">
        <v>-1320.32</v>
      </c>
      <c r="AC43" s="6">
        <v>-1292.8</v>
      </c>
      <c r="AD43" s="6">
        <v>-1265.6099999999999</v>
      </c>
      <c r="AE43" s="6">
        <v>-5931.76</v>
      </c>
    </row>
    <row r="44" spans="1:31" x14ac:dyDescent="0.25">
      <c r="A44" t="s">
        <v>131</v>
      </c>
      <c r="B44" s="6">
        <v>5991</v>
      </c>
      <c r="C44" s="6">
        <v>6098</v>
      </c>
      <c r="D44" s="6">
        <v>10653</v>
      </c>
      <c r="E44" s="6">
        <v>4265</v>
      </c>
      <c r="F44" s="6">
        <v>27007</v>
      </c>
      <c r="G44" s="6">
        <v>5398</v>
      </c>
      <c r="H44" s="6">
        <v>5822</v>
      </c>
      <c r="I44" s="6">
        <v>5795.65</v>
      </c>
      <c r="J44" s="6">
        <v>5018.3900000000003</v>
      </c>
      <c r="K44" s="6">
        <v>22021.89</v>
      </c>
      <c r="L44" s="6">
        <v>5704.46</v>
      </c>
      <c r="M44" s="6">
        <v>6173.69</v>
      </c>
      <c r="N44" s="6">
        <v>6243.27</v>
      </c>
      <c r="O44" s="6">
        <v>5339.17</v>
      </c>
      <c r="P44" s="6">
        <v>23451.63</v>
      </c>
      <c r="Q44" s="6">
        <v>6271.47</v>
      </c>
      <c r="R44" s="6">
        <v>6637.24</v>
      </c>
      <c r="S44" s="6">
        <v>6661.94</v>
      </c>
      <c r="T44" s="6">
        <v>6088.19</v>
      </c>
      <c r="U44" s="6">
        <v>25477.84</v>
      </c>
      <c r="V44" s="6">
        <v>6850.77</v>
      </c>
      <c r="W44" s="6">
        <v>7320.32</v>
      </c>
      <c r="X44" s="6">
        <v>7333.08</v>
      </c>
      <c r="Y44" s="6">
        <v>6432.45</v>
      </c>
      <c r="Z44" s="6">
        <v>27308.83</v>
      </c>
      <c r="AA44" s="6">
        <v>7516.36</v>
      </c>
      <c r="AB44" s="6">
        <v>7974.46</v>
      </c>
      <c r="AC44" s="6">
        <v>7989.07</v>
      </c>
      <c r="AD44" s="6">
        <v>7363.7</v>
      </c>
      <c r="AE44" s="6">
        <v>29889.39</v>
      </c>
    </row>
    <row r="45" spans="1:31" x14ac:dyDescent="0.25">
      <c r="A45" t="s">
        <v>132</v>
      </c>
      <c r="B45" s="6">
        <v>-761</v>
      </c>
      <c r="C45" s="6">
        <v>-704</v>
      </c>
      <c r="D45" s="6">
        <v>-5143</v>
      </c>
      <c r="E45" s="6">
        <v>726</v>
      </c>
      <c r="F45" s="6">
        <v>-5882</v>
      </c>
      <c r="G45" s="6">
        <v>256</v>
      </c>
      <c r="H45" s="6">
        <v>329</v>
      </c>
      <c r="I45" s="6">
        <v>4.8099999999999996</v>
      </c>
      <c r="J45" s="6">
        <v>4.8099999999999996</v>
      </c>
      <c r="K45" s="6">
        <v>435.2</v>
      </c>
      <c r="L45" s="6">
        <v>36.200000000000003</v>
      </c>
      <c r="M45" s="6">
        <v>52.4</v>
      </c>
      <c r="N45" s="6">
        <v>6.8</v>
      </c>
      <c r="O45" s="6">
        <v>6.8</v>
      </c>
      <c r="P45" s="6">
        <v>84.9</v>
      </c>
      <c r="Q45" s="6">
        <v>44.74</v>
      </c>
      <c r="R45" s="6">
        <v>66.88</v>
      </c>
      <c r="S45" s="6">
        <v>4.5599999999999996</v>
      </c>
      <c r="T45" s="6">
        <v>4.5599999999999996</v>
      </c>
      <c r="U45" s="6">
        <v>89.03</v>
      </c>
      <c r="V45" s="6">
        <v>40.090000000000003</v>
      </c>
      <c r="W45" s="6">
        <v>60.5</v>
      </c>
      <c r="X45" s="6">
        <v>3.05</v>
      </c>
      <c r="Y45" s="6">
        <v>3.05</v>
      </c>
      <c r="Z45" s="6">
        <v>77.95</v>
      </c>
      <c r="AA45" s="6">
        <v>36.17</v>
      </c>
      <c r="AB45" s="6">
        <v>55.2</v>
      </c>
      <c r="AC45" s="6">
        <v>3.28</v>
      </c>
      <c r="AD45" s="6">
        <v>3.28</v>
      </c>
      <c r="AE45" s="6">
        <v>68.56</v>
      </c>
    </row>
    <row r="46" spans="1:31" x14ac:dyDescent="0.25">
      <c r="A46" t="s">
        <v>133</v>
      </c>
      <c r="B46" s="6">
        <v>5230</v>
      </c>
      <c r="C46" s="6">
        <v>5394</v>
      </c>
      <c r="D46" s="6">
        <v>5510</v>
      </c>
      <c r="E46" s="6">
        <v>4991</v>
      </c>
      <c r="F46" s="6">
        <v>21125</v>
      </c>
      <c r="G46" s="6">
        <v>5654</v>
      </c>
      <c r="H46" s="6">
        <v>6151</v>
      </c>
      <c r="I46" s="6">
        <v>5827.21</v>
      </c>
      <c r="J46" s="6">
        <v>5120.3599999999997</v>
      </c>
      <c r="K46" s="6">
        <v>22574.45</v>
      </c>
      <c r="L46" s="6">
        <v>5586.62</v>
      </c>
      <c r="M46" s="6">
        <v>6280.18</v>
      </c>
      <c r="N46" s="6">
        <v>6156.55</v>
      </c>
      <c r="O46" s="6">
        <v>5552.58</v>
      </c>
      <c r="P46" s="6">
        <v>23364.5</v>
      </c>
      <c r="Q46" s="6">
        <v>6316.57</v>
      </c>
      <c r="R46" s="6">
        <v>6756.82</v>
      </c>
      <c r="S46" s="6">
        <v>6665.33</v>
      </c>
      <c r="T46" s="6">
        <v>6085.92</v>
      </c>
      <c r="U46" s="6">
        <v>25249.24</v>
      </c>
      <c r="V46" s="6">
        <v>6882.78</v>
      </c>
      <c r="W46" s="6">
        <v>7338.74</v>
      </c>
      <c r="X46" s="6">
        <v>7249.71</v>
      </c>
      <c r="Y46" s="6">
        <v>6679.68</v>
      </c>
      <c r="Z46" s="6">
        <v>26982.85</v>
      </c>
      <c r="AA46" s="6">
        <v>7569.77</v>
      </c>
      <c r="AB46" s="6">
        <v>8028.86</v>
      </c>
      <c r="AC46" s="6">
        <v>7917.15</v>
      </c>
      <c r="AD46" s="6">
        <v>7356.71</v>
      </c>
      <c r="AE46" s="6">
        <v>29419.279999999999</v>
      </c>
    </row>
    <row r="47" spans="1:31" x14ac:dyDescent="0.25">
      <c r="A47" t="s">
        <v>134</v>
      </c>
      <c r="B47" s="6">
        <v>1299</v>
      </c>
      <c r="C47" s="6">
        <v>1237</v>
      </c>
      <c r="D47" s="6">
        <v>976</v>
      </c>
      <c r="E47" s="6">
        <v>109</v>
      </c>
      <c r="F47" s="6">
        <v>3621</v>
      </c>
      <c r="G47" s="6">
        <v>1179</v>
      </c>
      <c r="H47" s="6">
        <v>784</v>
      </c>
      <c r="I47" s="6">
        <v>1327.03</v>
      </c>
      <c r="J47" s="6">
        <v>1134.27</v>
      </c>
      <c r="K47" s="6">
        <v>4456.6400000000003</v>
      </c>
      <c r="L47" s="6">
        <v>1293.1300000000001</v>
      </c>
      <c r="M47" s="6">
        <v>1316.97</v>
      </c>
      <c r="N47" s="6">
        <v>1387.79</v>
      </c>
      <c r="O47" s="6">
        <v>1183.1400000000001</v>
      </c>
      <c r="P47" s="6">
        <v>5199.3999999999996</v>
      </c>
      <c r="Q47" s="6">
        <v>1397.02</v>
      </c>
      <c r="R47" s="6">
        <v>1400.78</v>
      </c>
      <c r="S47" s="6">
        <v>1466.01</v>
      </c>
      <c r="T47" s="6">
        <v>1339.54</v>
      </c>
      <c r="U47" s="6">
        <v>5675.19</v>
      </c>
      <c r="V47" s="6">
        <v>1529.38</v>
      </c>
      <c r="W47" s="6">
        <v>1633.34</v>
      </c>
      <c r="X47" s="6">
        <v>1636.49</v>
      </c>
      <c r="Y47" s="6">
        <v>1436.35</v>
      </c>
      <c r="Z47" s="6">
        <v>6102.84</v>
      </c>
      <c r="AA47" s="6">
        <v>1678.28</v>
      </c>
      <c r="AB47" s="6">
        <v>1779.53</v>
      </c>
      <c r="AC47" s="6">
        <v>1783.36</v>
      </c>
      <c r="AD47" s="6">
        <v>1643.72</v>
      </c>
      <c r="AE47" s="6">
        <v>6676.47</v>
      </c>
    </row>
    <row r="48" spans="1:31" x14ac:dyDescent="0.25">
      <c r="A48" t="s">
        <v>135</v>
      </c>
      <c r="B48" s="6">
        <v>165</v>
      </c>
      <c r="C48" s="6">
        <v>168</v>
      </c>
      <c r="D48" s="6">
        <v>-244</v>
      </c>
      <c r="E48" s="6">
        <v>-785</v>
      </c>
      <c r="F48" s="6">
        <v>-696</v>
      </c>
      <c r="G48" s="6">
        <v>-59</v>
      </c>
      <c r="H48" s="6">
        <v>-446</v>
      </c>
      <c r="I48" s="6">
        <v>-1.1499999999999999</v>
      </c>
      <c r="J48" s="6">
        <v>-1.07</v>
      </c>
      <c r="K48" s="6">
        <v>-383.82</v>
      </c>
      <c r="L48" s="6">
        <v>-8.08</v>
      </c>
      <c r="M48" s="6">
        <v>-11.69</v>
      </c>
      <c r="N48" s="6">
        <v>-1.53</v>
      </c>
      <c r="O48" s="6">
        <v>-1.53</v>
      </c>
      <c r="P48" s="6">
        <v>-19.04</v>
      </c>
      <c r="Q48" s="6">
        <v>-9.98</v>
      </c>
      <c r="R48" s="6">
        <v>-14.91</v>
      </c>
      <c r="S48" s="6">
        <v>-1.01</v>
      </c>
      <c r="T48" s="6">
        <v>-1.01</v>
      </c>
      <c r="U48" s="6">
        <v>-19.82</v>
      </c>
      <c r="V48" s="6">
        <v>-8.9499999999999993</v>
      </c>
      <c r="W48" s="6">
        <v>-13.51</v>
      </c>
      <c r="X48" s="6">
        <v>-0.68</v>
      </c>
      <c r="Y48" s="6">
        <v>-0.68</v>
      </c>
      <c r="Z48" s="6">
        <v>-17.37</v>
      </c>
      <c r="AA48" s="6">
        <v>-8.08</v>
      </c>
      <c r="AB48" s="6">
        <v>-8.2200000000000006</v>
      </c>
      <c r="AC48" s="6">
        <v>-0.36</v>
      </c>
      <c r="AD48" s="6">
        <v>-0.36</v>
      </c>
      <c r="AE48" s="6">
        <v>-11.47</v>
      </c>
    </row>
    <row r="49" spans="1:31" x14ac:dyDescent="0.25">
      <c r="A49" t="s">
        <v>136</v>
      </c>
      <c r="B49" s="6">
        <v>1134</v>
      </c>
      <c r="C49" s="6">
        <v>1069</v>
      </c>
      <c r="D49" s="6">
        <v>1220</v>
      </c>
      <c r="E49" s="6">
        <v>894</v>
      </c>
      <c r="F49" s="6">
        <v>4317</v>
      </c>
      <c r="G49" s="6">
        <v>1238</v>
      </c>
      <c r="H49" s="6">
        <v>1230</v>
      </c>
      <c r="I49" s="6">
        <v>1299.72</v>
      </c>
      <c r="J49" s="6">
        <v>1148.54</v>
      </c>
      <c r="K49" s="6">
        <v>4873.58</v>
      </c>
      <c r="L49" s="6">
        <v>1267.27</v>
      </c>
      <c r="M49" s="6">
        <v>1397.86</v>
      </c>
      <c r="N49" s="6">
        <v>1371.49</v>
      </c>
      <c r="O49" s="6">
        <v>1241.48</v>
      </c>
      <c r="P49" s="6">
        <v>5214.72</v>
      </c>
      <c r="Q49" s="6">
        <v>1412.93</v>
      </c>
      <c r="R49" s="6">
        <v>1495.3</v>
      </c>
      <c r="S49" s="6">
        <v>1479.2</v>
      </c>
      <c r="T49" s="6">
        <v>1355.62</v>
      </c>
      <c r="U49" s="6">
        <v>5629.5</v>
      </c>
      <c r="V49" s="6">
        <v>1527.36</v>
      </c>
      <c r="W49" s="6">
        <v>1626.83</v>
      </c>
      <c r="X49" s="6">
        <v>1607.79</v>
      </c>
      <c r="Y49" s="6">
        <v>1481.34</v>
      </c>
      <c r="Z49" s="6">
        <v>6008.94</v>
      </c>
      <c r="AA49" s="6">
        <v>1680.02</v>
      </c>
      <c r="AB49" s="6">
        <v>1779.92</v>
      </c>
      <c r="AC49" s="6">
        <v>1755.97</v>
      </c>
      <c r="AD49" s="6">
        <v>1631.66</v>
      </c>
      <c r="AE49" s="6">
        <v>6550.36</v>
      </c>
    </row>
    <row r="50" spans="1:31" x14ac:dyDescent="0.25">
      <c r="A50" t="s">
        <v>137</v>
      </c>
      <c r="B50" s="6">
        <v>4692</v>
      </c>
      <c r="C50" s="6">
        <v>4861</v>
      </c>
      <c r="D50" s="6">
        <v>9677</v>
      </c>
      <c r="E50" s="6">
        <v>4156</v>
      </c>
      <c r="F50" s="6">
        <v>23386</v>
      </c>
      <c r="G50" s="6">
        <v>4219</v>
      </c>
      <c r="H50" s="6">
        <v>5038</v>
      </c>
      <c r="I50" s="6">
        <v>4499.28</v>
      </c>
      <c r="J50" s="6">
        <v>3899.12</v>
      </c>
      <c r="K50" s="6">
        <v>17607.560000000001</v>
      </c>
      <c r="L50" s="6">
        <v>4408.6400000000003</v>
      </c>
      <c r="M50" s="6">
        <v>4862.28</v>
      </c>
      <c r="N50" s="6">
        <v>4850.2</v>
      </c>
      <c r="O50" s="6">
        <v>4138.34</v>
      </c>
      <c r="P50" s="6">
        <v>18289.87</v>
      </c>
      <c r="Q50" s="6">
        <v>4874.4399999999996</v>
      </c>
      <c r="R50" s="6">
        <v>5236.46</v>
      </c>
      <c r="S50" s="6">
        <v>5195.93</v>
      </c>
      <c r="T50" s="6">
        <v>4748.6499999999996</v>
      </c>
      <c r="U50" s="6">
        <v>19854.490000000002</v>
      </c>
      <c r="V50" s="6">
        <v>5321.4</v>
      </c>
      <c r="W50" s="6">
        <v>5686.98</v>
      </c>
      <c r="X50" s="6">
        <v>5696.59</v>
      </c>
      <c r="Y50" s="6">
        <v>4996.1000000000004</v>
      </c>
      <c r="Z50" s="6">
        <v>21234.82</v>
      </c>
      <c r="AA50" s="6">
        <v>5838.08</v>
      </c>
      <c r="AB50" s="6">
        <v>6194.94</v>
      </c>
      <c r="AC50" s="6">
        <v>6205.71</v>
      </c>
      <c r="AD50" s="6">
        <v>5719.98</v>
      </c>
      <c r="AE50" s="6">
        <v>23237.759999999998</v>
      </c>
    </row>
    <row r="51" spans="1:31" x14ac:dyDescent="0.25">
      <c r="A51" t="s">
        <v>138</v>
      </c>
      <c r="B51" s="6">
        <v>90</v>
      </c>
      <c r="C51" s="7" t="s">
        <v>104</v>
      </c>
      <c r="D51" s="7" t="s">
        <v>104</v>
      </c>
      <c r="E51" s="6">
        <v>1</v>
      </c>
      <c r="F51" s="6">
        <v>45.5</v>
      </c>
      <c r="G51" s="6">
        <v>-38</v>
      </c>
      <c r="H51" s="6">
        <v>-28</v>
      </c>
      <c r="I51" s="6">
        <v>-29</v>
      </c>
      <c r="J51" s="6">
        <v>-29</v>
      </c>
      <c r="K51" s="6">
        <v>-72</v>
      </c>
      <c r="L51" s="6">
        <v>-28</v>
      </c>
      <c r="M51" s="6">
        <v>-28</v>
      </c>
      <c r="N51" s="6">
        <v>-28</v>
      </c>
      <c r="O51" s="6">
        <v>-28</v>
      </c>
      <c r="P51" s="6">
        <v>-112</v>
      </c>
      <c r="Q51" s="7" t="s">
        <v>104</v>
      </c>
      <c r="R51" s="7" t="s">
        <v>104</v>
      </c>
      <c r="S51" s="7" t="s">
        <v>104</v>
      </c>
      <c r="T51" s="7" t="s">
        <v>104</v>
      </c>
      <c r="U51" s="6">
        <v>-112</v>
      </c>
      <c r="V51" s="7" t="s">
        <v>104</v>
      </c>
      <c r="W51" s="7" t="s">
        <v>104</v>
      </c>
      <c r="X51" s="7" t="s">
        <v>104</v>
      </c>
      <c r="Y51" s="7" t="s">
        <v>104</v>
      </c>
      <c r="Z51" s="6">
        <v>-112</v>
      </c>
      <c r="AA51" s="7" t="s">
        <v>104</v>
      </c>
      <c r="AB51" s="7" t="s">
        <v>104</v>
      </c>
      <c r="AC51" s="7" t="s">
        <v>104</v>
      </c>
      <c r="AD51" s="7" t="s">
        <v>104</v>
      </c>
      <c r="AE51" s="6">
        <v>-112</v>
      </c>
    </row>
    <row r="52" spans="1:31" x14ac:dyDescent="0.25">
      <c r="A52" t="s">
        <v>139</v>
      </c>
      <c r="B52" s="6">
        <v>341</v>
      </c>
      <c r="C52" s="6">
        <v>361</v>
      </c>
      <c r="D52" s="6">
        <v>363</v>
      </c>
      <c r="E52" s="6">
        <v>368</v>
      </c>
      <c r="F52" s="6">
        <v>1433</v>
      </c>
      <c r="G52" s="6">
        <v>352</v>
      </c>
      <c r="H52" s="6">
        <v>383</v>
      </c>
      <c r="I52" s="6">
        <v>362.95</v>
      </c>
      <c r="J52" s="6">
        <v>367.65</v>
      </c>
      <c r="K52" s="6">
        <v>1466.83</v>
      </c>
      <c r="L52" s="6">
        <v>349.99</v>
      </c>
      <c r="M52" s="6">
        <v>361.82</v>
      </c>
      <c r="N52" s="6">
        <v>358.21</v>
      </c>
      <c r="O52" s="6">
        <v>357.53</v>
      </c>
      <c r="P52" s="6">
        <v>1436.39</v>
      </c>
      <c r="Q52" s="6">
        <v>347.04</v>
      </c>
      <c r="R52" s="6">
        <v>354.57</v>
      </c>
      <c r="S52" s="6">
        <v>351.26</v>
      </c>
      <c r="T52" s="6">
        <v>350.43</v>
      </c>
      <c r="U52" s="6">
        <v>1448.79</v>
      </c>
      <c r="V52" s="6">
        <v>345.96</v>
      </c>
      <c r="W52" s="6">
        <v>356.83</v>
      </c>
      <c r="X52" s="6">
        <v>352.9</v>
      </c>
      <c r="Y52" s="6">
        <v>351.54</v>
      </c>
      <c r="Z52" s="6">
        <v>1460.62</v>
      </c>
      <c r="AA52" s="6">
        <v>353.69</v>
      </c>
      <c r="AB52" s="6">
        <v>365.13</v>
      </c>
      <c r="AC52" s="6">
        <v>361.32</v>
      </c>
      <c r="AD52" s="6">
        <v>360.48</v>
      </c>
      <c r="AE52" s="6">
        <v>1482.26</v>
      </c>
    </row>
    <row r="53" spans="1:31" x14ac:dyDescent="0.25">
      <c r="A53" t="s">
        <v>140</v>
      </c>
      <c r="B53" s="6">
        <v>4351</v>
      </c>
      <c r="C53" s="6">
        <v>4500</v>
      </c>
      <c r="D53" s="6">
        <v>9314</v>
      </c>
      <c r="E53" s="6">
        <v>3788</v>
      </c>
      <c r="F53" s="6">
        <v>21953</v>
      </c>
      <c r="G53" s="6">
        <v>3829</v>
      </c>
      <c r="H53" s="6">
        <v>4627</v>
      </c>
      <c r="I53" s="6">
        <v>4136.72</v>
      </c>
      <c r="J53" s="6">
        <v>3526.48</v>
      </c>
      <c r="K53" s="6">
        <v>16095.93</v>
      </c>
      <c r="L53" s="6">
        <v>4060.92</v>
      </c>
      <c r="M53" s="6">
        <v>4520.66</v>
      </c>
      <c r="N53" s="6">
        <v>4489.66</v>
      </c>
      <c r="O53" s="6">
        <v>3778.47</v>
      </c>
      <c r="P53" s="6">
        <v>16877.400000000001</v>
      </c>
      <c r="Q53" s="6">
        <v>4527.41</v>
      </c>
      <c r="R53" s="6">
        <v>4881.8900000000003</v>
      </c>
      <c r="S53" s="6">
        <v>4844.67</v>
      </c>
      <c r="T53" s="6">
        <v>4398.22</v>
      </c>
      <c r="U53" s="6">
        <v>18429.099999999999</v>
      </c>
      <c r="V53" s="6">
        <v>4975.4399999999996</v>
      </c>
      <c r="W53" s="6">
        <v>5330.16</v>
      </c>
      <c r="X53" s="6">
        <v>5343.68</v>
      </c>
      <c r="Y53" s="6">
        <v>4644.5600000000004</v>
      </c>
      <c r="Z53" s="6">
        <v>19766.900000000001</v>
      </c>
      <c r="AA53" s="6">
        <v>5484.39</v>
      </c>
      <c r="AB53" s="6">
        <v>5829.81</v>
      </c>
      <c r="AC53" s="6">
        <v>5844.39</v>
      </c>
      <c r="AD53" s="6">
        <v>5359.51</v>
      </c>
      <c r="AE53" s="6">
        <v>21746.400000000001</v>
      </c>
    </row>
    <row r="54" spans="1:31" x14ac:dyDescent="0.25">
      <c r="A54" t="s">
        <v>141</v>
      </c>
      <c r="B54" s="6">
        <v>-44</v>
      </c>
      <c r="C54" s="6">
        <v>36</v>
      </c>
      <c r="D54" s="6">
        <v>36</v>
      </c>
      <c r="E54" s="6">
        <v>36</v>
      </c>
      <c r="F54" s="6">
        <v>64</v>
      </c>
      <c r="G54" s="6">
        <v>36</v>
      </c>
      <c r="H54" s="6">
        <v>36</v>
      </c>
      <c r="I54" s="6">
        <v>36.85</v>
      </c>
      <c r="J54" s="6">
        <v>36.85</v>
      </c>
      <c r="K54" s="6">
        <v>139.47</v>
      </c>
      <c r="L54" s="6">
        <v>37.520000000000003</v>
      </c>
      <c r="M54" s="6">
        <v>37.520000000000003</v>
      </c>
      <c r="N54" s="6">
        <v>39.86</v>
      </c>
      <c r="O54" s="6">
        <v>39.86</v>
      </c>
      <c r="P54" s="6">
        <v>150.66999999999999</v>
      </c>
      <c r="Q54" s="6">
        <v>40.54</v>
      </c>
      <c r="R54" s="6">
        <v>40.54</v>
      </c>
      <c r="S54" s="6">
        <v>40.54</v>
      </c>
      <c r="T54" s="6">
        <v>40.54</v>
      </c>
      <c r="U54" s="6">
        <v>154.84</v>
      </c>
      <c r="V54" s="6">
        <v>41.56</v>
      </c>
      <c r="W54" s="6">
        <v>41.56</v>
      </c>
      <c r="X54" s="6">
        <v>41.56</v>
      </c>
      <c r="Y54" s="6">
        <v>41.56</v>
      </c>
      <c r="Z54" s="6">
        <v>155.28</v>
      </c>
      <c r="AA54" s="6">
        <v>41.56</v>
      </c>
      <c r="AB54" s="6">
        <v>41.56</v>
      </c>
      <c r="AC54" s="6">
        <v>41.56</v>
      </c>
      <c r="AD54" s="6">
        <v>41.56</v>
      </c>
      <c r="AE54" s="6">
        <v>155.28</v>
      </c>
    </row>
    <row r="55" spans="1:31" x14ac:dyDescent="0.25">
      <c r="A55" t="s">
        <v>142</v>
      </c>
      <c r="B55" s="6">
        <v>4395</v>
      </c>
      <c r="C55" s="6">
        <v>4464</v>
      </c>
      <c r="D55" s="6">
        <v>9278</v>
      </c>
      <c r="E55" s="6">
        <v>3752</v>
      </c>
      <c r="F55" s="6">
        <v>21889</v>
      </c>
      <c r="G55" s="6">
        <v>3793</v>
      </c>
      <c r="H55" s="6">
        <v>4591</v>
      </c>
      <c r="I55" s="6">
        <v>4086.81</v>
      </c>
      <c r="J55" s="6">
        <v>3495.38</v>
      </c>
      <c r="K55" s="6">
        <v>15952.55</v>
      </c>
      <c r="L55" s="6">
        <v>4030.84</v>
      </c>
      <c r="M55" s="6">
        <v>4476.47</v>
      </c>
      <c r="N55" s="6">
        <v>4458.04</v>
      </c>
      <c r="O55" s="6">
        <v>3754.45</v>
      </c>
      <c r="P55" s="6">
        <v>16651.560000000001</v>
      </c>
      <c r="Q55" s="6">
        <v>4486.87</v>
      </c>
      <c r="R55" s="6">
        <v>4841.3500000000004</v>
      </c>
      <c r="S55" s="6">
        <v>4804.13</v>
      </c>
      <c r="T55" s="6">
        <v>4357.68</v>
      </c>
      <c r="U55" s="6">
        <v>18153.07</v>
      </c>
      <c r="V55" s="6">
        <v>4933.88</v>
      </c>
      <c r="W55" s="6">
        <v>5288.6</v>
      </c>
      <c r="X55" s="6">
        <v>5302.13</v>
      </c>
      <c r="Y55" s="6">
        <v>4603</v>
      </c>
      <c r="Z55" s="6">
        <v>19535.2</v>
      </c>
      <c r="AA55" s="6">
        <v>5442.84</v>
      </c>
      <c r="AB55" s="6">
        <v>5788.25</v>
      </c>
      <c r="AC55" s="6">
        <v>5802.83</v>
      </c>
      <c r="AD55" s="6">
        <v>5317.95</v>
      </c>
      <c r="AE55" s="6">
        <v>21502.720000000001</v>
      </c>
    </row>
    <row r="56" spans="1:31" x14ac:dyDescent="0.25">
      <c r="A56" t="s">
        <v>143</v>
      </c>
      <c r="B56" s="6">
        <v>-686</v>
      </c>
      <c r="C56" s="6">
        <v>-536</v>
      </c>
      <c r="D56" s="6">
        <v>-5387</v>
      </c>
      <c r="E56" s="6">
        <v>-59</v>
      </c>
      <c r="F56" s="6">
        <v>-6668</v>
      </c>
      <c r="G56" s="6">
        <v>197</v>
      </c>
      <c r="H56" s="6">
        <v>-117</v>
      </c>
      <c r="I56" s="6">
        <v>7.15</v>
      </c>
      <c r="J56" s="6">
        <v>14.04</v>
      </c>
      <c r="K56" s="6">
        <v>77.63</v>
      </c>
      <c r="L56" s="6">
        <v>29.06</v>
      </c>
      <c r="M56" s="6">
        <v>36.03</v>
      </c>
      <c r="N56" s="6">
        <v>28.45</v>
      </c>
      <c r="O56" s="6">
        <v>37.869999999999997</v>
      </c>
      <c r="P56" s="6">
        <v>118.15</v>
      </c>
      <c r="Q56" s="6">
        <v>24.51</v>
      </c>
      <c r="R56" s="6">
        <v>35.979999999999997</v>
      </c>
      <c r="S56" s="6">
        <v>3.7</v>
      </c>
      <c r="T56" s="6">
        <v>3.7</v>
      </c>
      <c r="U56" s="6">
        <v>-6.67</v>
      </c>
      <c r="V56" s="6">
        <v>15.43</v>
      </c>
      <c r="W56" s="6">
        <v>26</v>
      </c>
      <c r="X56" s="6">
        <v>-3.75</v>
      </c>
      <c r="Y56" s="6">
        <v>-3.75</v>
      </c>
      <c r="Z56" s="6">
        <v>-27.72</v>
      </c>
      <c r="AA56" s="6">
        <v>10.06</v>
      </c>
      <c r="AB56" s="6">
        <v>14.93</v>
      </c>
      <c r="AC56" s="6">
        <v>-7.81</v>
      </c>
      <c r="AD56" s="6">
        <v>-7.81</v>
      </c>
      <c r="AE56" s="6">
        <v>-35.229999999999997</v>
      </c>
    </row>
    <row r="57" spans="1:31" x14ac:dyDescent="0.25">
      <c r="A57" t="s">
        <v>144</v>
      </c>
      <c r="B57" s="6">
        <v>-90</v>
      </c>
      <c r="C57" s="7" t="s">
        <v>104</v>
      </c>
      <c r="D57" s="7" t="s">
        <v>104</v>
      </c>
      <c r="E57" s="7" t="s">
        <v>104</v>
      </c>
      <c r="F57" s="6">
        <v>-90</v>
      </c>
      <c r="G57" s="7" t="s">
        <v>104</v>
      </c>
      <c r="H57" s="7" t="s">
        <v>104</v>
      </c>
      <c r="I57" s="7" t="s">
        <v>104</v>
      </c>
      <c r="J57" s="7" t="s">
        <v>104</v>
      </c>
      <c r="K57" s="7" t="s">
        <v>104</v>
      </c>
      <c r="L57" s="7" t="s">
        <v>104</v>
      </c>
      <c r="M57" s="7" t="s">
        <v>104</v>
      </c>
      <c r="N57" s="7" t="s">
        <v>104</v>
      </c>
      <c r="O57" s="7" t="s">
        <v>104</v>
      </c>
      <c r="P57" s="7" t="s">
        <v>104</v>
      </c>
      <c r="Q57" s="7" t="s">
        <v>104</v>
      </c>
      <c r="R57" s="7" t="s">
        <v>104</v>
      </c>
      <c r="S57" s="7" t="s">
        <v>104</v>
      </c>
      <c r="T57" s="7" t="s">
        <v>104</v>
      </c>
      <c r="U57" s="7" t="s">
        <v>104</v>
      </c>
      <c r="V57" s="7" t="s">
        <v>104</v>
      </c>
      <c r="W57" s="7" t="s">
        <v>104</v>
      </c>
      <c r="X57" s="7" t="s">
        <v>104</v>
      </c>
      <c r="Y57" s="7" t="s">
        <v>104</v>
      </c>
      <c r="Z57" s="7" t="s">
        <v>104</v>
      </c>
      <c r="AA57" s="7" t="s">
        <v>104</v>
      </c>
      <c r="AB57" s="7" t="s">
        <v>104</v>
      </c>
      <c r="AC57" s="7" t="s">
        <v>104</v>
      </c>
      <c r="AD57" s="7" t="s">
        <v>104</v>
      </c>
      <c r="AE57" s="7" t="s">
        <v>104</v>
      </c>
    </row>
    <row r="58" spans="1:31" x14ac:dyDescent="0.25">
      <c r="A58" t="s">
        <v>145</v>
      </c>
      <c r="B58" s="6">
        <v>3709</v>
      </c>
      <c r="C58" s="6">
        <v>3928</v>
      </c>
      <c r="D58" s="6">
        <v>3891</v>
      </c>
      <c r="E58" s="6">
        <v>3693</v>
      </c>
      <c r="F58" s="6">
        <v>15221</v>
      </c>
      <c r="G58" s="6">
        <v>3990</v>
      </c>
      <c r="H58" s="6">
        <v>4474</v>
      </c>
      <c r="I58" s="6">
        <v>4135.17</v>
      </c>
      <c r="J58" s="6">
        <v>3596.42</v>
      </c>
      <c r="K58" s="6">
        <v>16161.81</v>
      </c>
      <c r="L58" s="6">
        <v>4056.76</v>
      </c>
      <c r="M58" s="6">
        <v>4549.93</v>
      </c>
      <c r="N58" s="6">
        <v>4469.41</v>
      </c>
      <c r="O58" s="6">
        <v>3938.85</v>
      </c>
      <c r="P58" s="6">
        <v>16915.79</v>
      </c>
      <c r="Q58" s="6">
        <v>4524.43</v>
      </c>
      <c r="R58" s="6">
        <v>4944.55</v>
      </c>
      <c r="S58" s="6">
        <v>4856.46</v>
      </c>
      <c r="T58" s="6">
        <v>4420.04</v>
      </c>
      <c r="U58" s="6">
        <v>18360.41</v>
      </c>
      <c r="V58" s="6">
        <v>5012.6499999999996</v>
      </c>
      <c r="W58" s="6">
        <v>5380.88</v>
      </c>
      <c r="X58" s="6">
        <v>5327.57</v>
      </c>
      <c r="Y58" s="6">
        <v>4864.0200000000004</v>
      </c>
      <c r="Z58" s="6">
        <v>19834.150000000001</v>
      </c>
      <c r="AA58" s="6">
        <v>5550.66</v>
      </c>
      <c r="AB58" s="6">
        <v>5916.78</v>
      </c>
      <c r="AC58" s="6">
        <v>5871.83</v>
      </c>
      <c r="AD58" s="6">
        <v>5406.11</v>
      </c>
      <c r="AE58" s="6">
        <v>21833.97</v>
      </c>
    </row>
    <row r="59" spans="1:31" x14ac:dyDescent="0.25">
      <c r="A59" t="s">
        <v>146</v>
      </c>
      <c r="B59" s="6">
        <v>0.61</v>
      </c>
      <c r="C59" s="6">
        <v>0.62</v>
      </c>
      <c r="D59" s="6">
        <v>1.3</v>
      </c>
      <c r="E59" s="6">
        <v>0.53</v>
      </c>
      <c r="F59" s="6">
        <v>3.05</v>
      </c>
      <c r="G59" s="6">
        <v>0.54</v>
      </c>
      <c r="H59" s="6">
        <v>0.66</v>
      </c>
      <c r="I59" s="6">
        <v>0.59</v>
      </c>
      <c r="J59" s="6">
        <v>0.52</v>
      </c>
      <c r="K59" s="6">
        <v>2.31</v>
      </c>
      <c r="L59" s="6">
        <v>0.61</v>
      </c>
      <c r="M59" s="6">
        <v>0.67</v>
      </c>
      <c r="N59" s="6">
        <v>0.67</v>
      </c>
      <c r="O59" s="6">
        <v>0.57999999999999996</v>
      </c>
      <c r="P59" s="6">
        <v>2.52</v>
      </c>
      <c r="Q59" s="6">
        <v>0.71</v>
      </c>
      <c r="R59" s="6">
        <v>0.76</v>
      </c>
      <c r="S59" s="6">
        <v>0.77</v>
      </c>
      <c r="T59" s="6">
        <v>0.71</v>
      </c>
      <c r="U59" s="6">
        <v>2.86</v>
      </c>
      <c r="V59" s="6">
        <v>0.83</v>
      </c>
      <c r="W59" s="6">
        <v>0.87</v>
      </c>
      <c r="X59" s="6">
        <v>0.9</v>
      </c>
      <c r="Y59" s="6">
        <v>0.79</v>
      </c>
      <c r="Z59" s="6">
        <v>3.18</v>
      </c>
      <c r="AA59" s="6">
        <v>0.96</v>
      </c>
      <c r="AB59" s="6">
        <v>0.99</v>
      </c>
      <c r="AC59" s="6">
        <v>1.03</v>
      </c>
      <c r="AD59" s="6">
        <v>0.97</v>
      </c>
      <c r="AE59" s="6">
        <v>3.64</v>
      </c>
    </row>
    <row r="60" spans="1:31" x14ac:dyDescent="0.25">
      <c r="A60" t="s">
        <v>147</v>
      </c>
      <c r="B60" s="6">
        <v>0.51</v>
      </c>
      <c r="C60" s="6">
        <v>0.54</v>
      </c>
      <c r="D60" s="6">
        <v>0.54</v>
      </c>
      <c r="E60" s="6">
        <v>0.52</v>
      </c>
      <c r="F60" s="6">
        <v>2.12</v>
      </c>
      <c r="G60" s="6">
        <v>0.56999999999999995</v>
      </c>
      <c r="H60" s="6">
        <v>0.65</v>
      </c>
      <c r="I60" s="6">
        <v>0.6</v>
      </c>
      <c r="J60" s="6">
        <v>0.54</v>
      </c>
      <c r="K60" s="6">
        <v>2.34</v>
      </c>
      <c r="L60" s="6">
        <v>0.61</v>
      </c>
      <c r="M60" s="6">
        <v>0.68</v>
      </c>
      <c r="N60" s="6">
        <v>0.68</v>
      </c>
      <c r="O60" s="6">
        <v>0.61</v>
      </c>
      <c r="P60" s="6">
        <v>2.56</v>
      </c>
      <c r="Q60" s="6">
        <v>0.73</v>
      </c>
      <c r="R60" s="6">
        <v>0.78</v>
      </c>
      <c r="S60" s="6">
        <v>0.78</v>
      </c>
      <c r="T60" s="6">
        <v>0.73</v>
      </c>
      <c r="U60" s="6">
        <v>2.91</v>
      </c>
      <c r="V60" s="6">
        <v>0.86</v>
      </c>
      <c r="W60" s="6">
        <v>0.89</v>
      </c>
      <c r="X60" s="6">
        <v>0.91</v>
      </c>
      <c r="Y60" s="6">
        <v>0.85</v>
      </c>
      <c r="Z60" s="6">
        <v>3.24</v>
      </c>
      <c r="AA60" s="6">
        <v>1</v>
      </c>
      <c r="AB60" s="6">
        <v>1.02</v>
      </c>
      <c r="AC60" s="6">
        <v>1.06</v>
      </c>
      <c r="AD60" s="6">
        <v>1</v>
      </c>
      <c r="AE60" s="6">
        <v>3.72</v>
      </c>
    </row>
    <row r="61" spans="1:31" x14ac:dyDescent="0.25">
      <c r="A61" t="s">
        <v>148</v>
      </c>
      <c r="B61" s="6">
        <v>0.61</v>
      </c>
      <c r="C61" s="6">
        <v>0.62</v>
      </c>
      <c r="D61" s="6">
        <v>1.29</v>
      </c>
      <c r="E61" s="6">
        <v>0.53</v>
      </c>
      <c r="F61" s="6">
        <v>3.05</v>
      </c>
      <c r="G61" s="6">
        <v>0.54</v>
      </c>
      <c r="H61" s="6">
        <v>0.66</v>
      </c>
      <c r="I61" s="6">
        <v>0.6</v>
      </c>
      <c r="J61" s="6">
        <v>0.53</v>
      </c>
      <c r="K61" s="6">
        <v>2.33</v>
      </c>
      <c r="L61" s="6">
        <v>0.61</v>
      </c>
      <c r="M61" s="6">
        <v>0.68</v>
      </c>
      <c r="N61" s="6">
        <v>0.69</v>
      </c>
      <c r="O61" s="6">
        <v>0.59</v>
      </c>
      <c r="P61" s="6">
        <v>2.5499999999999998</v>
      </c>
      <c r="Q61" s="6">
        <v>0.7</v>
      </c>
      <c r="R61" s="6">
        <v>0.77</v>
      </c>
      <c r="S61" s="6">
        <v>0.77</v>
      </c>
      <c r="T61" s="6">
        <v>0.71</v>
      </c>
      <c r="U61" s="6">
        <v>2.91</v>
      </c>
      <c r="V61" s="6">
        <v>0.81</v>
      </c>
      <c r="W61" s="6">
        <v>0.88</v>
      </c>
      <c r="X61" s="6">
        <v>0.89</v>
      </c>
      <c r="Y61" s="6">
        <v>0.78</v>
      </c>
      <c r="Z61" s="6">
        <v>3.25</v>
      </c>
      <c r="AA61" s="6">
        <v>0.93</v>
      </c>
      <c r="AB61" s="6">
        <v>1</v>
      </c>
      <c r="AC61" s="6">
        <v>1.02</v>
      </c>
      <c r="AD61" s="6">
        <v>0.94</v>
      </c>
      <c r="AE61" s="6">
        <v>3.72</v>
      </c>
    </row>
    <row r="62" spans="1:31" x14ac:dyDescent="0.25">
      <c r="A62" t="s">
        <v>149</v>
      </c>
      <c r="B62" s="6">
        <v>0.51</v>
      </c>
      <c r="C62" s="6">
        <v>0.54</v>
      </c>
      <c r="D62" s="6">
        <v>0.54</v>
      </c>
      <c r="E62" s="6">
        <v>0.52</v>
      </c>
      <c r="F62" s="6">
        <v>2.12</v>
      </c>
      <c r="G62" s="6">
        <v>0.56999999999999995</v>
      </c>
      <c r="H62" s="6">
        <v>0.65</v>
      </c>
      <c r="I62" s="6">
        <v>0.6</v>
      </c>
      <c r="J62" s="6">
        <v>0.53</v>
      </c>
      <c r="K62" s="6">
        <v>2.35</v>
      </c>
      <c r="L62" s="6">
        <v>0.61</v>
      </c>
      <c r="M62" s="6">
        <v>0.68</v>
      </c>
      <c r="N62" s="6">
        <v>0.69</v>
      </c>
      <c r="O62" s="6">
        <v>0.61</v>
      </c>
      <c r="P62" s="6">
        <v>2.57</v>
      </c>
      <c r="Q62" s="6">
        <v>0.71</v>
      </c>
      <c r="R62" s="6">
        <v>0.78</v>
      </c>
      <c r="S62" s="6">
        <v>0.78</v>
      </c>
      <c r="T62" s="6">
        <v>0.71</v>
      </c>
      <c r="U62" s="6">
        <v>2.91</v>
      </c>
      <c r="V62" s="6">
        <v>0.82</v>
      </c>
      <c r="W62" s="6">
        <v>0.89</v>
      </c>
      <c r="X62" s="6">
        <v>0.89</v>
      </c>
      <c r="Y62" s="6">
        <v>0.84</v>
      </c>
      <c r="Z62" s="6">
        <v>3.28</v>
      </c>
      <c r="AA62" s="6">
        <v>0.94</v>
      </c>
      <c r="AB62" s="6">
        <v>1.01</v>
      </c>
      <c r="AC62" s="6">
        <v>1.02</v>
      </c>
      <c r="AD62" s="6">
        <v>0.94</v>
      </c>
      <c r="AE62" s="6">
        <v>3.75</v>
      </c>
    </row>
    <row r="63" spans="1:31" x14ac:dyDescent="0.25">
      <c r="A63" t="s">
        <v>150</v>
      </c>
      <c r="B63" s="6">
        <v>7213</v>
      </c>
      <c r="C63" s="6">
        <v>7209</v>
      </c>
      <c r="D63" s="6">
        <v>7156</v>
      </c>
      <c r="E63" s="6">
        <v>7098</v>
      </c>
      <c r="F63" s="6">
        <v>7169</v>
      </c>
      <c r="G63" s="6">
        <v>7017</v>
      </c>
      <c r="H63" s="6">
        <v>6938</v>
      </c>
      <c r="I63" s="6">
        <v>6841.93</v>
      </c>
      <c r="J63" s="6">
        <v>6741.83</v>
      </c>
      <c r="K63" s="6">
        <v>6883.3</v>
      </c>
      <c r="L63" s="6">
        <v>6658.86</v>
      </c>
      <c r="M63" s="6">
        <v>6586.67</v>
      </c>
      <c r="N63" s="6">
        <v>6515.65</v>
      </c>
      <c r="O63" s="6">
        <v>6444.79</v>
      </c>
      <c r="P63" s="6">
        <v>6566.05</v>
      </c>
      <c r="Q63" s="6">
        <v>6393.51</v>
      </c>
      <c r="R63" s="6">
        <v>6331.72</v>
      </c>
      <c r="S63" s="6">
        <v>6270.77</v>
      </c>
      <c r="T63" s="6">
        <v>6210.64</v>
      </c>
      <c r="U63" s="6">
        <v>6322.19</v>
      </c>
      <c r="V63" s="6">
        <v>6135.58</v>
      </c>
      <c r="W63" s="6">
        <v>6069.1</v>
      </c>
      <c r="X63" s="6">
        <v>6003.92</v>
      </c>
      <c r="Y63" s="6">
        <v>5940.02</v>
      </c>
      <c r="Z63" s="6">
        <v>6098.36</v>
      </c>
      <c r="AA63" s="6">
        <v>5877.38</v>
      </c>
      <c r="AB63" s="6">
        <v>5815.97</v>
      </c>
      <c r="AC63" s="6">
        <v>5755.78</v>
      </c>
      <c r="AD63" s="6">
        <v>5696.77</v>
      </c>
      <c r="AE63" s="6">
        <v>5866.78</v>
      </c>
    </row>
    <row r="64" spans="1:31" x14ac:dyDescent="0.25">
      <c r="A64" t="s">
        <v>151</v>
      </c>
      <c r="B64" s="6">
        <v>7223</v>
      </c>
      <c r="C64" s="6">
        <v>7219</v>
      </c>
      <c r="D64" s="6">
        <v>7169</v>
      </c>
      <c r="E64" s="6">
        <v>7108</v>
      </c>
      <c r="F64" s="6">
        <v>7179.75</v>
      </c>
      <c r="G64" s="6">
        <v>7027</v>
      </c>
      <c r="H64" s="6">
        <v>6946</v>
      </c>
      <c r="I64" s="6">
        <v>6846.15</v>
      </c>
      <c r="J64" s="6">
        <v>6747.38</v>
      </c>
      <c r="K64" s="6">
        <v>6881.37</v>
      </c>
      <c r="L64" s="6">
        <v>6662.66</v>
      </c>
      <c r="M64" s="6">
        <v>6589.06</v>
      </c>
      <c r="N64" s="6">
        <v>6516.89</v>
      </c>
      <c r="O64" s="6">
        <v>6444.83</v>
      </c>
      <c r="P64" s="6">
        <v>6569.89</v>
      </c>
      <c r="Q64" s="6">
        <v>6358.91</v>
      </c>
      <c r="R64" s="6">
        <v>6295.24</v>
      </c>
      <c r="S64" s="6">
        <v>6232.56</v>
      </c>
      <c r="T64" s="6">
        <v>6170.85</v>
      </c>
      <c r="U64" s="6">
        <v>6303.07</v>
      </c>
      <c r="V64" s="6">
        <v>6079.38</v>
      </c>
      <c r="W64" s="6">
        <v>6015.86</v>
      </c>
      <c r="X64" s="6">
        <v>5953.7</v>
      </c>
      <c r="Y64" s="6">
        <v>5889.58</v>
      </c>
      <c r="Z64" s="6">
        <v>6039.08</v>
      </c>
      <c r="AA64" s="6">
        <v>5823.75</v>
      </c>
      <c r="AB64" s="6">
        <v>5759.2</v>
      </c>
      <c r="AC64" s="6">
        <v>5698.92</v>
      </c>
      <c r="AD64" s="6">
        <v>5639.87</v>
      </c>
      <c r="AE64" s="6">
        <v>5777.97</v>
      </c>
    </row>
    <row r="65" spans="1:31" x14ac:dyDescent="0.25">
      <c r="A65" t="s">
        <v>152</v>
      </c>
      <c r="B65" s="6">
        <v>0.28000000000000003</v>
      </c>
      <c r="C65" s="6">
        <v>0.28000000000000003</v>
      </c>
      <c r="D65" s="6">
        <v>0.28000000000000003</v>
      </c>
      <c r="E65" s="6">
        <v>0.28000000000000003</v>
      </c>
      <c r="F65" s="6">
        <v>1.1100000000000001</v>
      </c>
      <c r="G65" s="6">
        <v>0.28000000000000003</v>
      </c>
      <c r="H65" s="6">
        <v>0.28000000000000003</v>
      </c>
      <c r="I65" s="6">
        <v>0.28000000000000003</v>
      </c>
      <c r="J65" s="6">
        <v>0.28000000000000003</v>
      </c>
      <c r="K65" s="6">
        <v>1.1100000000000001</v>
      </c>
      <c r="L65" s="6">
        <v>0.28000000000000003</v>
      </c>
      <c r="M65" s="6">
        <v>0.28000000000000003</v>
      </c>
      <c r="N65" s="6">
        <v>0.28000000000000003</v>
      </c>
      <c r="O65" s="6">
        <v>0.28000000000000003</v>
      </c>
      <c r="P65" s="6">
        <v>1.1100000000000001</v>
      </c>
      <c r="Q65" s="6">
        <v>0.28000000000000003</v>
      </c>
      <c r="R65" s="6">
        <v>0.28000000000000003</v>
      </c>
      <c r="S65" s="6">
        <v>0.28000000000000003</v>
      </c>
      <c r="T65" s="6">
        <v>0.28000000000000003</v>
      </c>
      <c r="U65" s="6">
        <v>1.1200000000000001</v>
      </c>
      <c r="V65" s="6">
        <v>0.28000000000000003</v>
      </c>
      <c r="W65" s="6">
        <v>0.28000000000000003</v>
      </c>
      <c r="X65" s="6">
        <v>0.28000000000000003</v>
      </c>
      <c r="Y65" s="6">
        <v>0.28000000000000003</v>
      </c>
      <c r="Z65" s="6">
        <v>1.1299999999999999</v>
      </c>
      <c r="AA65" s="6">
        <v>0.28000000000000003</v>
      </c>
      <c r="AB65" s="6">
        <v>0.28000000000000003</v>
      </c>
      <c r="AC65" s="6">
        <v>0.28000000000000003</v>
      </c>
      <c r="AD65" s="6">
        <v>0.28999999999999998</v>
      </c>
      <c r="AE65" s="6">
        <v>1.1399999999999999</v>
      </c>
    </row>
    <row r="66" spans="1:31" x14ac:dyDescent="0.25">
      <c r="A66" t="s">
        <v>77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x14ac:dyDescent="0.25">
      <c r="A67" t="s">
        <v>153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x14ac:dyDescent="0.25">
      <c r="A68" t="s">
        <v>154</v>
      </c>
      <c r="B68" s="6">
        <v>0.61</v>
      </c>
      <c r="C68" s="6">
        <v>0.62</v>
      </c>
      <c r="D68" s="6">
        <v>1.29</v>
      </c>
      <c r="E68" s="6">
        <v>0.53</v>
      </c>
      <c r="F68" s="6">
        <v>3.05</v>
      </c>
      <c r="G68" s="6">
        <v>0.54</v>
      </c>
      <c r="H68" s="6">
        <v>0.66</v>
      </c>
      <c r="I68" s="6">
        <v>0.59</v>
      </c>
      <c r="J68" s="6">
        <v>0.51</v>
      </c>
      <c r="K68" s="6">
        <v>2.2999999999999998</v>
      </c>
      <c r="L68" s="6">
        <v>0.61</v>
      </c>
      <c r="M68" s="6">
        <v>0.67</v>
      </c>
      <c r="N68" s="6">
        <v>0.67</v>
      </c>
      <c r="O68" s="6">
        <v>0.59</v>
      </c>
      <c r="P68" s="6">
        <v>2.5099999999999998</v>
      </c>
      <c r="Q68" s="6">
        <v>0.73</v>
      </c>
      <c r="R68" s="6">
        <v>0.78</v>
      </c>
      <c r="S68" s="6">
        <v>0.79</v>
      </c>
      <c r="T68" s="6">
        <v>0.71</v>
      </c>
      <c r="U68" s="6">
        <v>2.85</v>
      </c>
      <c r="V68" s="6">
        <v>0.85</v>
      </c>
      <c r="W68" s="6">
        <v>0.92</v>
      </c>
      <c r="X68" s="6">
        <v>0.92</v>
      </c>
      <c r="Y68" s="6">
        <v>0.83</v>
      </c>
      <c r="Z68" s="6">
        <v>3.21</v>
      </c>
      <c r="AA68" s="6">
        <v>0.98</v>
      </c>
      <c r="AB68" s="6">
        <v>1.06</v>
      </c>
      <c r="AC68" s="6">
        <v>1.05</v>
      </c>
      <c r="AD68" s="6">
        <v>0.95</v>
      </c>
      <c r="AE68" s="6">
        <v>3.66</v>
      </c>
    </row>
    <row r="69" spans="1:31" x14ac:dyDescent="0.25">
      <c r="A69" t="s">
        <v>155</v>
      </c>
      <c r="B69" s="6">
        <v>0.51</v>
      </c>
      <c r="C69" s="6">
        <v>0.54</v>
      </c>
      <c r="D69" s="6">
        <v>0.59</v>
      </c>
      <c r="E69" s="6">
        <v>0.52</v>
      </c>
      <c r="F69" s="6">
        <v>2.12</v>
      </c>
      <c r="G69" s="6">
        <v>0.56999999999999995</v>
      </c>
      <c r="H69" s="6">
        <v>0.64</v>
      </c>
      <c r="I69" s="6">
        <v>0.61</v>
      </c>
      <c r="J69" s="6">
        <v>0.53</v>
      </c>
      <c r="K69" s="6">
        <v>2.35</v>
      </c>
      <c r="L69" s="6">
        <v>0.61</v>
      </c>
      <c r="M69" s="6">
        <v>0.71</v>
      </c>
      <c r="N69" s="6">
        <v>0.7</v>
      </c>
      <c r="O69" s="6">
        <v>0.62</v>
      </c>
      <c r="P69" s="6">
        <v>2.5499999999999998</v>
      </c>
      <c r="Q69" s="6">
        <v>0.74</v>
      </c>
      <c r="R69" s="6">
        <v>0.81</v>
      </c>
      <c r="S69" s="6">
        <v>0.81</v>
      </c>
      <c r="T69" s="6">
        <v>0.72</v>
      </c>
      <c r="U69" s="6">
        <v>2.92</v>
      </c>
      <c r="V69" s="6">
        <v>0.85</v>
      </c>
      <c r="W69" s="6">
        <v>0.92</v>
      </c>
      <c r="X69" s="6">
        <v>0.92</v>
      </c>
      <c r="Y69" s="6">
        <v>0.83</v>
      </c>
      <c r="Z69" s="6">
        <v>3.33</v>
      </c>
      <c r="AA69" s="6">
        <v>0.98</v>
      </c>
      <c r="AB69" s="6">
        <v>1.06</v>
      </c>
      <c r="AC69" s="6">
        <v>1.05</v>
      </c>
      <c r="AD69" s="6">
        <v>0.95</v>
      </c>
      <c r="AE69" s="6">
        <v>3.84</v>
      </c>
    </row>
    <row r="70" spans="1:31" x14ac:dyDescent="0.25">
      <c r="A70" t="s">
        <v>156</v>
      </c>
      <c r="B70" s="6">
        <v>0.51</v>
      </c>
      <c r="C70" s="6">
        <v>0.54</v>
      </c>
      <c r="D70" s="6">
        <v>0.54</v>
      </c>
      <c r="E70" s="6">
        <v>0.52</v>
      </c>
      <c r="F70" s="6">
        <v>2.12</v>
      </c>
      <c r="G70" s="6">
        <v>0.56999999999999995</v>
      </c>
      <c r="H70" s="6">
        <v>0.65</v>
      </c>
      <c r="I70" s="6">
        <v>0.59</v>
      </c>
      <c r="J70" s="6">
        <v>0.48</v>
      </c>
      <c r="K70" s="6">
        <v>2.29</v>
      </c>
      <c r="L70" s="6">
        <v>0.65</v>
      </c>
      <c r="M70" s="6">
        <v>0.66</v>
      </c>
      <c r="N70" s="6">
        <v>0.68</v>
      </c>
      <c r="O70" s="6">
        <v>0.56000000000000005</v>
      </c>
      <c r="P70" s="6">
        <v>2.5499999999999998</v>
      </c>
      <c r="Q70" s="7" t="s">
        <v>104</v>
      </c>
      <c r="R70" s="7" t="s">
        <v>104</v>
      </c>
      <c r="S70" s="7" t="s">
        <v>104</v>
      </c>
      <c r="T70" s="7" t="s">
        <v>104</v>
      </c>
      <c r="U70" s="6">
        <v>2.83</v>
      </c>
      <c r="V70" s="7" t="s">
        <v>104</v>
      </c>
      <c r="W70" s="7" t="s">
        <v>104</v>
      </c>
      <c r="X70" s="7" t="s">
        <v>104</v>
      </c>
      <c r="Y70" s="7" t="s">
        <v>104</v>
      </c>
      <c r="Z70" s="6">
        <v>3.05</v>
      </c>
      <c r="AA70" s="7" t="s">
        <v>104</v>
      </c>
      <c r="AB70" s="7" t="s">
        <v>104</v>
      </c>
      <c r="AC70" s="7" t="s">
        <v>104</v>
      </c>
      <c r="AD70" s="7" t="s">
        <v>104</v>
      </c>
      <c r="AE70" s="6">
        <v>3.32</v>
      </c>
    </row>
    <row r="71" spans="1:31" x14ac:dyDescent="0.25">
      <c r="A71" t="s">
        <v>157</v>
      </c>
      <c r="B71" s="6">
        <v>7223</v>
      </c>
      <c r="C71" s="6">
        <v>7219</v>
      </c>
      <c r="D71" s="6">
        <v>7169</v>
      </c>
      <c r="E71" s="6">
        <v>7108</v>
      </c>
      <c r="F71" s="6">
        <v>7179.75</v>
      </c>
      <c r="G71" s="6">
        <v>7027</v>
      </c>
      <c r="H71" s="6">
        <v>6946</v>
      </c>
      <c r="I71" s="6">
        <v>6846.16</v>
      </c>
      <c r="J71" s="6">
        <v>6738.87</v>
      </c>
      <c r="K71" s="6">
        <v>6889.51</v>
      </c>
      <c r="L71" s="6">
        <v>6642.55</v>
      </c>
      <c r="M71" s="6">
        <v>6559.25</v>
      </c>
      <c r="N71" s="6">
        <v>6477.56</v>
      </c>
      <c r="O71" s="6">
        <v>6397.31</v>
      </c>
      <c r="P71" s="6">
        <v>6562.53</v>
      </c>
      <c r="Q71" s="6">
        <v>6261.88</v>
      </c>
      <c r="R71" s="6">
        <v>6192.2</v>
      </c>
      <c r="S71" s="6">
        <v>6123.68</v>
      </c>
      <c r="T71" s="6">
        <v>6056.29</v>
      </c>
      <c r="U71" s="6">
        <v>6296.26</v>
      </c>
      <c r="V71" s="6">
        <v>5894.42</v>
      </c>
      <c r="W71" s="6">
        <v>5832.61</v>
      </c>
      <c r="X71" s="6">
        <v>5772.29</v>
      </c>
      <c r="Y71" s="6">
        <v>5705.21</v>
      </c>
      <c r="Z71" s="6">
        <v>6049.43</v>
      </c>
      <c r="AA71" s="6">
        <v>5632.06</v>
      </c>
      <c r="AB71" s="6">
        <v>5560.33</v>
      </c>
      <c r="AC71" s="6">
        <v>5497.51</v>
      </c>
      <c r="AD71" s="6">
        <v>5436.03</v>
      </c>
      <c r="AE71" s="6">
        <v>5820.57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8F0C-D578-49E3-8287-82CD6558DE17}">
  <dimension ref="A1:AE67"/>
  <sheetViews>
    <sheetView workbookViewId="0">
      <selection sqref="A1:D1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158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159</v>
      </c>
      <c r="B16" s="6">
        <v>4692</v>
      </c>
      <c r="C16" s="6">
        <v>4861</v>
      </c>
      <c r="D16" s="6">
        <v>9677</v>
      </c>
      <c r="E16" s="6">
        <v>4156</v>
      </c>
      <c r="F16" s="6">
        <v>23386</v>
      </c>
      <c r="G16" s="6">
        <v>4219</v>
      </c>
      <c r="H16" s="6">
        <v>5038</v>
      </c>
      <c r="I16" s="6">
        <v>4406.37</v>
      </c>
      <c r="J16" s="6">
        <v>3785.31</v>
      </c>
      <c r="K16" s="6">
        <v>17406.650000000001</v>
      </c>
      <c r="L16" s="6">
        <v>4384.82</v>
      </c>
      <c r="M16" s="6">
        <v>4841.97</v>
      </c>
      <c r="N16" s="6">
        <v>4814.6099999999997</v>
      </c>
      <c r="O16" s="6">
        <v>4070.42</v>
      </c>
      <c r="P16" s="6">
        <v>18033.47</v>
      </c>
      <c r="Q16" s="6">
        <v>4874.4399999999996</v>
      </c>
      <c r="R16" s="6">
        <v>5236.46</v>
      </c>
      <c r="S16" s="6">
        <v>5195.93</v>
      </c>
      <c r="T16" s="6">
        <v>4748.6499999999996</v>
      </c>
      <c r="U16" s="6">
        <v>19725.560000000001</v>
      </c>
      <c r="V16" s="6">
        <v>5321.4</v>
      </c>
      <c r="W16" s="6">
        <v>5686.98</v>
      </c>
      <c r="X16" s="6">
        <v>5696.59</v>
      </c>
      <c r="Y16" s="6">
        <v>4996.1000000000004</v>
      </c>
      <c r="Z16" s="6">
        <v>21184.5</v>
      </c>
      <c r="AA16" s="6">
        <v>5838.08</v>
      </c>
      <c r="AB16" s="6">
        <v>6194.94</v>
      </c>
      <c r="AC16" s="6">
        <v>6205.71</v>
      </c>
      <c r="AD16" s="6">
        <v>5719.98</v>
      </c>
      <c r="AE16" s="6">
        <v>23228.880000000001</v>
      </c>
    </row>
    <row r="17" spans="1:31" x14ac:dyDescent="0.25">
      <c r="A17" t="s">
        <v>160</v>
      </c>
      <c r="B17" s="6">
        <v>5190</v>
      </c>
      <c r="C17" s="6">
        <v>5251</v>
      </c>
      <c r="D17" s="6">
        <v>5317</v>
      </c>
      <c r="E17" s="6">
        <v>5128</v>
      </c>
      <c r="F17" s="6">
        <v>20886</v>
      </c>
      <c r="G17" s="6">
        <v>4966</v>
      </c>
      <c r="H17" s="6">
        <v>4966</v>
      </c>
      <c r="I17" s="6">
        <v>5063.3599999999997</v>
      </c>
      <c r="J17" s="6">
        <v>5131.84</v>
      </c>
      <c r="K17" s="6">
        <v>20192.490000000002</v>
      </c>
      <c r="L17" s="6">
        <v>5044.0600000000004</v>
      </c>
      <c r="M17" s="6">
        <v>5042.7</v>
      </c>
      <c r="N17" s="6">
        <v>5125.05</v>
      </c>
      <c r="O17" s="6">
        <v>5176.29</v>
      </c>
      <c r="P17" s="6">
        <v>20342.64</v>
      </c>
      <c r="Q17" s="6">
        <v>5063.17</v>
      </c>
      <c r="R17" s="6">
        <v>5051.5600000000004</v>
      </c>
      <c r="S17" s="6">
        <v>5167.55</v>
      </c>
      <c r="T17" s="6">
        <v>5159.51</v>
      </c>
      <c r="U17" s="6">
        <v>20473.75</v>
      </c>
      <c r="V17" s="6">
        <v>5147.1099999999997</v>
      </c>
      <c r="W17" s="6">
        <v>5135.96</v>
      </c>
      <c r="X17" s="6">
        <v>5273.2</v>
      </c>
      <c r="Y17" s="6">
        <v>5244.16</v>
      </c>
      <c r="Z17" s="6">
        <v>20809.45</v>
      </c>
      <c r="AA17" s="6">
        <v>5223.84</v>
      </c>
      <c r="AB17" s="6">
        <v>5206.5600000000004</v>
      </c>
      <c r="AC17" s="6">
        <v>5350.3</v>
      </c>
      <c r="AD17" s="6">
        <v>5307.49</v>
      </c>
      <c r="AE17" s="6">
        <v>21044.54</v>
      </c>
    </row>
    <row r="18" spans="1:31" x14ac:dyDescent="0.25">
      <c r="A18" t="s">
        <v>161</v>
      </c>
      <c r="B18" s="6">
        <v>81</v>
      </c>
      <c r="C18" s="6">
        <v>-112</v>
      </c>
      <c r="D18" s="6">
        <v>-5691</v>
      </c>
      <c r="E18" s="6">
        <v>-167</v>
      </c>
      <c r="F18" s="6">
        <v>-5889</v>
      </c>
      <c r="G18" s="6">
        <v>28</v>
      </c>
      <c r="H18" s="6">
        <v>-198</v>
      </c>
      <c r="I18" s="7" t="s">
        <v>104</v>
      </c>
      <c r="J18" s="7" t="s">
        <v>104</v>
      </c>
      <c r="K18" s="6">
        <v>-170</v>
      </c>
      <c r="L18" s="7" t="s">
        <v>104</v>
      </c>
      <c r="M18" s="7" t="s">
        <v>104</v>
      </c>
      <c r="N18" s="7" t="s">
        <v>104</v>
      </c>
      <c r="O18" s="7" t="s">
        <v>104</v>
      </c>
      <c r="P18" s="6">
        <v>-170</v>
      </c>
      <c r="Q18" s="7" t="s">
        <v>104</v>
      </c>
      <c r="R18" s="7" t="s">
        <v>104</v>
      </c>
      <c r="S18" s="7" t="s">
        <v>104</v>
      </c>
      <c r="T18" s="7" t="s">
        <v>104</v>
      </c>
      <c r="U18" s="6">
        <v>-170</v>
      </c>
      <c r="V18" s="7" t="s">
        <v>104</v>
      </c>
      <c r="W18" s="7" t="s">
        <v>104</v>
      </c>
      <c r="X18" s="7" t="s">
        <v>104</v>
      </c>
      <c r="Y18" s="7" t="s">
        <v>104</v>
      </c>
      <c r="Z18" s="6">
        <v>-170</v>
      </c>
      <c r="AA18" s="7" t="s">
        <v>104</v>
      </c>
      <c r="AB18" s="7" t="s">
        <v>104</v>
      </c>
      <c r="AC18" s="7" t="s">
        <v>104</v>
      </c>
      <c r="AD18" s="7" t="s">
        <v>104</v>
      </c>
      <c r="AE18" s="6">
        <v>-170</v>
      </c>
    </row>
    <row r="19" spans="1:31" x14ac:dyDescent="0.25">
      <c r="A19" t="s">
        <v>162</v>
      </c>
      <c r="B19" s="6">
        <v>516</v>
      </c>
      <c r="C19" s="6">
        <v>521</v>
      </c>
      <c r="D19" s="6">
        <v>555</v>
      </c>
      <c r="E19" s="6">
        <v>679</v>
      </c>
      <c r="F19" s="6">
        <v>2271</v>
      </c>
      <c r="G19" s="6">
        <v>560</v>
      </c>
      <c r="H19" s="6">
        <v>589</v>
      </c>
      <c r="I19" s="6">
        <v>588.97</v>
      </c>
      <c r="J19" s="6">
        <v>632.38</v>
      </c>
      <c r="K19" s="6">
        <v>2283.8200000000002</v>
      </c>
      <c r="L19" s="6">
        <v>566.03</v>
      </c>
      <c r="M19" s="6">
        <v>572.02</v>
      </c>
      <c r="N19" s="6">
        <v>566.88</v>
      </c>
      <c r="O19" s="6">
        <v>600.16</v>
      </c>
      <c r="P19" s="6">
        <v>2298.11</v>
      </c>
      <c r="Q19" s="6">
        <v>569.28</v>
      </c>
      <c r="R19" s="6">
        <v>577.11</v>
      </c>
      <c r="S19" s="6">
        <v>570.45000000000005</v>
      </c>
      <c r="T19" s="6">
        <v>607.49</v>
      </c>
      <c r="U19" s="6">
        <v>2323.65</v>
      </c>
      <c r="V19" s="6">
        <v>586.91</v>
      </c>
      <c r="W19" s="6">
        <v>598.87</v>
      </c>
      <c r="X19" s="6">
        <v>589.26</v>
      </c>
      <c r="Y19" s="6">
        <v>640.45000000000005</v>
      </c>
      <c r="Z19" s="6">
        <v>2384.1799999999998</v>
      </c>
      <c r="AA19" s="6">
        <v>596.4</v>
      </c>
      <c r="AB19" s="6">
        <v>608.41</v>
      </c>
      <c r="AC19" s="6">
        <v>599.53</v>
      </c>
      <c r="AD19" s="6">
        <v>650.66999999999996</v>
      </c>
      <c r="AE19" s="6">
        <v>2423.44</v>
      </c>
    </row>
    <row r="20" spans="1:31" x14ac:dyDescent="0.25">
      <c r="A20" t="s">
        <v>163</v>
      </c>
      <c r="B20" s="6">
        <v>1285</v>
      </c>
      <c r="C20" s="6">
        <v>378</v>
      </c>
      <c r="D20" s="6">
        <v>946</v>
      </c>
      <c r="E20" s="6">
        <v>-383</v>
      </c>
      <c r="F20" s="6">
        <v>2226</v>
      </c>
      <c r="G20" s="6">
        <v>1147</v>
      </c>
      <c r="H20" s="6">
        <v>682</v>
      </c>
      <c r="I20" s="6">
        <v>821.86</v>
      </c>
      <c r="J20" s="6">
        <v>638.38</v>
      </c>
      <c r="K20" s="6">
        <v>3036.69</v>
      </c>
      <c r="L20" s="6">
        <v>908.21</v>
      </c>
      <c r="M20" s="6">
        <v>771.71</v>
      </c>
      <c r="N20" s="6">
        <v>1102.31</v>
      </c>
      <c r="O20" s="6">
        <v>593.04999999999995</v>
      </c>
      <c r="P20" s="6">
        <v>3244.01</v>
      </c>
      <c r="Q20" s="6">
        <v>859.73</v>
      </c>
      <c r="R20" s="6">
        <v>624.05999999999995</v>
      </c>
      <c r="S20" s="6">
        <v>1155.07</v>
      </c>
      <c r="T20" s="6">
        <v>663.05</v>
      </c>
      <c r="U20" s="6">
        <v>3397.52</v>
      </c>
      <c r="V20" s="6">
        <v>748.92</v>
      </c>
      <c r="W20" s="6">
        <v>357.6</v>
      </c>
      <c r="X20" s="6">
        <v>795.37</v>
      </c>
      <c r="Y20" s="6">
        <v>491.19</v>
      </c>
      <c r="Z20" s="6">
        <v>2971.9</v>
      </c>
      <c r="AA20" s="6">
        <v>730.62</v>
      </c>
      <c r="AB20" s="6">
        <v>168.11</v>
      </c>
      <c r="AC20" s="6">
        <v>769.92</v>
      </c>
      <c r="AD20" s="6">
        <v>456.75</v>
      </c>
      <c r="AE20" s="6">
        <v>2594.89</v>
      </c>
    </row>
    <row r="21" spans="1:31" x14ac:dyDescent="0.25">
      <c r="A21" t="s">
        <v>164</v>
      </c>
      <c r="B21" s="7" t="s">
        <v>104</v>
      </c>
      <c r="C21" s="7" t="s">
        <v>104</v>
      </c>
      <c r="D21" s="7" t="s">
        <v>104</v>
      </c>
      <c r="E21" s="7" t="s">
        <v>104</v>
      </c>
      <c r="F21" s="7" t="s">
        <v>104</v>
      </c>
      <c r="G21" s="7" t="s">
        <v>104</v>
      </c>
      <c r="H21" s="7" t="s">
        <v>104</v>
      </c>
      <c r="I21" s="7" t="s">
        <v>104</v>
      </c>
      <c r="J21" s="7" t="s">
        <v>104</v>
      </c>
      <c r="K21" s="7" t="s">
        <v>104</v>
      </c>
      <c r="L21" s="7" t="s">
        <v>104</v>
      </c>
      <c r="M21" s="7" t="s">
        <v>104</v>
      </c>
      <c r="N21" s="7" t="s">
        <v>104</v>
      </c>
      <c r="O21" s="7" t="s">
        <v>104</v>
      </c>
      <c r="P21" s="7" t="s">
        <v>104</v>
      </c>
      <c r="Q21" s="7" t="s">
        <v>104</v>
      </c>
      <c r="R21" s="7" t="s">
        <v>104</v>
      </c>
      <c r="S21" s="7" t="s">
        <v>104</v>
      </c>
      <c r="T21" s="7" t="s">
        <v>104</v>
      </c>
      <c r="U21" s="7" t="s">
        <v>104</v>
      </c>
      <c r="V21" s="7" t="s">
        <v>104</v>
      </c>
      <c r="W21" s="7" t="s">
        <v>104</v>
      </c>
      <c r="X21" s="7" t="s">
        <v>104</v>
      </c>
      <c r="Y21" s="7" t="s">
        <v>104</v>
      </c>
      <c r="Z21" s="7" t="s">
        <v>104</v>
      </c>
      <c r="AA21" s="7" t="s">
        <v>104</v>
      </c>
      <c r="AB21" s="7" t="s">
        <v>104</v>
      </c>
      <c r="AC21" s="7" t="s">
        <v>104</v>
      </c>
      <c r="AD21" s="7" t="s">
        <v>104</v>
      </c>
      <c r="AE21" s="7" t="s">
        <v>104</v>
      </c>
    </row>
    <row r="22" spans="1:31" x14ac:dyDescent="0.25">
      <c r="A22" t="s">
        <v>165</v>
      </c>
      <c r="B22" s="6">
        <v>81</v>
      </c>
      <c r="C22" s="6">
        <v>-112</v>
      </c>
      <c r="D22" s="6">
        <v>-5691</v>
      </c>
      <c r="E22" s="6">
        <v>-167</v>
      </c>
      <c r="F22" s="6">
        <v>-5889</v>
      </c>
      <c r="G22" s="6">
        <v>28</v>
      </c>
      <c r="H22" s="6">
        <v>-198</v>
      </c>
      <c r="I22" s="6">
        <v>-198</v>
      </c>
      <c r="J22" s="6">
        <v>-198</v>
      </c>
      <c r="K22" s="6">
        <v>-219.5</v>
      </c>
      <c r="L22" s="6">
        <v>-198</v>
      </c>
      <c r="M22" s="6">
        <v>-198</v>
      </c>
      <c r="N22" s="6">
        <v>-198</v>
      </c>
      <c r="O22" s="6">
        <v>-198</v>
      </c>
      <c r="P22" s="6">
        <v>-792</v>
      </c>
      <c r="Q22" s="6">
        <v>-198</v>
      </c>
      <c r="R22" s="6">
        <v>-198</v>
      </c>
      <c r="S22" s="6">
        <v>-198</v>
      </c>
      <c r="T22" s="6">
        <v>-198</v>
      </c>
      <c r="U22" s="6">
        <v>-792</v>
      </c>
      <c r="V22" s="7" t="s">
        <v>104</v>
      </c>
      <c r="W22" s="7" t="s">
        <v>104</v>
      </c>
      <c r="X22" s="7" t="s">
        <v>104</v>
      </c>
      <c r="Y22" s="7" t="s">
        <v>104</v>
      </c>
      <c r="Z22" s="7" t="s">
        <v>104</v>
      </c>
      <c r="AA22" s="7" t="s">
        <v>104</v>
      </c>
      <c r="AB22" s="7" t="s">
        <v>104</v>
      </c>
      <c r="AC22" s="7" t="s">
        <v>104</v>
      </c>
      <c r="AD22" s="7" t="s">
        <v>104</v>
      </c>
      <c r="AE22" s="7" t="s">
        <v>104</v>
      </c>
    </row>
    <row r="23" spans="1:31" x14ac:dyDescent="0.25">
      <c r="A23" t="s">
        <v>166</v>
      </c>
      <c r="B23" s="6">
        <v>15</v>
      </c>
      <c r="C23" s="6">
        <v>-262</v>
      </c>
      <c r="D23" s="6">
        <v>-366</v>
      </c>
      <c r="E23" s="6">
        <v>-913</v>
      </c>
      <c r="F23" s="6">
        <v>-1526</v>
      </c>
      <c r="G23" s="6">
        <v>-119</v>
      </c>
      <c r="H23" s="6">
        <v>-299</v>
      </c>
      <c r="I23" s="6">
        <v>-343.27</v>
      </c>
      <c r="J23" s="6">
        <v>-533.63</v>
      </c>
      <c r="K23" s="6">
        <v>-1250.55</v>
      </c>
      <c r="L23" s="6">
        <v>160.78</v>
      </c>
      <c r="M23" s="6">
        <v>-307.20999999999998</v>
      </c>
      <c r="N23" s="6">
        <v>-130.02000000000001</v>
      </c>
      <c r="O23" s="6">
        <v>-779.61</v>
      </c>
      <c r="P23" s="6">
        <v>-1118.99</v>
      </c>
      <c r="Q23" s="6">
        <v>276.39</v>
      </c>
      <c r="R23" s="6">
        <v>-233.58</v>
      </c>
      <c r="S23" s="6">
        <v>-21.08</v>
      </c>
      <c r="T23" s="6">
        <v>-693.48</v>
      </c>
      <c r="U23" s="6">
        <v>-1130.79</v>
      </c>
      <c r="V23" s="6">
        <v>931.29</v>
      </c>
      <c r="W23" s="6">
        <v>-291.89999999999998</v>
      </c>
      <c r="X23" s="6">
        <v>0.79</v>
      </c>
      <c r="Y23" s="6">
        <v>-907.6</v>
      </c>
      <c r="Z23" s="6">
        <v>-995.56</v>
      </c>
      <c r="AA23" s="6">
        <v>937.71</v>
      </c>
      <c r="AB23" s="6">
        <v>-287.31</v>
      </c>
      <c r="AC23" s="6">
        <v>15.41</v>
      </c>
      <c r="AD23" s="6">
        <v>-919.19</v>
      </c>
      <c r="AE23" s="6">
        <v>-1130.6500000000001</v>
      </c>
    </row>
    <row r="24" spans="1:31" x14ac:dyDescent="0.25">
      <c r="A24" t="s">
        <v>167</v>
      </c>
      <c r="B24" s="6">
        <v>404</v>
      </c>
      <c r="C24" s="6">
        <v>95</v>
      </c>
      <c r="D24" s="6">
        <v>-2127</v>
      </c>
      <c r="E24" s="6">
        <v>284</v>
      </c>
      <c r="F24" s="6">
        <v>-1344</v>
      </c>
      <c r="G24" s="6">
        <v>-245</v>
      </c>
      <c r="H24" s="6">
        <v>-75</v>
      </c>
      <c r="I24" s="6">
        <v>-291.08</v>
      </c>
      <c r="J24" s="6">
        <v>1333.87</v>
      </c>
      <c r="K24" s="6">
        <v>546.57000000000005</v>
      </c>
      <c r="L24" s="6">
        <v>-1970.39</v>
      </c>
      <c r="M24" s="6">
        <v>503.32</v>
      </c>
      <c r="N24" s="6">
        <v>-459.23</v>
      </c>
      <c r="O24" s="6">
        <v>1155.76</v>
      </c>
      <c r="P24" s="6">
        <v>-323.58999999999997</v>
      </c>
      <c r="Q24" s="6">
        <v>-2021.13</v>
      </c>
      <c r="R24" s="6">
        <v>535.82000000000005</v>
      </c>
      <c r="S24" s="6">
        <v>-580.51</v>
      </c>
      <c r="T24" s="6">
        <v>1559.92</v>
      </c>
      <c r="U24" s="6">
        <v>-185.72</v>
      </c>
      <c r="V24" s="6">
        <v>-3167.56</v>
      </c>
      <c r="W24" s="6">
        <v>643.32000000000005</v>
      </c>
      <c r="X24" s="6">
        <v>-794.45</v>
      </c>
      <c r="Y24" s="6">
        <v>2073.41</v>
      </c>
      <c r="Z24" s="6">
        <v>-763.66</v>
      </c>
      <c r="AA24" s="6">
        <v>-3557.72</v>
      </c>
      <c r="AB24" s="6">
        <v>716.88</v>
      </c>
      <c r="AC24" s="6">
        <v>-1094.1600000000001</v>
      </c>
      <c r="AD24" s="6">
        <v>2160.23</v>
      </c>
      <c r="AE24" s="6">
        <v>-1102.54</v>
      </c>
    </row>
    <row r="25" spans="1:31" x14ac:dyDescent="0.25">
      <c r="A25" t="s">
        <v>168</v>
      </c>
      <c r="B25" s="6">
        <v>-3297</v>
      </c>
      <c r="C25" s="6">
        <v>-1143</v>
      </c>
      <c r="D25" s="6">
        <v>2411</v>
      </c>
      <c r="E25" s="6">
        <v>2913</v>
      </c>
      <c r="F25" s="6">
        <v>884</v>
      </c>
      <c r="G25" s="6">
        <v>-2770</v>
      </c>
      <c r="H25" s="6">
        <v>205</v>
      </c>
      <c r="I25" s="6">
        <v>274.77</v>
      </c>
      <c r="J25" s="6">
        <v>1737.44</v>
      </c>
      <c r="K25" s="6">
        <v>-720.89</v>
      </c>
      <c r="L25" s="6">
        <v>-1394.11</v>
      </c>
      <c r="M25" s="6">
        <v>-46.09</v>
      </c>
      <c r="N25" s="6">
        <v>287.52999999999997</v>
      </c>
      <c r="O25" s="6">
        <v>2074.94</v>
      </c>
      <c r="P25" s="6">
        <v>769.69</v>
      </c>
      <c r="Q25" s="6">
        <v>-1498.47</v>
      </c>
      <c r="R25" s="6">
        <v>-196.27</v>
      </c>
      <c r="S25" s="6">
        <v>548.24</v>
      </c>
      <c r="T25" s="6">
        <v>1583.93</v>
      </c>
      <c r="U25" s="6">
        <v>264.88</v>
      </c>
      <c r="V25" s="6">
        <v>-732.8</v>
      </c>
      <c r="W25" s="6">
        <v>-113.72</v>
      </c>
      <c r="X25" s="6">
        <v>738.15</v>
      </c>
      <c r="Y25" s="6">
        <v>1338.66</v>
      </c>
      <c r="Z25" s="6">
        <v>1069.69</v>
      </c>
      <c r="AA25" s="6">
        <v>-543.55999999999995</v>
      </c>
      <c r="AB25" s="6">
        <v>-153.34</v>
      </c>
      <c r="AC25" s="6">
        <v>934.79</v>
      </c>
      <c r="AD25" s="6">
        <v>1410.01</v>
      </c>
      <c r="AE25" s="6">
        <v>1334.42</v>
      </c>
    </row>
    <row r="26" spans="1:31" x14ac:dyDescent="0.25">
      <c r="A26" t="s">
        <v>169</v>
      </c>
      <c r="B26" s="6">
        <v>1285</v>
      </c>
      <c r="C26" s="6">
        <v>378</v>
      </c>
      <c r="D26" s="6">
        <v>946</v>
      </c>
      <c r="E26" s="6">
        <v>-383</v>
      </c>
      <c r="F26" s="6">
        <v>2226</v>
      </c>
      <c r="G26" s="6">
        <v>1147</v>
      </c>
      <c r="H26" s="6">
        <v>682</v>
      </c>
      <c r="I26" s="6">
        <v>905.87</v>
      </c>
      <c r="J26" s="6">
        <v>745.88</v>
      </c>
      <c r="K26" s="6">
        <v>3480.75</v>
      </c>
      <c r="L26" s="7" t="s">
        <v>104</v>
      </c>
      <c r="M26" s="7" t="s">
        <v>104</v>
      </c>
      <c r="N26" s="7" t="s">
        <v>104</v>
      </c>
      <c r="O26" s="7" t="s">
        <v>104</v>
      </c>
      <c r="P26" s="6">
        <v>3956.48</v>
      </c>
      <c r="Q26" s="7" t="s">
        <v>104</v>
      </c>
      <c r="R26" s="7" t="s">
        <v>104</v>
      </c>
      <c r="S26" s="7" t="s">
        <v>104</v>
      </c>
      <c r="T26" s="7" t="s">
        <v>104</v>
      </c>
      <c r="U26" s="6">
        <v>4203.28</v>
      </c>
      <c r="V26" s="7" t="s">
        <v>104</v>
      </c>
      <c r="W26" s="7" t="s">
        <v>104</v>
      </c>
      <c r="X26" s="7" t="s">
        <v>104</v>
      </c>
      <c r="Y26" s="7" t="s">
        <v>104</v>
      </c>
      <c r="Z26" s="6">
        <v>3510.42</v>
      </c>
      <c r="AA26" s="7" t="s">
        <v>104</v>
      </c>
      <c r="AB26" s="7" t="s">
        <v>104</v>
      </c>
      <c r="AC26" s="7" t="s">
        <v>104</v>
      </c>
      <c r="AD26" s="7" t="s">
        <v>104</v>
      </c>
      <c r="AE26" s="6">
        <v>2277</v>
      </c>
    </row>
    <row r="27" spans="1:31" x14ac:dyDescent="0.25">
      <c r="A27" t="s">
        <v>170</v>
      </c>
      <c r="B27" s="6">
        <v>-2878</v>
      </c>
      <c r="C27" s="6">
        <v>-1310</v>
      </c>
      <c r="D27" s="6">
        <v>-82</v>
      </c>
      <c r="E27" s="6">
        <v>2284</v>
      </c>
      <c r="F27" s="6">
        <v>-1986</v>
      </c>
      <c r="G27" s="6">
        <v>-3134</v>
      </c>
      <c r="H27" s="6">
        <v>-169</v>
      </c>
      <c r="I27" s="6">
        <v>-270.49</v>
      </c>
      <c r="J27" s="6">
        <v>2951.44</v>
      </c>
      <c r="K27" s="6">
        <v>-548</v>
      </c>
      <c r="L27" s="6">
        <v>-2994.38</v>
      </c>
      <c r="M27" s="6">
        <v>-47.18</v>
      </c>
      <c r="N27" s="6">
        <v>-0.45</v>
      </c>
      <c r="O27" s="6">
        <v>2587.65</v>
      </c>
      <c r="P27" s="6">
        <v>-176.71</v>
      </c>
      <c r="Q27" s="6">
        <v>-2795.91</v>
      </c>
      <c r="R27" s="6">
        <v>70.05</v>
      </c>
      <c r="S27" s="6">
        <v>-27.04</v>
      </c>
      <c r="T27" s="6">
        <v>2242.83</v>
      </c>
      <c r="U27" s="6">
        <v>-316.86</v>
      </c>
      <c r="V27" s="6">
        <v>-2803.81</v>
      </c>
      <c r="W27" s="6">
        <v>241.71</v>
      </c>
      <c r="X27" s="6">
        <v>-11.82</v>
      </c>
      <c r="Y27" s="6">
        <v>2472.79</v>
      </c>
      <c r="Z27" s="6">
        <v>-155.94999999999999</v>
      </c>
      <c r="AA27" s="6">
        <v>-2957.8</v>
      </c>
      <c r="AB27" s="6">
        <v>272.3</v>
      </c>
      <c r="AC27" s="6">
        <v>-83.98</v>
      </c>
      <c r="AD27" s="6">
        <v>2589.66</v>
      </c>
      <c r="AE27" s="6">
        <v>-440.07</v>
      </c>
    </row>
    <row r="28" spans="1:31" x14ac:dyDescent="0.25">
      <c r="A28" t="s">
        <v>171</v>
      </c>
      <c r="B28" s="6">
        <v>244</v>
      </c>
      <c r="C28" s="6">
        <v>62</v>
      </c>
      <c r="D28" s="6">
        <v>-570</v>
      </c>
      <c r="E28" s="6">
        <v>-377</v>
      </c>
      <c r="F28" s="6">
        <v>-610</v>
      </c>
      <c r="G28" s="6">
        <v>-191</v>
      </c>
      <c r="H28" s="6">
        <v>-107</v>
      </c>
      <c r="I28" s="6">
        <v>102.79</v>
      </c>
      <c r="J28" s="6">
        <v>-35.58</v>
      </c>
      <c r="K28" s="6">
        <v>-329.67</v>
      </c>
      <c r="L28" s="6">
        <v>157.01</v>
      </c>
      <c r="M28" s="6">
        <v>-77.430000000000007</v>
      </c>
      <c r="N28" s="6">
        <v>-103.04</v>
      </c>
      <c r="O28" s="6">
        <v>-326.60000000000002</v>
      </c>
      <c r="P28" s="6">
        <v>-455.19</v>
      </c>
      <c r="Q28" s="6">
        <v>356.19</v>
      </c>
      <c r="R28" s="6">
        <v>38.94</v>
      </c>
      <c r="S28" s="6">
        <v>-197.11</v>
      </c>
      <c r="T28" s="6">
        <v>-107.5</v>
      </c>
      <c r="U28" s="6">
        <v>-155.01</v>
      </c>
      <c r="V28" s="6">
        <v>327.33999999999997</v>
      </c>
      <c r="W28" s="6">
        <v>-70.28</v>
      </c>
      <c r="X28" s="6">
        <v>-494.9</v>
      </c>
      <c r="Y28" s="6">
        <v>-542.52</v>
      </c>
      <c r="Z28" s="6">
        <v>-712.63</v>
      </c>
      <c r="AA28" s="6">
        <v>463.37</v>
      </c>
      <c r="AB28" s="6">
        <v>-119.24</v>
      </c>
      <c r="AC28" s="6">
        <v>-553.49</v>
      </c>
      <c r="AD28" s="6">
        <v>-631.77</v>
      </c>
      <c r="AE28" s="6">
        <v>-745.52</v>
      </c>
    </row>
    <row r="29" spans="1:31" x14ac:dyDescent="0.25">
      <c r="A29" t="s">
        <v>172</v>
      </c>
      <c r="B29" s="6">
        <v>9049</v>
      </c>
      <c r="C29" s="6">
        <v>9763</v>
      </c>
      <c r="D29" s="6">
        <v>10152</v>
      </c>
      <c r="E29" s="6">
        <v>11320</v>
      </c>
      <c r="F29" s="6">
        <v>40284</v>
      </c>
      <c r="G29" s="6">
        <v>7595</v>
      </c>
      <c r="H29" s="6">
        <v>10801</v>
      </c>
      <c r="I29" s="6">
        <v>10662.24</v>
      </c>
      <c r="J29" s="6">
        <v>12668.74</v>
      </c>
      <c r="K29" s="6">
        <v>41628.53</v>
      </c>
      <c r="L29" s="6">
        <v>7862.27</v>
      </c>
      <c r="M29" s="6">
        <v>10911.63</v>
      </c>
      <c r="N29" s="6">
        <v>11384.3</v>
      </c>
      <c r="O29" s="6">
        <v>12519.95</v>
      </c>
      <c r="P29" s="6">
        <v>42765.01</v>
      </c>
      <c r="Q29" s="6">
        <v>8775.81</v>
      </c>
      <c r="R29" s="6">
        <v>11480.74</v>
      </c>
      <c r="S29" s="6">
        <v>11836.56</v>
      </c>
      <c r="T29" s="6">
        <v>13191.02</v>
      </c>
      <c r="U29" s="6">
        <v>44987.26</v>
      </c>
      <c r="V29" s="6">
        <v>9327.8799999999992</v>
      </c>
      <c r="W29" s="6">
        <v>11950.84</v>
      </c>
      <c r="X29" s="6">
        <v>11847.71</v>
      </c>
      <c r="Y29" s="6">
        <v>13302.18</v>
      </c>
      <c r="Z29" s="6">
        <v>46205.87</v>
      </c>
      <c r="AA29" s="6">
        <v>9894.52</v>
      </c>
      <c r="AB29" s="6">
        <v>12331.08</v>
      </c>
      <c r="AC29" s="6">
        <v>12287.98</v>
      </c>
      <c r="AD29" s="6">
        <v>14092.8</v>
      </c>
      <c r="AE29" s="6">
        <v>47685.86</v>
      </c>
    </row>
    <row r="30" spans="1:31" x14ac:dyDescent="0.25">
      <c r="A30" t="s">
        <v>173</v>
      </c>
      <c r="B30" s="7" t="s">
        <v>104</v>
      </c>
      <c r="C30" s="7" t="s">
        <v>104</v>
      </c>
      <c r="D30" s="7" t="s">
        <v>104</v>
      </c>
      <c r="E30" s="7" t="s">
        <v>104</v>
      </c>
      <c r="F30" s="7" t="s">
        <v>104</v>
      </c>
      <c r="G30" s="6">
        <v>-38</v>
      </c>
      <c r="H30" s="6">
        <v>69</v>
      </c>
      <c r="I30" s="6">
        <v>-60</v>
      </c>
      <c r="J30" s="6">
        <v>-25</v>
      </c>
      <c r="K30" s="6">
        <v>9.75</v>
      </c>
      <c r="L30" s="7" t="s">
        <v>104</v>
      </c>
      <c r="M30" s="7" t="s">
        <v>104</v>
      </c>
      <c r="N30" s="7" t="s">
        <v>104</v>
      </c>
      <c r="O30" s="7" t="s">
        <v>104</v>
      </c>
      <c r="P30" s="7" t="s">
        <v>104</v>
      </c>
      <c r="Q30" s="7" t="s">
        <v>104</v>
      </c>
      <c r="R30" s="7" t="s">
        <v>104</v>
      </c>
      <c r="S30" s="7" t="s">
        <v>104</v>
      </c>
      <c r="T30" s="7" t="s">
        <v>104</v>
      </c>
      <c r="U30" s="7" t="s">
        <v>104</v>
      </c>
      <c r="V30" s="7" t="s">
        <v>104</v>
      </c>
      <c r="W30" s="7" t="s">
        <v>104</v>
      </c>
      <c r="X30" s="7" t="s">
        <v>104</v>
      </c>
      <c r="Y30" s="7" t="s">
        <v>104</v>
      </c>
      <c r="Z30" s="7" t="s">
        <v>104</v>
      </c>
      <c r="AA30" s="7" t="s">
        <v>104</v>
      </c>
      <c r="AB30" s="7" t="s">
        <v>104</v>
      </c>
      <c r="AC30" s="7" t="s">
        <v>104</v>
      </c>
      <c r="AD30" s="7" t="s">
        <v>104</v>
      </c>
      <c r="AE30" s="7" t="s">
        <v>104</v>
      </c>
    </row>
    <row r="31" spans="1:31" x14ac:dyDescent="0.25">
      <c r="A31" t="s">
        <v>174</v>
      </c>
      <c r="B31" s="6">
        <v>9049</v>
      </c>
      <c r="C31" s="6">
        <v>9763</v>
      </c>
      <c r="D31" s="6">
        <v>10152</v>
      </c>
      <c r="E31" s="6">
        <v>11320</v>
      </c>
      <c r="F31" s="6">
        <v>40284</v>
      </c>
      <c r="G31" s="6">
        <v>7595</v>
      </c>
      <c r="H31" s="6">
        <v>10801</v>
      </c>
      <c r="I31" s="6">
        <v>10667.33</v>
      </c>
      <c r="J31" s="6">
        <v>12543.94</v>
      </c>
      <c r="K31" s="6">
        <v>41598.36</v>
      </c>
      <c r="L31" s="6">
        <v>7731.49</v>
      </c>
      <c r="M31" s="6">
        <v>10932.44</v>
      </c>
      <c r="N31" s="6">
        <v>11411.38</v>
      </c>
      <c r="O31" s="6">
        <v>12578.61</v>
      </c>
      <c r="P31" s="6">
        <v>42772.68</v>
      </c>
      <c r="Q31" s="6">
        <v>8618.07</v>
      </c>
      <c r="R31" s="6">
        <v>11507.73</v>
      </c>
      <c r="S31" s="6">
        <v>11847.29</v>
      </c>
      <c r="T31" s="6">
        <v>13275.84</v>
      </c>
      <c r="U31" s="6">
        <v>44926.04</v>
      </c>
      <c r="V31" s="6">
        <v>9134.76</v>
      </c>
      <c r="W31" s="6">
        <v>12109.35</v>
      </c>
      <c r="X31" s="6">
        <v>12005.64</v>
      </c>
      <c r="Y31" s="6">
        <v>13603.38</v>
      </c>
      <c r="Z31" s="6">
        <v>45983.73</v>
      </c>
      <c r="AA31" s="6">
        <v>9733.67</v>
      </c>
      <c r="AB31" s="6">
        <v>12636.67</v>
      </c>
      <c r="AC31" s="6">
        <v>12440.36</v>
      </c>
      <c r="AD31" s="6">
        <v>14474.62</v>
      </c>
      <c r="AE31" s="6">
        <v>47492.33</v>
      </c>
    </row>
    <row r="32" spans="1:31" x14ac:dyDescent="0.25">
      <c r="A32" t="s">
        <v>175</v>
      </c>
      <c r="B32" s="6">
        <v>4240</v>
      </c>
      <c r="C32" s="6">
        <v>4857</v>
      </c>
      <c r="D32" s="6">
        <v>4843</v>
      </c>
      <c r="E32" s="6">
        <v>6737</v>
      </c>
      <c r="F32" s="6">
        <v>20677</v>
      </c>
      <c r="G32" s="6">
        <v>4835</v>
      </c>
      <c r="H32" s="6">
        <v>5651</v>
      </c>
      <c r="I32" s="6">
        <v>5341.41</v>
      </c>
      <c r="J32" s="6">
        <v>6256.3</v>
      </c>
      <c r="K32" s="6">
        <v>22095.08</v>
      </c>
      <c r="L32" s="6">
        <v>5085.7700000000004</v>
      </c>
      <c r="M32" s="6">
        <v>5531.11</v>
      </c>
      <c r="N32" s="6">
        <v>5372.17</v>
      </c>
      <c r="O32" s="6">
        <v>5955.78</v>
      </c>
      <c r="P32" s="6">
        <v>21855.14</v>
      </c>
      <c r="Q32" s="6">
        <v>4875.4799999999996</v>
      </c>
      <c r="R32" s="6">
        <v>5468.8</v>
      </c>
      <c r="S32" s="6">
        <v>5208.01</v>
      </c>
      <c r="T32" s="6">
        <v>5879.41</v>
      </c>
      <c r="U32" s="6">
        <v>21552.69</v>
      </c>
      <c r="V32" s="6">
        <v>4968.91</v>
      </c>
      <c r="W32" s="6">
        <v>5508.8</v>
      </c>
      <c r="X32" s="6">
        <v>5352.51</v>
      </c>
      <c r="Y32" s="6">
        <v>5816.78</v>
      </c>
      <c r="Z32" s="6">
        <v>21674.27</v>
      </c>
      <c r="AA32" s="6">
        <v>5001.5200000000004</v>
      </c>
      <c r="AB32" s="6">
        <v>5543.34</v>
      </c>
      <c r="AC32" s="6">
        <v>5386.76</v>
      </c>
      <c r="AD32" s="6">
        <v>5860.02</v>
      </c>
      <c r="AE32" s="6">
        <v>21329.22</v>
      </c>
    </row>
    <row r="33" spans="1:31" x14ac:dyDescent="0.25">
      <c r="A33" t="s">
        <v>176</v>
      </c>
      <c r="B33" s="6">
        <v>37</v>
      </c>
      <c r="C33" s="6">
        <v>40</v>
      </c>
      <c r="D33" s="6">
        <v>44</v>
      </c>
      <c r="E33" s="6">
        <v>44</v>
      </c>
      <c r="F33" s="6">
        <v>165</v>
      </c>
      <c r="G33" s="6">
        <v>42</v>
      </c>
      <c r="H33" s="6">
        <v>49</v>
      </c>
      <c r="I33" s="6">
        <v>40.81</v>
      </c>
      <c r="J33" s="6">
        <v>41.58</v>
      </c>
      <c r="K33" s="6">
        <v>173.39</v>
      </c>
      <c r="L33" s="6">
        <v>38.04</v>
      </c>
      <c r="M33" s="6">
        <v>40.5</v>
      </c>
      <c r="N33" s="6">
        <v>39.94</v>
      </c>
      <c r="O33" s="6">
        <v>40.82</v>
      </c>
      <c r="P33" s="6">
        <v>157.97999999999999</v>
      </c>
      <c r="Q33" s="6">
        <v>42.13</v>
      </c>
      <c r="R33" s="6">
        <v>45.63</v>
      </c>
      <c r="S33" s="6">
        <v>44.95</v>
      </c>
      <c r="T33" s="6">
        <v>46.25</v>
      </c>
      <c r="U33" s="6">
        <v>156.80000000000001</v>
      </c>
      <c r="V33" s="6">
        <v>43</v>
      </c>
      <c r="W33" s="6">
        <v>45.34</v>
      </c>
      <c r="X33" s="6">
        <v>44.97</v>
      </c>
      <c r="Y33" s="6">
        <v>46.71</v>
      </c>
      <c r="Z33" s="6">
        <v>153.01</v>
      </c>
      <c r="AA33" s="6">
        <v>43.14</v>
      </c>
      <c r="AB33" s="6">
        <v>45.5</v>
      </c>
      <c r="AC33" s="6">
        <v>45.12</v>
      </c>
      <c r="AD33" s="6">
        <v>46.89</v>
      </c>
      <c r="AE33" s="6">
        <v>153.38999999999999</v>
      </c>
    </row>
    <row r="34" spans="1:31" x14ac:dyDescent="0.25">
      <c r="A34" t="s">
        <v>177</v>
      </c>
      <c r="B34" s="6">
        <v>4277</v>
      </c>
      <c r="C34" s="6">
        <v>4897</v>
      </c>
      <c r="D34" s="6">
        <v>4887</v>
      </c>
      <c r="E34" s="6">
        <v>6781</v>
      </c>
      <c r="F34" s="6">
        <v>20842</v>
      </c>
      <c r="G34" s="6">
        <v>4877</v>
      </c>
      <c r="H34" s="6">
        <v>5700</v>
      </c>
      <c r="I34" s="6">
        <v>5553.66</v>
      </c>
      <c r="J34" s="6">
        <v>6262.03</v>
      </c>
      <c r="K34" s="6">
        <v>22460.63</v>
      </c>
      <c r="L34" s="6">
        <v>4997.7</v>
      </c>
      <c r="M34" s="6">
        <v>5546.95</v>
      </c>
      <c r="N34" s="6">
        <v>5616.37</v>
      </c>
      <c r="O34" s="6">
        <v>6217.85</v>
      </c>
      <c r="P34" s="6">
        <v>22488.81</v>
      </c>
      <c r="Q34" s="6">
        <v>4840.45</v>
      </c>
      <c r="R34" s="6">
        <v>5488.73</v>
      </c>
      <c r="S34" s="6">
        <v>5606.05</v>
      </c>
      <c r="T34" s="6">
        <v>6124.59</v>
      </c>
      <c r="U34" s="6">
        <v>22309.68</v>
      </c>
      <c r="V34" s="6">
        <v>4958.76</v>
      </c>
      <c r="W34" s="6">
        <v>5618.59</v>
      </c>
      <c r="X34" s="6">
        <v>5604.87</v>
      </c>
      <c r="Y34" s="6">
        <v>5868.84</v>
      </c>
      <c r="Z34" s="6">
        <v>22208.62</v>
      </c>
      <c r="AA34" s="6">
        <v>4932.12</v>
      </c>
      <c r="AB34" s="6">
        <v>5598.78</v>
      </c>
      <c r="AC34" s="6">
        <v>5589.8</v>
      </c>
      <c r="AD34" s="6">
        <v>5848.85</v>
      </c>
      <c r="AE34" s="6">
        <v>21871.34</v>
      </c>
    </row>
    <row r="35" spans="1:31" x14ac:dyDescent="0.25">
      <c r="A35" t="s">
        <v>178</v>
      </c>
      <c r="B35" s="6">
        <v>-20</v>
      </c>
      <c r="C35" s="6">
        <v>-28</v>
      </c>
      <c r="D35" s="6">
        <v>1</v>
      </c>
      <c r="E35" s="6">
        <v>-332</v>
      </c>
      <c r="F35" s="6">
        <v>-379</v>
      </c>
      <c r="G35" s="6">
        <v>-2674</v>
      </c>
      <c r="H35" s="6">
        <v>-51</v>
      </c>
      <c r="I35" s="6">
        <v>-21180.58</v>
      </c>
      <c r="J35" s="6">
        <v>-32.5</v>
      </c>
      <c r="K35" s="6">
        <v>-23140.54</v>
      </c>
      <c r="L35" s="6">
        <v>-173.75</v>
      </c>
      <c r="M35" s="6">
        <v>-173.75</v>
      </c>
      <c r="N35" s="6">
        <v>-3449.17</v>
      </c>
      <c r="O35" s="6">
        <v>550.83000000000004</v>
      </c>
      <c r="P35" s="6">
        <v>-1967.69</v>
      </c>
      <c r="Q35" s="6">
        <v>-147.88</v>
      </c>
      <c r="R35" s="6">
        <v>-147.88</v>
      </c>
      <c r="S35" s="6">
        <v>-147.88</v>
      </c>
      <c r="T35" s="6">
        <v>-147.88</v>
      </c>
      <c r="U35" s="6">
        <v>-8706.36</v>
      </c>
      <c r="V35" s="6">
        <v>-117.69</v>
      </c>
      <c r="W35" s="6">
        <v>-117.69</v>
      </c>
      <c r="X35" s="6">
        <v>-1411.79</v>
      </c>
      <c r="Y35" s="6">
        <v>-117.69</v>
      </c>
      <c r="Z35" s="6">
        <v>-5047.66</v>
      </c>
      <c r="AA35" s="6">
        <v>-92.5</v>
      </c>
      <c r="AB35" s="6">
        <v>-92.5</v>
      </c>
      <c r="AC35" s="6">
        <v>-92.5</v>
      </c>
      <c r="AD35" s="6">
        <v>-1892.5</v>
      </c>
      <c r="AE35" s="6">
        <v>-2065.6</v>
      </c>
    </row>
    <row r="36" spans="1:31" x14ac:dyDescent="0.25">
      <c r="A36" t="s">
        <v>179</v>
      </c>
      <c r="B36" s="6">
        <v>11</v>
      </c>
      <c r="C36" s="6">
        <v>29</v>
      </c>
      <c r="D36" s="6">
        <v>399</v>
      </c>
      <c r="E36" s="6">
        <v>2779</v>
      </c>
      <c r="F36" s="6">
        <v>3218</v>
      </c>
      <c r="G36" s="6">
        <v>628</v>
      </c>
      <c r="H36" s="6">
        <v>119</v>
      </c>
      <c r="I36" s="7" t="s">
        <v>104</v>
      </c>
      <c r="J36" s="6">
        <v>3000</v>
      </c>
      <c r="K36" s="6">
        <v>977.77</v>
      </c>
      <c r="L36" s="6">
        <v>100</v>
      </c>
      <c r="M36" s="6">
        <v>100</v>
      </c>
      <c r="N36" s="6">
        <v>100</v>
      </c>
      <c r="O36" s="6">
        <v>100</v>
      </c>
      <c r="P36" s="6">
        <v>250</v>
      </c>
      <c r="Q36" s="6">
        <v>100</v>
      </c>
      <c r="R36" s="6">
        <v>100</v>
      </c>
      <c r="S36" s="6">
        <v>100</v>
      </c>
      <c r="T36" s="6">
        <v>300</v>
      </c>
      <c r="U36" s="6">
        <v>450</v>
      </c>
      <c r="V36" s="6">
        <v>125</v>
      </c>
      <c r="W36" s="6">
        <v>125</v>
      </c>
      <c r="X36" s="6">
        <v>125</v>
      </c>
      <c r="Y36" s="6">
        <v>125</v>
      </c>
      <c r="Z36" s="6">
        <v>516.66999999999996</v>
      </c>
      <c r="AA36" s="7" t="s">
        <v>104</v>
      </c>
      <c r="AB36" s="7" t="s">
        <v>104</v>
      </c>
      <c r="AC36" s="7" t="s">
        <v>104</v>
      </c>
      <c r="AD36" s="7" t="s">
        <v>104</v>
      </c>
      <c r="AE36" s="6">
        <v>500</v>
      </c>
    </row>
    <row r="37" spans="1:31" x14ac:dyDescent="0.25">
      <c r="A37" t="s">
        <v>180</v>
      </c>
      <c r="B37" s="6">
        <v>45</v>
      </c>
      <c r="C37" s="6">
        <v>-1129</v>
      </c>
      <c r="D37" s="6">
        <v>1109</v>
      </c>
      <c r="E37" s="6">
        <v>156</v>
      </c>
      <c r="F37" s="6">
        <v>181</v>
      </c>
      <c r="G37" s="6">
        <v>-14</v>
      </c>
      <c r="H37" s="6">
        <v>-10</v>
      </c>
      <c r="I37" s="6">
        <v>-23000</v>
      </c>
      <c r="J37" s="7" t="s">
        <v>104</v>
      </c>
      <c r="K37" s="6">
        <v>-3325</v>
      </c>
      <c r="L37" s="7" t="s">
        <v>104</v>
      </c>
      <c r="M37" s="7" t="s">
        <v>104</v>
      </c>
      <c r="N37" s="7" t="s">
        <v>104</v>
      </c>
      <c r="O37" s="7" t="s">
        <v>104</v>
      </c>
      <c r="P37" s="7" t="s">
        <v>104</v>
      </c>
      <c r="Q37" s="7" t="s">
        <v>104</v>
      </c>
      <c r="R37" s="7" t="s">
        <v>104</v>
      </c>
      <c r="S37" s="7" t="s">
        <v>104</v>
      </c>
      <c r="T37" s="7" t="s">
        <v>104</v>
      </c>
      <c r="U37" s="7" t="s">
        <v>104</v>
      </c>
      <c r="V37" s="7" t="s">
        <v>104</v>
      </c>
      <c r="W37" s="7" t="s">
        <v>104</v>
      </c>
      <c r="X37" s="7" t="s">
        <v>104</v>
      </c>
      <c r="Y37" s="7" t="s">
        <v>104</v>
      </c>
      <c r="Z37" s="7" t="s">
        <v>104</v>
      </c>
      <c r="AA37" s="7" t="s">
        <v>104</v>
      </c>
      <c r="AB37" s="7" t="s">
        <v>104</v>
      </c>
      <c r="AC37" s="7" t="s">
        <v>104</v>
      </c>
      <c r="AD37" s="7" t="s">
        <v>104</v>
      </c>
      <c r="AE37" s="7" t="s">
        <v>104</v>
      </c>
    </row>
    <row r="38" spans="1:31" x14ac:dyDescent="0.25">
      <c r="A38" t="s">
        <v>181</v>
      </c>
      <c r="B38" s="6">
        <v>-672</v>
      </c>
      <c r="C38" s="6">
        <v>-1190</v>
      </c>
      <c r="D38" s="6">
        <v>-11</v>
      </c>
      <c r="E38" s="6">
        <v>-166</v>
      </c>
      <c r="F38" s="6">
        <v>-774</v>
      </c>
      <c r="G38" s="6">
        <v>-547</v>
      </c>
      <c r="H38" s="6">
        <v>-107</v>
      </c>
      <c r="I38" s="6">
        <v>-242.75</v>
      </c>
      <c r="J38" s="6">
        <v>233.33</v>
      </c>
      <c r="K38" s="6">
        <v>-635</v>
      </c>
      <c r="L38" s="6">
        <v>7.5</v>
      </c>
      <c r="M38" s="6">
        <v>7.5</v>
      </c>
      <c r="N38" s="6">
        <v>7.5</v>
      </c>
      <c r="O38" s="6">
        <v>7.5</v>
      </c>
      <c r="P38" s="6">
        <v>30</v>
      </c>
      <c r="Q38" s="6">
        <v>7.5</v>
      </c>
      <c r="R38" s="6">
        <v>7.5</v>
      </c>
      <c r="S38" s="6">
        <v>7.5</v>
      </c>
      <c r="T38" s="6">
        <v>7.5</v>
      </c>
      <c r="U38" s="6">
        <v>-2125</v>
      </c>
      <c r="V38" s="6">
        <v>70</v>
      </c>
      <c r="W38" s="6">
        <v>70</v>
      </c>
      <c r="X38" s="6">
        <v>70</v>
      </c>
      <c r="Y38" s="6">
        <v>70</v>
      </c>
      <c r="Z38" s="6">
        <v>-1075</v>
      </c>
      <c r="AA38" s="6">
        <v>70</v>
      </c>
      <c r="AB38" s="6">
        <v>70</v>
      </c>
      <c r="AC38" s="6">
        <v>70</v>
      </c>
      <c r="AD38" s="6">
        <v>70</v>
      </c>
      <c r="AE38" s="6">
        <v>-2791.67</v>
      </c>
    </row>
    <row r="39" spans="1:31" x14ac:dyDescent="0.25">
      <c r="A39" t="s">
        <v>182</v>
      </c>
      <c r="B39" s="6">
        <v>-4958</v>
      </c>
      <c r="C39" s="6">
        <v>-6086</v>
      </c>
      <c r="D39" s="6">
        <v>-3389</v>
      </c>
      <c r="E39" s="6">
        <v>-4344</v>
      </c>
      <c r="F39" s="6">
        <v>-18777</v>
      </c>
      <c r="G39" s="6">
        <v>-7484</v>
      </c>
      <c r="H39" s="6">
        <v>-5749</v>
      </c>
      <c r="I39" s="6">
        <v>-25883.95</v>
      </c>
      <c r="J39" s="6">
        <v>-6052.35</v>
      </c>
      <c r="K39" s="6">
        <v>-46834.91</v>
      </c>
      <c r="L39" s="6">
        <v>-5009.74</v>
      </c>
      <c r="M39" s="6">
        <v>-5568.09</v>
      </c>
      <c r="N39" s="6">
        <v>-6546.6</v>
      </c>
      <c r="O39" s="6">
        <v>-6057.16</v>
      </c>
      <c r="P39" s="6">
        <v>-23064.67</v>
      </c>
      <c r="Q39" s="6">
        <v>-4866.2700000000004</v>
      </c>
      <c r="R39" s="6">
        <v>-5514.55</v>
      </c>
      <c r="S39" s="6">
        <v>-5631.87</v>
      </c>
      <c r="T39" s="6">
        <v>-6078.98</v>
      </c>
      <c r="U39" s="6">
        <v>-25415.75</v>
      </c>
      <c r="V39" s="6">
        <v>-4952.83</v>
      </c>
      <c r="W39" s="6">
        <v>-5612.66</v>
      </c>
      <c r="X39" s="6">
        <v>-6398.95</v>
      </c>
      <c r="Y39" s="6">
        <v>-5862.91</v>
      </c>
      <c r="Z39" s="6">
        <v>-23980.55</v>
      </c>
      <c r="AA39" s="6">
        <v>-4941.12</v>
      </c>
      <c r="AB39" s="6">
        <v>-5607.78</v>
      </c>
      <c r="AC39" s="6">
        <v>-5598.8</v>
      </c>
      <c r="AD39" s="6">
        <v>-6577.85</v>
      </c>
      <c r="AE39" s="6">
        <v>-23104.63</v>
      </c>
    </row>
    <row r="40" spans="1:31" x14ac:dyDescent="0.25">
      <c r="A40" t="s">
        <v>183</v>
      </c>
      <c r="B40" s="7" t="s">
        <v>104</v>
      </c>
      <c r="C40" s="7" t="s">
        <v>104</v>
      </c>
      <c r="D40" s="7" t="s">
        <v>104</v>
      </c>
      <c r="E40" s="7" t="s">
        <v>104</v>
      </c>
      <c r="F40" s="7" t="s">
        <v>104</v>
      </c>
      <c r="G40" s="6">
        <v>-4171</v>
      </c>
      <c r="H40" s="6">
        <v>-192</v>
      </c>
      <c r="I40" s="6">
        <v>-300</v>
      </c>
      <c r="J40" s="6">
        <v>-100</v>
      </c>
      <c r="K40" s="6">
        <v>-4496.33</v>
      </c>
      <c r="L40" s="7" t="s">
        <v>104</v>
      </c>
      <c r="M40" s="7" t="s">
        <v>104</v>
      </c>
      <c r="N40" s="7" t="s">
        <v>104</v>
      </c>
      <c r="O40" s="7" t="s">
        <v>104</v>
      </c>
      <c r="P40" s="7" t="s">
        <v>104</v>
      </c>
      <c r="Q40" s="7" t="s">
        <v>104</v>
      </c>
      <c r="R40" s="7" t="s">
        <v>104</v>
      </c>
      <c r="S40" s="7" t="s">
        <v>104</v>
      </c>
      <c r="T40" s="7" t="s">
        <v>104</v>
      </c>
      <c r="U40" s="7" t="s">
        <v>104</v>
      </c>
      <c r="V40" s="7" t="s">
        <v>104</v>
      </c>
      <c r="W40" s="7" t="s">
        <v>104</v>
      </c>
      <c r="X40" s="7" t="s">
        <v>104</v>
      </c>
      <c r="Y40" s="7" t="s">
        <v>104</v>
      </c>
      <c r="Z40" s="7" t="s">
        <v>104</v>
      </c>
      <c r="AA40" s="7" t="s">
        <v>104</v>
      </c>
      <c r="AB40" s="7" t="s">
        <v>104</v>
      </c>
      <c r="AC40" s="7" t="s">
        <v>104</v>
      </c>
      <c r="AD40" s="7" t="s">
        <v>104</v>
      </c>
      <c r="AE40" s="7" t="s">
        <v>104</v>
      </c>
    </row>
    <row r="41" spans="1:31" x14ac:dyDescent="0.25">
      <c r="A41" t="s">
        <v>184</v>
      </c>
      <c r="B41" s="6">
        <v>-4958</v>
      </c>
      <c r="C41" s="6">
        <v>-6086</v>
      </c>
      <c r="D41" s="6">
        <v>-3389</v>
      </c>
      <c r="E41" s="6">
        <v>-4344</v>
      </c>
      <c r="F41" s="6">
        <v>-18777</v>
      </c>
      <c r="G41" s="6">
        <v>-7484</v>
      </c>
      <c r="H41" s="6">
        <v>-5749</v>
      </c>
      <c r="I41" s="6">
        <v>-26915.94</v>
      </c>
      <c r="J41" s="6">
        <v>-6037.56</v>
      </c>
      <c r="K41" s="6">
        <v>-49225.22</v>
      </c>
      <c r="L41" s="6">
        <v>-4984.32</v>
      </c>
      <c r="M41" s="6">
        <v>-5561.99</v>
      </c>
      <c r="N41" s="6">
        <v>-6624.36</v>
      </c>
      <c r="O41" s="6">
        <v>-6042.98</v>
      </c>
      <c r="P41" s="6">
        <v>-23086.51</v>
      </c>
      <c r="Q41" s="6">
        <v>-4866.2700000000004</v>
      </c>
      <c r="R41" s="6">
        <v>-5514.55</v>
      </c>
      <c r="S41" s="6">
        <v>-5631.87</v>
      </c>
      <c r="T41" s="6">
        <v>-6078.98</v>
      </c>
      <c r="U41" s="6">
        <v>-25757.58</v>
      </c>
      <c r="V41" s="6">
        <v>-4952.83</v>
      </c>
      <c r="W41" s="6">
        <v>-5612.66</v>
      </c>
      <c r="X41" s="6">
        <v>-6398.95</v>
      </c>
      <c r="Y41" s="6">
        <v>-5862.91</v>
      </c>
      <c r="Z41" s="6">
        <v>-24203.599999999999</v>
      </c>
      <c r="AA41" s="6">
        <v>-4941.12</v>
      </c>
      <c r="AB41" s="6">
        <v>-5607.78</v>
      </c>
      <c r="AC41" s="6">
        <v>-5598.8</v>
      </c>
      <c r="AD41" s="6">
        <v>-6577.85</v>
      </c>
      <c r="AE41" s="6">
        <v>-23141.27</v>
      </c>
    </row>
    <row r="42" spans="1:31" x14ac:dyDescent="0.25">
      <c r="A42" t="s">
        <v>185</v>
      </c>
      <c r="B42" s="6">
        <v>2956</v>
      </c>
      <c r="C42" s="6">
        <v>3473</v>
      </c>
      <c r="D42" s="6">
        <v>7598</v>
      </c>
      <c r="E42" s="7" t="s">
        <v>104</v>
      </c>
      <c r="F42" s="6">
        <v>14027</v>
      </c>
      <c r="G42" s="6">
        <v>8098</v>
      </c>
      <c r="H42" s="6">
        <v>5939</v>
      </c>
      <c r="I42" s="6">
        <v>9642.86</v>
      </c>
      <c r="J42" s="7" t="s">
        <v>104</v>
      </c>
      <c r="K42" s="6">
        <v>21238.41</v>
      </c>
      <c r="L42" s="6">
        <v>4000</v>
      </c>
      <c r="M42" s="6">
        <v>3000</v>
      </c>
      <c r="N42" s="7" t="s">
        <v>104</v>
      </c>
      <c r="O42" s="7" t="s">
        <v>104</v>
      </c>
      <c r="P42" s="6">
        <v>5500</v>
      </c>
      <c r="Q42" s="6">
        <v>4000</v>
      </c>
      <c r="R42" s="6">
        <v>2000</v>
      </c>
      <c r="S42" s="7" t="s">
        <v>104</v>
      </c>
      <c r="T42" s="7" t="s">
        <v>104</v>
      </c>
      <c r="U42" s="6">
        <v>14267.57</v>
      </c>
      <c r="V42" s="7" t="s">
        <v>104</v>
      </c>
      <c r="W42" s="7" t="s">
        <v>104</v>
      </c>
      <c r="X42" s="7" t="s">
        <v>104</v>
      </c>
      <c r="Y42" s="7" t="s">
        <v>104</v>
      </c>
      <c r="Z42" s="6">
        <v>7160.99</v>
      </c>
      <c r="AA42" s="6">
        <v>1000</v>
      </c>
      <c r="AB42" s="6">
        <v>1000</v>
      </c>
      <c r="AC42" s="7" t="s">
        <v>104</v>
      </c>
      <c r="AD42" s="7" t="s">
        <v>104</v>
      </c>
      <c r="AE42" s="6">
        <v>3946.38</v>
      </c>
    </row>
    <row r="43" spans="1:31" x14ac:dyDescent="0.25">
      <c r="A43" t="s">
        <v>186</v>
      </c>
      <c r="B43" s="6">
        <v>1526</v>
      </c>
      <c r="C43" s="6">
        <v>94</v>
      </c>
      <c r="D43" s="6">
        <v>229</v>
      </c>
      <c r="E43" s="6">
        <v>3679</v>
      </c>
      <c r="F43" s="6">
        <v>5528</v>
      </c>
      <c r="G43" s="6">
        <v>5247</v>
      </c>
      <c r="H43" s="6">
        <v>151</v>
      </c>
      <c r="I43" s="6">
        <v>2191.9499999999998</v>
      </c>
      <c r="J43" s="6">
        <v>1880.5</v>
      </c>
      <c r="K43" s="6">
        <v>6124.74</v>
      </c>
      <c r="L43" s="6">
        <v>3054</v>
      </c>
      <c r="M43" s="6">
        <v>1833.33</v>
      </c>
      <c r="N43" s="6">
        <v>1812.33</v>
      </c>
      <c r="O43" s="6">
        <v>1348.67</v>
      </c>
      <c r="P43" s="6">
        <v>6715.5</v>
      </c>
      <c r="Q43" s="6">
        <v>4232</v>
      </c>
      <c r="R43" s="6">
        <v>2318</v>
      </c>
      <c r="S43" s="6">
        <v>2133</v>
      </c>
      <c r="T43" s="6">
        <v>2264.5</v>
      </c>
      <c r="U43" s="6">
        <v>7141.6</v>
      </c>
      <c r="V43" s="6">
        <v>3108</v>
      </c>
      <c r="W43" s="6">
        <v>180</v>
      </c>
      <c r="X43" s="6">
        <v>2742</v>
      </c>
      <c r="Y43" s="6">
        <v>1970</v>
      </c>
      <c r="Z43" s="6">
        <v>8104.27</v>
      </c>
      <c r="AA43" s="6">
        <v>4842</v>
      </c>
      <c r="AB43" s="6">
        <v>2087</v>
      </c>
      <c r="AC43" s="6">
        <v>2000</v>
      </c>
      <c r="AD43" s="6">
        <v>2594.5</v>
      </c>
      <c r="AE43" s="6">
        <v>8977.58</v>
      </c>
    </row>
    <row r="44" spans="1:31" x14ac:dyDescent="0.25">
      <c r="A44" t="s">
        <v>187</v>
      </c>
      <c r="B44" s="6">
        <v>1430</v>
      </c>
      <c r="C44" s="6">
        <v>3379</v>
      </c>
      <c r="D44" s="6">
        <v>7369</v>
      </c>
      <c r="E44" s="6">
        <v>-3679</v>
      </c>
      <c r="F44" s="6">
        <v>8499</v>
      </c>
      <c r="G44" s="6">
        <v>2851</v>
      </c>
      <c r="H44" s="6">
        <v>5788</v>
      </c>
      <c r="I44" s="6">
        <v>7627.84</v>
      </c>
      <c r="J44" s="6">
        <v>-33.24</v>
      </c>
      <c r="K44" s="6">
        <v>13966.87</v>
      </c>
      <c r="L44" s="6">
        <v>680.31</v>
      </c>
      <c r="M44" s="6">
        <v>-1125</v>
      </c>
      <c r="N44" s="6">
        <v>-1445.6</v>
      </c>
      <c r="O44" s="6">
        <v>-1868.01</v>
      </c>
      <c r="P44" s="6">
        <v>-4113.05</v>
      </c>
      <c r="Q44" s="6">
        <v>-488</v>
      </c>
      <c r="R44" s="6">
        <v>-859.67</v>
      </c>
      <c r="S44" s="6">
        <v>-1809.4</v>
      </c>
      <c r="T44" s="6">
        <v>-1742.5</v>
      </c>
      <c r="U44" s="6">
        <v>-1973.17</v>
      </c>
      <c r="V44" s="6">
        <v>-2554</v>
      </c>
      <c r="W44" s="6">
        <v>-1090</v>
      </c>
      <c r="X44" s="6">
        <v>-2494.67</v>
      </c>
      <c r="Y44" s="6">
        <v>-1485</v>
      </c>
      <c r="Z44" s="6">
        <v>-5937.28</v>
      </c>
      <c r="AA44" s="6">
        <v>-1947.33</v>
      </c>
      <c r="AB44" s="6">
        <v>-1724.67</v>
      </c>
      <c r="AC44" s="6">
        <v>-1500</v>
      </c>
      <c r="AD44" s="6">
        <v>-1797.25</v>
      </c>
      <c r="AE44" s="6">
        <v>-5960.91</v>
      </c>
    </row>
    <row r="45" spans="1:31" x14ac:dyDescent="0.25">
      <c r="A45" t="s">
        <v>188</v>
      </c>
      <c r="B45" s="7" t="s">
        <v>104</v>
      </c>
      <c r="C45" s="7" t="s">
        <v>104</v>
      </c>
      <c r="D45" s="7" t="s">
        <v>104</v>
      </c>
      <c r="E45" s="7" t="s">
        <v>104</v>
      </c>
      <c r="F45" s="7" t="s">
        <v>104</v>
      </c>
      <c r="G45" s="7" t="s">
        <v>104</v>
      </c>
      <c r="H45" s="7" t="s">
        <v>104</v>
      </c>
      <c r="I45" s="6">
        <v>2105.69</v>
      </c>
      <c r="J45" s="6">
        <v>-752.13</v>
      </c>
      <c r="K45" s="6">
        <v>12275.34</v>
      </c>
      <c r="L45" s="6">
        <v>-349.45</v>
      </c>
      <c r="M45" s="6">
        <v>-3161.76</v>
      </c>
      <c r="N45" s="6">
        <v>-46.84</v>
      </c>
      <c r="O45" s="6">
        <v>5115.05</v>
      </c>
      <c r="P45" s="6">
        <v>4971.42</v>
      </c>
      <c r="Q45" s="7" t="s">
        <v>104</v>
      </c>
      <c r="R45" s="7" t="s">
        <v>104</v>
      </c>
      <c r="S45" s="7" t="s">
        <v>104</v>
      </c>
      <c r="T45" s="7" t="s">
        <v>104</v>
      </c>
      <c r="U45" s="6">
        <v>4978.4799999999996</v>
      </c>
      <c r="V45" s="7" t="s">
        <v>104</v>
      </c>
      <c r="W45" s="7" t="s">
        <v>104</v>
      </c>
      <c r="X45" s="7" t="s">
        <v>104</v>
      </c>
      <c r="Y45" s="7" t="s">
        <v>104</v>
      </c>
      <c r="Z45" s="6">
        <v>6490.19</v>
      </c>
      <c r="AA45" s="7" t="s">
        <v>104</v>
      </c>
      <c r="AB45" s="7" t="s">
        <v>104</v>
      </c>
      <c r="AC45" s="7" t="s">
        <v>104</v>
      </c>
      <c r="AD45" s="7" t="s">
        <v>104</v>
      </c>
      <c r="AE45" s="6">
        <v>375.77</v>
      </c>
    </row>
    <row r="46" spans="1:31" x14ac:dyDescent="0.25">
      <c r="A46" t="s">
        <v>189</v>
      </c>
      <c r="B46" s="6">
        <v>1430</v>
      </c>
      <c r="C46" s="6">
        <v>3379</v>
      </c>
      <c r="D46" s="6">
        <v>7369</v>
      </c>
      <c r="E46" s="6">
        <v>-3679</v>
      </c>
      <c r="F46" s="6">
        <v>8499</v>
      </c>
      <c r="G46" s="6">
        <v>2851</v>
      </c>
      <c r="H46" s="6">
        <v>5788</v>
      </c>
      <c r="I46" s="6">
        <v>7803.31</v>
      </c>
      <c r="J46" s="6">
        <v>-153.05000000000001</v>
      </c>
      <c r="K46" s="6">
        <v>15720.49</v>
      </c>
      <c r="L46" s="6">
        <v>610.41999999999996</v>
      </c>
      <c r="M46" s="6">
        <v>-1532.35</v>
      </c>
      <c r="N46" s="6">
        <v>-1212.47</v>
      </c>
      <c r="O46" s="6">
        <v>-1218.5999999999999</v>
      </c>
      <c r="P46" s="6">
        <v>-3118.77</v>
      </c>
      <c r="Q46" s="6">
        <v>-488</v>
      </c>
      <c r="R46" s="6">
        <v>-859.67</v>
      </c>
      <c r="S46" s="6">
        <v>-1809.4</v>
      </c>
      <c r="T46" s="6">
        <v>-1742.5</v>
      </c>
      <c r="U46" s="6">
        <v>-977.47</v>
      </c>
      <c r="V46" s="6">
        <v>-2554</v>
      </c>
      <c r="W46" s="6">
        <v>-1090</v>
      </c>
      <c r="X46" s="6">
        <v>-2494.67</v>
      </c>
      <c r="Y46" s="6">
        <v>-1485</v>
      </c>
      <c r="Z46" s="6">
        <v>-4495.01</v>
      </c>
      <c r="AA46" s="6">
        <v>-1947.33</v>
      </c>
      <c r="AB46" s="6">
        <v>-1724.67</v>
      </c>
      <c r="AC46" s="6">
        <v>-1500</v>
      </c>
      <c r="AD46" s="6">
        <v>-1797.25</v>
      </c>
      <c r="AE46" s="6">
        <v>-5919.16</v>
      </c>
    </row>
    <row r="47" spans="1:31" x14ac:dyDescent="0.25">
      <c r="A47" t="s">
        <v>190</v>
      </c>
      <c r="B47" s="6">
        <v>163</v>
      </c>
      <c r="C47" s="6">
        <v>-419.83</v>
      </c>
      <c r="D47" s="6">
        <v>2</v>
      </c>
      <c r="E47" s="6">
        <v>-63</v>
      </c>
      <c r="F47" s="6">
        <v>102</v>
      </c>
      <c r="G47" s="6">
        <v>1</v>
      </c>
      <c r="H47" s="6">
        <v>-1105.2</v>
      </c>
      <c r="I47" s="6">
        <v>-1257.1500000000001</v>
      </c>
      <c r="J47" s="6">
        <v>-1319.51</v>
      </c>
      <c r="K47" s="6">
        <v>-1982.44</v>
      </c>
      <c r="L47" s="6">
        <v>-830.36</v>
      </c>
      <c r="M47" s="6">
        <v>-833.38</v>
      </c>
      <c r="N47" s="6">
        <v>-835.46</v>
      </c>
      <c r="O47" s="6">
        <v>-837.18</v>
      </c>
      <c r="P47" s="6">
        <v>-3124.92</v>
      </c>
      <c r="Q47" s="6">
        <v>-1065.01</v>
      </c>
      <c r="R47" s="6">
        <v>-1069.33</v>
      </c>
      <c r="S47" s="6">
        <v>-1073.8499999999999</v>
      </c>
      <c r="T47" s="6">
        <v>-1078.1500000000001</v>
      </c>
      <c r="U47" s="6">
        <v>-3599.97</v>
      </c>
      <c r="V47" s="6">
        <v>-1456.3</v>
      </c>
      <c r="W47" s="6">
        <v>-1460.84</v>
      </c>
      <c r="X47" s="6">
        <v>-1466.42</v>
      </c>
      <c r="Y47" s="6">
        <v>-1470.59</v>
      </c>
      <c r="Z47" s="6">
        <v>-4182.8599999999997</v>
      </c>
      <c r="AA47" s="6">
        <v>-1474.33</v>
      </c>
      <c r="AB47" s="6">
        <v>-1477.99</v>
      </c>
      <c r="AC47" s="6">
        <v>-1483.25</v>
      </c>
      <c r="AD47" s="6">
        <v>-1487.65</v>
      </c>
      <c r="AE47" s="6">
        <v>-4238.96</v>
      </c>
    </row>
    <row r="48" spans="1:31" x14ac:dyDescent="0.25">
      <c r="A48" t="s">
        <v>191</v>
      </c>
      <c r="B48" s="6">
        <v>218</v>
      </c>
      <c r="C48" s="6">
        <v>961</v>
      </c>
      <c r="D48" s="6">
        <v>1490</v>
      </c>
      <c r="E48" s="6">
        <v>1831</v>
      </c>
      <c r="F48" s="6">
        <v>4500</v>
      </c>
      <c r="G48" s="6">
        <v>2475</v>
      </c>
      <c r="H48" s="6">
        <v>2194</v>
      </c>
      <c r="I48" s="6">
        <v>2566.39</v>
      </c>
      <c r="J48" s="6">
        <v>2552.35</v>
      </c>
      <c r="K48" s="6">
        <v>9415.91</v>
      </c>
      <c r="L48" s="6">
        <v>2009</v>
      </c>
      <c r="M48" s="6">
        <v>1960.83</v>
      </c>
      <c r="N48" s="6">
        <v>2023.93</v>
      </c>
      <c r="O48" s="6">
        <v>2031.62</v>
      </c>
      <c r="P48" s="6">
        <v>7940.65</v>
      </c>
      <c r="Q48" s="6">
        <v>1760.34</v>
      </c>
      <c r="R48" s="6">
        <v>1771.65</v>
      </c>
      <c r="S48" s="6">
        <v>1783.21</v>
      </c>
      <c r="T48" s="6">
        <v>1795.02</v>
      </c>
      <c r="U48" s="6">
        <v>6973.95</v>
      </c>
      <c r="V48" s="6">
        <v>1875</v>
      </c>
      <c r="W48" s="6">
        <v>1562.5</v>
      </c>
      <c r="X48" s="6">
        <v>1875</v>
      </c>
      <c r="Y48" s="6">
        <v>1875</v>
      </c>
      <c r="Z48" s="6">
        <v>8351.17</v>
      </c>
      <c r="AA48" s="6">
        <v>2187.5</v>
      </c>
      <c r="AB48" s="6">
        <v>1875</v>
      </c>
      <c r="AC48" s="6">
        <v>1875</v>
      </c>
      <c r="AD48" s="6">
        <v>1875</v>
      </c>
      <c r="AE48" s="6">
        <v>8553.19</v>
      </c>
    </row>
    <row r="49" spans="1:31" x14ac:dyDescent="0.25">
      <c r="A49" t="s">
        <v>192</v>
      </c>
      <c r="B49" s="6">
        <v>-55</v>
      </c>
      <c r="C49" s="6">
        <v>-961</v>
      </c>
      <c r="D49" s="6">
        <v>-1488</v>
      </c>
      <c r="E49" s="6">
        <v>-1894</v>
      </c>
      <c r="F49" s="6">
        <v>-4398</v>
      </c>
      <c r="G49" s="6">
        <v>-2474</v>
      </c>
      <c r="H49" s="6">
        <v>-2194</v>
      </c>
      <c r="I49" s="6">
        <v>-2621.89</v>
      </c>
      <c r="J49" s="6">
        <v>-2682.82</v>
      </c>
      <c r="K49" s="6">
        <v>-10477.91</v>
      </c>
      <c r="L49" s="6">
        <v>-2157.34</v>
      </c>
      <c r="M49" s="6">
        <v>-2112.04</v>
      </c>
      <c r="N49" s="6">
        <v>-2167.69</v>
      </c>
      <c r="O49" s="6">
        <v>-2192.5300000000002</v>
      </c>
      <c r="P49" s="6">
        <v>-8502.6</v>
      </c>
      <c r="Q49" s="6">
        <v>-1866.45</v>
      </c>
      <c r="R49" s="6">
        <v>-1875.47</v>
      </c>
      <c r="S49" s="6">
        <v>-1884.74</v>
      </c>
      <c r="T49" s="6">
        <v>-1894.14</v>
      </c>
      <c r="U49" s="6">
        <v>-7780.92</v>
      </c>
      <c r="V49" s="6">
        <v>-2082.52</v>
      </c>
      <c r="W49" s="6">
        <v>-1834.34</v>
      </c>
      <c r="X49" s="6">
        <v>-2086.5700000000002</v>
      </c>
      <c r="Y49" s="6">
        <v>-2088.2399999999998</v>
      </c>
      <c r="Z49" s="6">
        <v>-8384.07</v>
      </c>
      <c r="AA49" s="6">
        <v>-2339.73</v>
      </c>
      <c r="AB49" s="6">
        <v>-2091.1999999999998</v>
      </c>
      <c r="AC49" s="6">
        <v>-2093.3000000000002</v>
      </c>
      <c r="AD49" s="6">
        <v>-2095.06</v>
      </c>
      <c r="AE49" s="6">
        <v>-8455.4699999999993</v>
      </c>
    </row>
    <row r="50" spans="1:31" x14ac:dyDescent="0.25">
      <c r="A50" t="s">
        <v>193</v>
      </c>
      <c r="B50" s="6">
        <v>2091</v>
      </c>
      <c r="C50" s="6">
        <v>2044</v>
      </c>
      <c r="D50" s="6">
        <v>2033</v>
      </c>
      <c r="E50" s="6">
        <v>2012</v>
      </c>
      <c r="F50" s="6">
        <v>8180</v>
      </c>
      <c r="G50" s="6">
        <v>1997</v>
      </c>
      <c r="H50" s="6">
        <v>1976</v>
      </c>
      <c r="I50" s="6">
        <v>1915.33</v>
      </c>
      <c r="J50" s="6">
        <v>1887.14</v>
      </c>
      <c r="K50" s="6">
        <v>7760.26</v>
      </c>
      <c r="L50" s="6">
        <v>1866.35</v>
      </c>
      <c r="M50" s="6">
        <v>1842.21</v>
      </c>
      <c r="N50" s="6">
        <v>1821.14</v>
      </c>
      <c r="O50" s="6">
        <v>1800.44</v>
      </c>
      <c r="P50" s="6">
        <v>7351.62</v>
      </c>
      <c r="Q50" s="6">
        <v>1787.33</v>
      </c>
      <c r="R50" s="6">
        <v>1768.88</v>
      </c>
      <c r="S50" s="6">
        <v>1750.41</v>
      </c>
      <c r="T50" s="6">
        <v>1741.88</v>
      </c>
      <c r="U50" s="6">
        <v>7110.7</v>
      </c>
      <c r="V50" s="6">
        <v>1744.64</v>
      </c>
      <c r="W50" s="6">
        <v>1723.76</v>
      </c>
      <c r="X50" s="6">
        <v>1706.2</v>
      </c>
      <c r="Y50" s="6">
        <v>1699.78</v>
      </c>
      <c r="Z50" s="6">
        <v>6919.41</v>
      </c>
      <c r="AA50" s="6">
        <v>1696.42</v>
      </c>
      <c r="AB50" s="6">
        <v>1675.47</v>
      </c>
      <c r="AC50" s="6">
        <v>1657.01</v>
      </c>
      <c r="AD50" s="6">
        <v>1651.26</v>
      </c>
      <c r="AE50" s="6">
        <v>6727.34</v>
      </c>
    </row>
    <row r="51" spans="1:31" x14ac:dyDescent="0.25">
      <c r="A51" t="s">
        <v>194</v>
      </c>
      <c r="B51" s="6">
        <v>163</v>
      </c>
      <c r="C51" s="6">
        <v>-419</v>
      </c>
      <c r="D51" s="6">
        <v>-859</v>
      </c>
      <c r="E51" s="6">
        <v>-1192</v>
      </c>
      <c r="F51" s="6">
        <v>-2307</v>
      </c>
      <c r="G51" s="6">
        <v>-477</v>
      </c>
      <c r="H51" s="6">
        <v>-938</v>
      </c>
      <c r="I51" s="6">
        <v>419.11</v>
      </c>
      <c r="J51" s="6">
        <v>-335.67</v>
      </c>
      <c r="K51" s="6">
        <v>-830.13</v>
      </c>
      <c r="L51" s="6">
        <v>-441.14</v>
      </c>
      <c r="M51" s="6">
        <v>-488.21</v>
      </c>
      <c r="N51" s="6">
        <v>-474.65</v>
      </c>
      <c r="O51" s="6">
        <v>-471.61</v>
      </c>
      <c r="P51" s="6">
        <v>-1319.83</v>
      </c>
      <c r="Q51" s="6">
        <v>-586.73</v>
      </c>
      <c r="R51" s="6">
        <v>-611.66999999999996</v>
      </c>
      <c r="S51" s="6">
        <v>-595.36</v>
      </c>
      <c r="T51" s="6">
        <v>-592.02</v>
      </c>
      <c r="U51" s="6">
        <v>-1375.23</v>
      </c>
      <c r="V51" s="6">
        <v>-497.42</v>
      </c>
      <c r="W51" s="6">
        <v>-522.84</v>
      </c>
      <c r="X51" s="6">
        <v>-505.45</v>
      </c>
      <c r="Y51" s="6">
        <v>-502.06</v>
      </c>
      <c r="Z51" s="6">
        <v>-649.44000000000005</v>
      </c>
      <c r="AA51" s="6">
        <v>-494.97</v>
      </c>
      <c r="AB51" s="6">
        <v>-517.88</v>
      </c>
      <c r="AC51" s="6">
        <v>-502.22</v>
      </c>
      <c r="AD51" s="6">
        <v>-499.18</v>
      </c>
      <c r="AE51" s="6">
        <v>-1018.39</v>
      </c>
    </row>
    <row r="52" spans="1:31" x14ac:dyDescent="0.25">
      <c r="A52" t="s">
        <v>195</v>
      </c>
      <c r="B52" s="6">
        <v>-553</v>
      </c>
      <c r="C52" s="6">
        <v>-45</v>
      </c>
      <c r="D52" s="6">
        <v>2989</v>
      </c>
      <c r="E52" s="6">
        <v>-8777</v>
      </c>
      <c r="F52" s="6">
        <v>-6386</v>
      </c>
      <c r="G52" s="6">
        <v>-2097</v>
      </c>
      <c r="H52" s="6">
        <v>680</v>
      </c>
      <c r="I52" s="6">
        <v>3309.21</v>
      </c>
      <c r="J52" s="6">
        <v>-4642.8500000000004</v>
      </c>
      <c r="K52" s="6">
        <v>-2156.7399999999998</v>
      </c>
      <c r="L52" s="6">
        <v>-3875.28</v>
      </c>
      <c r="M52" s="6">
        <v>-4956.96</v>
      </c>
      <c r="N52" s="6">
        <v>-4943.53</v>
      </c>
      <c r="O52" s="6">
        <v>-5045.72</v>
      </c>
      <c r="P52" s="6">
        <v>-18663.599999999999</v>
      </c>
      <c r="Q52" s="6">
        <v>-4337.54</v>
      </c>
      <c r="R52" s="6">
        <v>-4567.3999999999996</v>
      </c>
      <c r="S52" s="6">
        <v>-5622.26</v>
      </c>
      <c r="T52" s="6">
        <v>-5267.73</v>
      </c>
      <c r="U52" s="6">
        <v>-16717.11</v>
      </c>
      <c r="V52" s="6">
        <v>-5633.25</v>
      </c>
      <c r="W52" s="6">
        <v>-4911.51</v>
      </c>
      <c r="X52" s="6">
        <v>-6195.9</v>
      </c>
      <c r="Y52" s="6">
        <v>-5478.08</v>
      </c>
      <c r="Z52" s="6">
        <v>-19797.009999999998</v>
      </c>
      <c r="AA52" s="6">
        <v>-5699.52</v>
      </c>
      <c r="AB52" s="6">
        <v>-5319.35</v>
      </c>
      <c r="AC52" s="6">
        <v>-5452.53</v>
      </c>
      <c r="AD52" s="6">
        <v>-5683.3</v>
      </c>
      <c r="AE52" s="6">
        <v>-20970.77</v>
      </c>
    </row>
    <row r="53" spans="1:31" x14ac:dyDescent="0.25">
      <c r="A53" t="s">
        <v>196</v>
      </c>
      <c r="B53" s="7" t="s">
        <v>104</v>
      </c>
      <c r="C53" s="7" t="s">
        <v>104</v>
      </c>
      <c r="D53" s="7" t="s">
        <v>104</v>
      </c>
      <c r="E53" s="7" t="s">
        <v>104</v>
      </c>
      <c r="F53" s="7" t="s">
        <v>104</v>
      </c>
      <c r="G53" s="7" t="s">
        <v>104</v>
      </c>
      <c r="H53" s="7" t="s">
        <v>104</v>
      </c>
      <c r="I53" s="7" t="s">
        <v>104</v>
      </c>
      <c r="J53" s="7" t="s">
        <v>104</v>
      </c>
      <c r="K53" s="6">
        <v>-4171</v>
      </c>
      <c r="L53" s="7" t="s">
        <v>104</v>
      </c>
      <c r="M53" s="7" t="s">
        <v>104</v>
      </c>
      <c r="N53" s="7" t="s">
        <v>104</v>
      </c>
      <c r="O53" s="7" t="s">
        <v>104</v>
      </c>
      <c r="P53" s="7" t="s">
        <v>104</v>
      </c>
      <c r="Q53" s="7" t="s">
        <v>104</v>
      </c>
      <c r="R53" s="7" t="s">
        <v>104</v>
      </c>
      <c r="S53" s="7" t="s">
        <v>104</v>
      </c>
      <c r="T53" s="7" t="s">
        <v>104</v>
      </c>
      <c r="U53" s="7" t="s">
        <v>104</v>
      </c>
      <c r="V53" s="7" t="s">
        <v>104</v>
      </c>
      <c r="W53" s="7" t="s">
        <v>104</v>
      </c>
      <c r="X53" s="7" t="s">
        <v>104</v>
      </c>
      <c r="Y53" s="7" t="s">
        <v>104</v>
      </c>
      <c r="Z53" s="7" t="s">
        <v>104</v>
      </c>
      <c r="AA53" s="7" t="s">
        <v>104</v>
      </c>
      <c r="AB53" s="7" t="s">
        <v>104</v>
      </c>
      <c r="AC53" s="7" t="s">
        <v>104</v>
      </c>
      <c r="AD53" s="7" t="s">
        <v>104</v>
      </c>
      <c r="AE53" s="7" t="s">
        <v>104</v>
      </c>
    </row>
    <row r="54" spans="1:31" x14ac:dyDescent="0.25">
      <c r="A54" t="s">
        <v>197</v>
      </c>
      <c r="B54" s="6">
        <v>-553</v>
      </c>
      <c r="C54" s="6">
        <v>-45</v>
      </c>
      <c r="D54" s="6">
        <v>2989</v>
      </c>
      <c r="E54" s="6">
        <v>-8777</v>
      </c>
      <c r="F54" s="6">
        <v>-6386</v>
      </c>
      <c r="G54" s="6">
        <v>-2097</v>
      </c>
      <c r="H54" s="6">
        <v>680</v>
      </c>
      <c r="I54" s="6">
        <v>2069.14</v>
      </c>
      <c r="J54" s="6">
        <v>-4777.46</v>
      </c>
      <c r="K54" s="6">
        <v>-3759.74</v>
      </c>
      <c r="L54" s="6">
        <v>-3837.95</v>
      </c>
      <c r="M54" s="6">
        <v>-4983.97</v>
      </c>
      <c r="N54" s="6">
        <v>-4983.46</v>
      </c>
      <c r="O54" s="6">
        <v>-4839.41</v>
      </c>
      <c r="P54" s="6">
        <v>-18714.27</v>
      </c>
      <c r="Q54" s="6">
        <v>-4112.3500000000004</v>
      </c>
      <c r="R54" s="6">
        <v>-4293.5</v>
      </c>
      <c r="S54" s="6">
        <v>-5365.29</v>
      </c>
      <c r="T54" s="6">
        <v>-5024.63</v>
      </c>
      <c r="U54" s="6">
        <v>-16598.599999999999</v>
      </c>
      <c r="V54" s="6">
        <v>-5203.34</v>
      </c>
      <c r="W54" s="6">
        <v>-4680</v>
      </c>
      <c r="X54" s="6">
        <v>-5762.82</v>
      </c>
      <c r="Y54" s="6">
        <v>-5374.89</v>
      </c>
      <c r="Z54" s="6">
        <v>-19900.38</v>
      </c>
      <c r="AA54" s="6">
        <v>-5651.26</v>
      </c>
      <c r="AB54" s="6">
        <v>-5151.6400000000003</v>
      </c>
      <c r="AC54" s="6">
        <v>-5341.61</v>
      </c>
      <c r="AD54" s="6">
        <v>-5637.72</v>
      </c>
      <c r="AE54" s="6">
        <v>-21182.59</v>
      </c>
    </row>
    <row r="55" spans="1:31" x14ac:dyDescent="0.25">
      <c r="A55" t="s">
        <v>198</v>
      </c>
      <c r="B55" s="6">
        <v>49</v>
      </c>
      <c r="C55" s="6">
        <v>-18</v>
      </c>
      <c r="D55" s="6">
        <v>21</v>
      </c>
      <c r="E55" s="6">
        <v>-237</v>
      </c>
      <c r="F55" s="6">
        <v>-185</v>
      </c>
      <c r="G55" s="6">
        <v>-4209</v>
      </c>
      <c r="H55" s="6">
        <v>-123</v>
      </c>
      <c r="I55" s="6">
        <v>-360</v>
      </c>
      <c r="J55" s="6">
        <v>-125</v>
      </c>
      <c r="K55" s="6">
        <v>-4385</v>
      </c>
      <c r="L55" s="7" t="s">
        <v>104</v>
      </c>
      <c r="M55" s="7" t="s">
        <v>104</v>
      </c>
      <c r="N55" s="7" t="s">
        <v>104</v>
      </c>
      <c r="O55" s="7" t="s">
        <v>104</v>
      </c>
      <c r="P55" s="7" t="s">
        <v>104</v>
      </c>
      <c r="Q55" s="7" t="s">
        <v>104</v>
      </c>
      <c r="R55" s="7" t="s">
        <v>104</v>
      </c>
      <c r="S55" s="7" t="s">
        <v>104</v>
      </c>
      <c r="T55" s="7" t="s">
        <v>104</v>
      </c>
      <c r="U55" s="7" t="s">
        <v>104</v>
      </c>
      <c r="V55" s="7" t="s">
        <v>104</v>
      </c>
      <c r="W55" s="7" t="s">
        <v>104</v>
      </c>
      <c r="X55" s="7" t="s">
        <v>104</v>
      </c>
      <c r="Y55" s="7" t="s">
        <v>104</v>
      </c>
      <c r="Z55" s="7" t="s">
        <v>104</v>
      </c>
      <c r="AA55" s="7" t="s">
        <v>104</v>
      </c>
      <c r="AB55" s="7" t="s">
        <v>104</v>
      </c>
      <c r="AC55" s="7" t="s">
        <v>104</v>
      </c>
      <c r="AD55" s="7" t="s">
        <v>104</v>
      </c>
      <c r="AE55" s="7" t="s">
        <v>104</v>
      </c>
    </row>
    <row r="56" spans="1:31" x14ac:dyDescent="0.25">
      <c r="A56" t="s">
        <v>199</v>
      </c>
      <c r="B56" s="6">
        <v>3538</v>
      </c>
      <c r="C56" s="6">
        <v>3632</v>
      </c>
      <c r="D56" s="6">
        <v>9752</v>
      </c>
      <c r="E56" s="6">
        <v>-1801</v>
      </c>
      <c r="F56" s="6">
        <v>15121</v>
      </c>
      <c r="G56" s="6">
        <v>-6195</v>
      </c>
      <c r="H56" s="6">
        <v>5609</v>
      </c>
      <c r="I56" s="6">
        <v>-14735.38</v>
      </c>
      <c r="J56" s="6">
        <v>1841.98</v>
      </c>
      <c r="K56" s="6">
        <v>-11478.61</v>
      </c>
      <c r="L56" s="6">
        <v>-877.82</v>
      </c>
      <c r="M56" s="6">
        <v>468.23</v>
      </c>
      <c r="N56" s="6">
        <v>-269.38</v>
      </c>
      <c r="O56" s="6">
        <v>2068.98</v>
      </c>
      <c r="P56" s="6">
        <v>1639.77</v>
      </c>
      <c r="Q56" s="6">
        <v>-348.37</v>
      </c>
      <c r="R56" s="6">
        <v>1706.24</v>
      </c>
      <c r="S56" s="6">
        <v>1063.52</v>
      </c>
      <c r="T56" s="6">
        <v>2447.63</v>
      </c>
      <c r="U56" s="6">
        <v>3900.13</v>
      </c>
      <c r="V56" s="6">
        <v>-854.35</v>
      </c>
      <c r="W56" s="6">
        <v>1737.69</v>
      </c>
      <c r="X56" s="6">
        <v>38.99</v>
      </c>
      <c r="Y56" s="6">
        <v>2598.19</v>
      </c>
      <c r="Z56" s="6">
        <v>3441.38</v>
      </c>
      <c r="AA56" s="6">
        <v>-628.98</v>
      </c>
      <c r="AB56" s="6">
        <v>1751.14</v>
      </c>
      <c r="AC56" s="6">
        <v>1621.13</v>
      </c>
      <c r="AD56" s="6">
        <v>2463.7800000000002</v>
      </c>
      <c r="AE56" s="6">
        <v>4625.63</v>
      </c>
    </row>
    <row r="57" spans="1:31" x14ac:dyDescent="0.25">
      <c r="A57" t="s">
        <v>200</v>
      </c>
      <c r="B57" s="6">
        <v>3406</v>
      </c>
      <c r="C57" s="6">
        <v>6944</v>
      </c>
      <c r="D57" s="6">
        <v>10576</v>
      </c>
      <c r="E57" s="6">
        <v>20328</v>
      </c>
      <c r="F57" s="6">
        <v>3406</v>
      </c>
      <c r="G57" s="6">
        <v>18527</v>
      </c>
      <c r="H57" s="6">
        <v>12332</v>
      </c>
      <c r="I57" s="6">
        <v>18045.29</v>
      </c>
      <c r="J57" s="6">
        <v>4331.29</v>
      </c>
      <c r="K57" s="6">
        <v>18391.57</v>
      </c>
      <c r="L57" s="6">
        <v>6422.04</v>
      </c>
      <c r="M57" s="6">
        <v>5374.67</v>
      </c>
      <c r="N57" s="6">
        <v>6070.73</v>
      </c>
      <c r="O57" s="6">
        <v>7260.26</v>
      </c>
      <c r="P57" s="6">
        <v>6728.25</v>
      </c>
      <c r="Q57" s="6">
        <v>11393.87</v>
      </c>
      <c r="R57" s="6">
        <v>11005.26</v>
      </c>
      <c r="S57" s="6">
        <v>13063.43</v>
      </c>
      <c r="T57" s="6">
        <v>11625.41</v>
      </c>
      <c r="U57" s="6">
        <v>9574.1</v>
      </c>
      <c r="V57" s="6">
        <v>9831.7000000000007</v>
      </c>
      <c r="W57" s="6">
        <v>12082.51</v>
      </c>
      <c r="X57" s="6">
        <v>14332.62</v>
      </c>
      <c r="Y57" s="6">
        <v>14283.1</v>
      </c>
      <c r="Z57" s="6">
        <v>10512.81</v>
      </c>
      <c r="AA57" s="6">
        <v>17457.849999999999</v>
      </c>
      <c r="AB57" s="6">
        <v>17561.23</v>
      </c>
      <c r="AC57" s="6">
        <v>19889.87</v>
      </c>
      <c r="AD57" s="6">
        <v>21303.360000000001</v>
      </c>
      <c r="AE57" s="6">
        <v>15211.02</v>
      </c>
    </row>
    <row r="58" spans="1:31" x14ac:dyDescent="0.25">
      <c r="A58" t="s">
        <v>201</v>
      </c>
      <c r="B58" s="6">
        <v>6944</v>
      </c>
      <c r="C58" s="6">
        <v>10576</v>
      </c>
      <c r="D58" s="6">
        <v>20328</v>
      </c>
      <c r="E58" s="6">
        <v>18527</v>
      </c>
      <c r="F58" s="6">
        <v>18527</v>
      </c>
      <c r="G58" s="6">
        <v>12332</v>
      </c>
      <c r="H58" s="6">
        <v>17941</v>
      </c>
      <c r="I58" s="6">
        <v>4331.29</v>
      </c>
      <c r="J58" s="6">
        <v>6237.56</v>
      </c>
      <c r="K58" s="6">
        <v>7032.52</v>
      </c>
      <c r="L58" s="6">
        <v>5374.67</v>
      </c>
      <c r="M58" s="6">
        <v>6070.73</v>
      </c>
      <c r="N58" s="6">
        <v>7260.26</v>
      </c>
      <c r="O58" s="6">
        <v>8979.14</v>
      </c>
      <c r="P58" s="6">
        <v>9206.8700000000008</v>
      </c>
      <c r="Q58" s="6">
        <v>11005.26</v>
      </c>
      <c r="R58" s="6">
        <v>13063.43</v>
      </c>
      <c r="S58" s="6">
        <v>13923.13</v>
      </c>
      <c r="T58" s="6">
        <v>12148.06</v>
      </c>
      <c r="U58" s="6">
        <v>10719.72</v>
      </c>
      <c r="V58" s="6">
        <v>11989.36</v>
      </c>
      <c r="W58" s="6">
        <v>14237.2</v>
      </c>
      <c r="X58" s="6">
        <v>14184.89</v>
      </c>
      <c r="Y58" s="6">
        <v>17357.560000000001</v>
      </c>
      <c r="Z58" s="6">
        <v>14332.83</v>
      </c>
      <c r="AA58" s="6">
        <v>17459.07</v>
      </c>
      <c r="AB58" s="6">
        <v>19785.87</v>
      </c>
      <c r="AC58" s="6">
        <v>21196.73</v>
      </c>
      <c r="AD58" s="6">
        <v>24532.06</v>
      </c>
      <c r="AE58" s="6">
        <v>19669.560000000001</v>
      </c>
    </row>
    <row r="59" spans="1:31" x14ac:dyDescent="0.25">
      <c r="A59" t="s">
        <v>77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x14ac:dyDescent="0.25">
      <c r="A60" t="s">
        <v>202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x14ac:dyDescent="0.25">
      <c r="A61" t="s">
        <v>203</v>
      </c>
      <c r="B61" s="6">
        <v>4240</v>
      </c>
      <c r="C61" s="6">
        <v>4857</v>
      </c>
      <c r="D61" s="6">
        <v>4843</v>
      </c>
      <c r="E61" s="6">
        <v>6737</v>
      </c>
      <c r="F61" s="6">
        <v>20677</v>
      </c>
      <c r="G61" s="6">
        <v>4835</v>
      </c>
      <c r="H61" s="6">
        <v>5651</v>
      </c>
      <c r="I61" s="6">
        <v>5341.41</v>
      </c>
      <c r="J61" s="6">
        <v>6256.3</v>
      </c>
      <c r="K61" s="6">
        <v>22095.08</v>
      </c>
      <c r="L61" s="6">
        <v>5085.7700000000004</v>
      </c>
      <c r="M61" s="6">
        <v>5531.11</v>
      </c>
      <c r="N61" s="6">
        <v>5372.17</v>
      </c>
      <c r="O61" s="6">
        <v>5955.78</v>
      </c>
      <c r="P61" s="6">
        <v>21855.14</v>
      </c>
      <c r="Q61" s="6">
        <v>4875.4799999999996</v>
      </c>
      <c r="R61" s="6">
        <v>5468.8</v>
      </c>
      <c r="S61" s="6">
        <v>5208.01</v>
      </c>
      <c r="T61" s="6">
        <v>5879.41</v>
      </c>
      <c r="U61" s="6">
        <v>21552.69</v>
      </c>
      <c r="V61" s="6">
        <v>4968.91</v>
      </c>
      <c r="W61" s="6">
        <v>5508.8</v>
      </c>
      <c r="X61" s="6">
        <v>5352.51</v>
      </c>
      <c r="Y61" s="6">
        <v>5816.78</v>
      </c>
      <c r="Z61" s="6">
        <v>21674.27</v>
      </c>
      <c r="AA61" s="6">
        <v>5001.5200000000004</v>
      </c>
      <c r="AB61" s="6">
        <v>5543.34</v>
      </c>
      <c r="AC61" s="6">
        <v>5386.76</v>
      </c>
      <c r="AD61" s="6">
        <v>5860.02</v>
      </c>
      <c r="AE61" s="6">
        <v>21329.22</v>
      </c>
    </row>
    <row r="62" spans="1:31" x14ac:dyDescent="0.25">
      <c r="A62" t="s">
        <v>204</v>
      </c>
      <c r="B62" s="6">
        <v>37</v>
      </c>
      <c r="C62" s="6">
        <v>40</v>
      </c>
      <c r="D62" s="6">
        <v>44</v>
      </c>
      <c r="E62" s="6">
        <v>44</v>
      </c>
      <c r="F62" s="6">
        <v>165</v>
      </c>
      <c r="G62" s="6">
        <v>42</v>
      </c>
      <c r="H62" s="6">
        <v>49</v>
      </c>
      <c r="I62" s="6">
        <v>40.81</v>
      </c>
      <c r="J62" s="6">
        <v>41.58</v>
      </c>
      <c r="K62" s="6">
        <v>173.39</v>
      </c>
      <c r="L62" s="6">
        <v>38.04</v>
      </c>
      <c r="M62" s="6">
        <v>40.5</v>
      </c>
      <c r="N62" s="6">
        <v>39.94</v>
      </c>
      <c r="O62" s="6">
        <v>40.82</v>
      </c>
      <c r="P62" s="6">
        <v>157.97999999999999</v>
      </c>
      <c r="Q62" s="6">
        <v>42.13</v>
      </c>
      <c r="R62" s="6">
        <v>45.63</v>
      </c>
      <c r="S62" s="6">
        <v>44.95</v>
      </c>
      <c r="T62" s="6">
        <v>46.25</v>
      </c>
      <c r="U62" s="6">
        <v>156.80000000000001</v>
      </c>
      <c r="V62" s="6">
        <v>43</v>
      </c>
      <c r="W62" s="6">
        <v>45.34</v>
      </c>
      <c r="X62" s="6">
        <v>44.97</v>
      </c>
      <c r="Y62" s="6">
        <v>46.71</v>
      </c>
      <c r="Z62" s="6">
        <v>153.01</v>
      </c>
      <c r="AA62" s="6">
        <v>43.14</v>
      </c>
      <c r="AB62" s="6">
        <v>45.5</v>
      </c>
      <c r="AC62" s="6">
        <v>45.12</v>
      </c>
      <c r="AD62" s="6">
        <v>46.89</v>
      </c>
      <c r="AE62" s="6">
        <v>153.38999999999999</v>
      </c>
    </row>
    <row r="63" spans="1:31" x14ac:dyDescent="0.25">
      <c r="A63" t="s">
        <v>205</v>
      </c>
      <c r="B63" s="6">
        <v>4277</v>
      </c>
      <c r="C63" s="6">
        <v>4897</v>
      </c>
      <c r="D63" s="6">
        <v>4887</v>
      </c>
      <c r="E63" s="6">
        <v>6781</v>
      </c>
      <c r="F63" s="6">
        <v>20842</v>
      </c>
      <c r="G63" s="6">
        <v>4877</v>
      </c>
      <c r="H63" s="6">
        <v>5700</v>
      </c>
      <c r="I63" s="6">
        <v>5553.66</v>
      </c>
      <c r="J63" s="6">
        <v>6262.03</v>
      </c>
      <c r="K63" s="6">
        <v>22460.63</v>
      </c>
      <c r="L63" s="6">
        <v>4997.7</v>
      </c>
      <c r="M63" s="6">
        <v>5546.95</v>
      </c>
      <c r="N63" s="6">
        <v>5616.37</v>
      </c>
      <c r="O63" s="6">
        <v>6217.85</v>
      </c>
      <c r="P63" s="6">
        <v>22488.81</v>
      </c>
      <c r="Q63" s="6">
        <v>4840.45</v>
      </c>
      <c r="R63" s="6">
        <v>5488.73</v>
      </c>
      <c r="S63" s="6">
        <v>5606.05</v>
      </c>
      <c r="T63" s="6">
        <v>6124.59</v>
      </c>
      <c r="U63" s="6">
        <v>22309.68</v>
      </c>
      <c r="V63" s="6">
        <v>4958.76</v>
      </c>
      <c r="W63" s="6">
        <v>5618.59</v>
      </c>
      <c r="X63" s="6">
        <v>5604.87</v>
      </c>
      <c r="Y63" s="6">
        <v>5868.84</v>
      </c>
      <c r="Z63" s="6">
        <v>22208.62</v>
      </c>
      <c r="AA63" s="6">
        <v>4932.12</v>
      </c>
      <c r="AB63" s="6">
        <v>5598.78</v>
      </c>
      <c r="AC63" s="6">
        <v>5589.8</v>
      </c>
      <c r="AD63" s="6">
        <v>5848.85</v>
      </c>
      <c r="AE63" s="6">
        <v>21871.34</v>
      </c>
    </row>
    <row r="64" spans="1:31" x14ac:dyDescent="0.25">
      <c r="A64" t="s">
        <v>206</v>
      </c>
      <c r="B64" s="6">
        <v>203</v>
      </c>
      <c r="C64" s="6">
        <v>220</v>
      </c>
      <c r="D64" s="6">
        <v>400</v>
      </c>
      <c r="E64" s="6">
        <v>358</v>
      </c>
      <c r="F64" s="6">
        <v>1181</v>
      </c>
      <c r="G64" s="6">
        <v>212</v>
      </c>
      <c r="H64" s="6">
        <v>431</v>
      </c>
      <c r="I64" s="6">
        <v>295.02</v>
      </c>
      <c r="J64" s="6">
        <v>286.51</v>
      </c>
      <c r="K64" s="6">
        <v>1201.74</v>
      </c>
      <c r="L64" s="6">
        <v>292.56</v>
      </c>
      <c r="M64" s="6">
        <v>315.08</v>
      </c>
      <c r="N64" s="6">
        <v>303</v>
      </c>
      <c r="O64" s="6">
        <v>300.64999999999998</v>
      </c>
      <c r="P64" s="6">
        <v>1091.06</v>
      </c>
      <c r="Q64" s="6">
        <v>305.95</v>
      </c>
      <c r="R64" s="6">
        <v>325.98</v>
      </c>
      <c r="S64" s="6">
        <v>312.17</v>
      </c>
      <c r="T64" s="6">
        <v>309.48</v>
      </c>
      <c r="U64" s="6">
        <v>1117.57</v>
      </c>
      <c r="V64" s="6">
        <v>284.42</v>
      </c>
      <c r="W64" s="6">
        <v>309.64999999999998</v>
      </c>
      <c r="X64" s="6">
        <v>292.26</v>
      </c>
      <c r="Y64" s="6">
        <v>288.87</v>
      </c>
      <c r="Z64" s="6">
        <v>1145.48</v>
      </c>
      <c r="AA64" s="6">
        <v>281.98</v>
      </c>
      <c r="AB64" s="6">
        <v>304.69</v>
      </c>
      <c r="AC64" s="6">
        <v>289.02999999999997</v>
      </c>
      <c r="AD64" s="6">
        <v>285.98</v>
      </c>
      <c r="AE64" s="6">
        <v>1141.3499999999999</v>
      </c>
    </row>
    <row r="65" spans="1:31" x14ac:dyDescent="0.25">
      <c r="A65" t="s">
        <v>207</v>
      </c>
      <c r="B65" s="6">
        <v>4480</v>
      </c>
      <c r="C65" s="6">
        <v>5117</v>
      </c>
      <c r="D65" s="6">
        <v>5287</v>
      </c>
      <c r="E65" s="6">
        <v>7139</v>
      </c>
      <c r="F65" s="6">
        <v>22023</v>
      </c>
      <c r="G65" s="6">
        <v>5089</v>
      </c>
      <c r="H65" s="6">
        <v>6131</v>
      </c>
      <c r="I65" s="6">
        <v>5839.69</v>
      </c>
      <c r="J65" s="6">
        <v>6550.91</v>
      </c>
      <c r="K65" s="6">
        <v>23660.41</v>
      </c>
      <c r="L65" s="6">
        <v>5221.4799999999996</v>
      </c>
      <c r="M65" s="6">
        <v>5852.89</v>
      </c>
      <c r="N65" s="6">
        <v>5922.42</v>
      </c>
      <c r="O65" s="6">
        <v>6529.64</v>
      </c>
      <c r="P65" s="6">
        <v>23544.720000000001</v>
      </c>
      <c r="Q65" s="6">
        <v>5146.41</v>
      </c>
      <c r="R65" s="6">
        <v>5814.71</v>
      </c>
      <c r="S65" s="6">
        <v>5918.22</v>
      </c>
      <c r="T65" s="6">
        <v>6434.07</v>
      </c>
      <c r="U65" s="6">
        <v>23301.87</v>
      </c>
      <c r="V65" s="6">
        <v>5243.18</v>
      </c>
      <c r="W65" s="6">
        <v>5928.24</v>
      </c>
      <c r="X65" s="6">
        <v>5897.13</v>
      </c>
      <c r="Y65" s="6">
        <v>6157.71</v>
      </c>
      <c r="Z65" s="6">
        <v>23073.21</v>
      </c>
      <c r="AA65" s="6">
        <v>5214.1000000000004</v>
      </c>
      <c r="AB65" s="6">
        <v>5903.47</v>
      </c>
      <c r="AC65" s="6">
        <v>5878.83</v>
      </c>
      <c r="AD65" s="6">
        <v>6134.83</v>
      </c>
      <c r="AE65" s="6">
        <v>22717.65</v>
      </c>
    </row>
    <row r="66" spans="1:31" x14ac:dyDescent="0.25">
      <c r="A66" t="s">
        <v>208</v>
      </c>
      <c r="B66" s="7" t="s">
        <v>104</v>
      </c>
      <c r="C66" s="7" t="s">
        <v>104</v>
      </c>
      <c r="D66" s="7" t="s">
        <v>104</v>
      </c>
      <c r="E66" s="7" t="s">
        <v>104</v>
      </c>
      <c r="F66" s="7" t="s">
        <v>104</v>
      </c>
      <c r="G66" s="7" t="s">
        <v>104</v>
      </c>
      <c r="H66" s="7" t="s">
        <v>104</v>
      </c>
      <c r="I66" s="7" t="s">
        <v>104</v>
      </c>
      <c r="J66" s="7" t="s">
        <v>104</v>
      </c>
      <c r="K66" s="7" t="s">
        <v>104</v>
      </c>
      <c r="L66" s="7" t="s">
        <v>104</v>
      </c>
      <c r="M66" s="7" t="s">
        <v>104</v>
      </c>
      <c r="N66" s="7" t="s">
        <v>104</v>
      </c>
      <c r="O66" s="7" t="s">
        <v>104</v>
      </c>
      <c r="P66" s="7" t="s">
        <v>104</v>
      </c>
      <c r="Q66" s="7" t="s">
        <v>104</v>
      </c>
      <c r="R66" s="7" t="s">
        <v>104</v>
      </c>
      <c r="S66" s="7" t="s">
        <v>104</v>
      </c>
      <c r="T66" s="7" t="s">
        <v>104</v>
      </c>
      <c r="U66" s="7" t="s">
        <v>104</v>
      </c>
      <c r="V66" s="7" t="s">
        <v>104</v>
      </c>
      <c r="W66" s="7" t="s">
        <v>104</v>
      </c>
      <c r="X66" s="7" t="s">
        <v>104</v>
      </c>
      <c r="Y66" s="7" t="s">
        <v>104</v>
      </c>
      <c r="Z66" s="7" t="s">
        <v>104</v>
      </c>
      <c r="AA66" s="7" t="s">
        <v>104</v>
      </c>
      <c r="AB66" s="7" t="s">
        <v>104</v>
      </c>
      <c r="AC66" s="7" t="s">
        <v>104</v>
      </c>
      <c r="AD66" s="7" t="s">
        <v>104</v>
      </c>
      <c r="AE66" s="7" t="s">
        <v>104</v>
      </c>
    </row>
    <row r="67" spans="1:31" x14ac:dyDescent="0.25">
      <c r="A67" t="s">
        <v>209</v>
      </c>
      <c r="B67" s="6">
        <v>4480</v>
      </c>
      <c r="C67" s="6">
        <v>5117</v>
      </c>
      <c r="D67" s="6">
        <v>5287</v>
      </c>
      <c r="E67" s="6">
        <v>7139</v>
      </c>
      <c r="F67" s="6">
        <v>22023</v>
      </c>
      <c r="G67" s="6">
        <v>5089</v>
      </c>
      <c r="H67" s="6">
        <v>6131</v>
      </c>
      <c r="I67" s="6">
        <v>5839.69</v>
      </c>
      <c r="J67" s="6">
        <v>6550.91</v>
      </c>
      <c r="K67" s="6">
        <v>23660.41</v>
      </c>
      <c r="L67" s="6">
        <v>5221.4799999999996</v>
      </c>
      <c r="M67" s="6">
        <v>5852.89</v>
      </c>
      <c r="N67" s="6">
        <v>5922.42</v>
      </c>
      <c r="O67" s="6">
        <v>6529.64</v>
      </c>
      <c r="P67" s="6">
        <v>23544.720000000001</v>
      </c>
      <c r="Q67" s="6">
        <v>5146.41</v>
      </c>
      <c r="R67" s="6">
        <v>5814.71</v>
      </c>
      <c r="S67" s="6">
        <v>5918.22</v>
      </c>
      <c r="T67" s="6">
        <v>6434.07</v>
      </c>
      <c r="U67" s="6">
        <v>23301.87</v>
      </c>
      <c r="V67" s="6">
        <v>5243.18</v>
      </c>
      <c r="W67" s="6">
        <v>5928.24</v>
      </c>
      <c r="X67" s="6">
        <v>5897.13</v>
      </c>
      <c r="Y67" s="6">
        <v>6157.71</v>
      </c>
      <c r="Z67" s="6">
        <v>23073.21</v>
      </c>
      <c r="AA67" s="6">
        <v>5214.1000000000004</v>
      </c>
      <c r="AB67" s="6">
        <v>5903.47</v>
      </c>
      <c r="AC67" s="6">
        <v>5878.83</v>
      </c>
      <c r="AD67" s="6">
        <v>6134.83</v>
      </c>
      <c r="AE67" s="6">
        <v>22717.65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693B-EFB6-47FD-85F6-971D8A24907F}">
  <dimension ref="A1:AE44"/>
  <sheetViews>
    <sheetView workbookViewId="0">
      <selection sqref="A1:D1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210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211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t="s">
        <v>212</v>
      </c>
      <c r="B17" s="6">
        <v>9049</v>
      </c>
      <c r="C17" s="6">
        <v>9763</v>
      </c>
      <c r="D17" s="6">
        <v>10152</v>
      </c>
      <c r="E17" s="6">
        <v>11320</v>
      </c>
      <c r="F17" s="6">
        <v>40284</v>
      </c>
      <c r="G17" s="6">
        <v>7595</v>
      </c>
      <c r="H17" s="6">
        <v>10801</v>
      </c>
      <c r="I17" s="6">
        <v>10667.33</v>
      </c>
      <c r="J17" s="6">
        <v>12543.94</v>
      </c>
      <c r="K17" s="6">
        <v>41598.36</v>
      </c>
      <c r="L17" s="6">
        <v>7731.49</v>
      </c>
      <c r="M17" s="6">
        <v>10932.44</v>
      </c>
      <c r="N17" s="6">
        <v>11411.38</v>
      </c>
      <c r="O17" s="6">
        <v>12578.61</v>
      </c>
      <c r="P17" s="6">
        <v>42772.68</v>
      </c>
      <c r="Q17" s="6">
        <v>8618.07</v>
      </c>
      <c r="R17" s="6">
        <v>11507.73</v>
      </c>
      <c r="S17" s="6">
        <v>11847.29</v>
      </c>
      <c r="T17" s="6">
        <v>13275.84</v>
      </c>
      <c r="U17" s="6">
        <v>44926.04</v>
      </c>
      <c r="V17" s="6">
        <v>9134.76</v>
      </c>
      <c r="W17" s="6">
        <v>12109.35</v>
      </c>
      <c r="X17" s="6">
        <v>12005.64</v>
      </c>
      <c r="Y17" s="6">
        <v>13603.38</v>
      </c>
      <c r="Z17" s="6">
        <v>45983.73</v>
      </c>
      <c r="AA17" s="6">
        <v>9733.67</v>
      </c>
      <c r="AB17" s="6">
        <v>12636.67</v>
      </c>
      <c r="AC17" s="6">
        <v>12440.36</v>
      </c>
      <c r="AD17" s="6">
        <v>14474.62</v>
      </c>
      <c r="AE17" s="6">
        <v>47492.33</v>
      </c>
    </row>
    <row r="18" spans="1:31" x14ac:dyDescent="0.25">
      <c r="A18" t="s">
        <v>213</v>
      </c>
      <c r="B18" s="6">
        <v>1423</v>
      </c>
      <c r="C18" s="6">
        <v>503</v>
      </c>
      <c r="D18" s="6">
        <v>251</v>
      </c>
      <c r="E18" s="6">
        <v>251</v>
      </c>
      <c r="F18" s="6">
        <v>1926</v>
      </c>
      <c r="G18" s="7" t="s">
        <v>104</v>
      </c>
      <c r="H18" s="7" t="s">
        <v>104</v>
      </c>
      <c r="I18" s="7" t="s">
        <v>104</v>
      </c>
      <c r="J18" s="7" t="s">
        <v>104</v>
      </c>
      <c r="K18" s="7" t="s">
        <v>104</v>
      </c>
      <c r="L18" s="7" t="s">
        <v>104</v>
      </c>
      <c r="M18" s="7" t="s">
        <v>104</v>
      </c>
      <c r="N18" s="7" t="s">
        <v>104</v>
      </c>
      <c r="O18" s="7" t="s">
        <v>104</v>
      </c>
      <c r="P18" s="7" t="s">
        <v>104</v>
      </c>
      <c r="Q18" s="7" t="s">
        <v>104</v>
      </c>
      <c r="R18" s="7" t="s">
        <v>104</v>
      </c>
      <c r="S18" s="7" t="s">
        <v>104</v>
      </c>
      <c r="T18" s="7" t="s">
        <v>104</v>
      </c>
      <c r="U18" s="7" t="s">
        <v>104</v>
      </c>
      <c r="V18" s="7" t="s">
        <v>104</v>
      </c>
      <c r="W18" s="7" t="s">
        <v>104</v>
      </c>
      <c r="X18" s="7" t="s">
        <v>104</v>
      </c>
      <c r="Y18" s="7" t="s">
        <v>104</v>
      </c>
      <c r="Z18" s="7" t="s">
        <v>104</v>
      </c>
      <c r="AA18" s="7" t="s">
        <v>104</v>
      </c>
      <c r="AB18" s="7" t="s">
        <v>104</v>
      </c>
      <c r="AC18" s="7" t="s">
        <v>104</v>
      </c>
      <c r="AD18" s="7" t="s">
        <v>104</v>
      </c>
      <c r="AE18" s="7" t="s">
        <v>104</v>
      </c>
    </row>
    <row r="19" spans="1:31" x14ac:dyDescent="0.25">
      <c r="A19" t="s">
        <v>214</v>
      </c>
      <c r="B19" s="7" t="s">
        <v>104</v>
      </c>
      <c r="C19" s="6">
        <v>251</v>
      </c>
      <c r="D19" s="7" t="s">
        <v>104</v>
      </c>
      <c r="E19" s="7" t="s">
        <v>104</v>
      </c>
      <c r="F19" s="6">
        <v>251</v>
      </c>
      <c r="G19" s="7" t="s">
        <v>104</v>
      </c>
      <c r="H19" s="7" t="s">
        <v>104</v>
      </c>
      <c r="I19" s="7" t="s">
        <v>104</v>
      </c>
      <c r="J19" s="7" t="s">
        <v>104</v>
      </c>
      <c r="K19" s="7" t="s">
        <v>104</v>
      </c>
      <c r="L19" s="7" t="s">
        <v>104</v>
      </c>
      <c r="M19" s="7" t="s">
        <v>104</v>
      </c>
      <c r="N19" s="7" t="s">
        <v>104</v>
      </c>
      <c r="O19" s="7" t="s">
        <v>104</v>
      </c>
      <c r="P19" s="7" t="s">
        <v>104</v>
      </c>
      <c r="Q19" s="7" t="s">
        <v>104</v>
      </c>
      <c r="R19" s="7" t="s">
        <v>104</v>
      </c>
      <c r="S19" s="7" t="s">
        <v>104</v>
      </c>
      <c r="T19" s="7" t="s">
        <v>104</v>
      </c>
      <c r="U19" s="7" t="s">
        <v>104</v>
      </c>
      <c r="V19" s="7" t="s">
        <v>104</v>
      </c>
      <c r="W19" s="7" t="s">
        <v>104</v>
      </c>
      <c r="X19" s="7" t="s">
        <v>104</v>
      </c>
      <c r="Y19" s="7" t="s">
        <v>104</v>
      </c>
      <c r="Z19" s="7" t="s">
        <v>104</v>
      </c>
      <c r="AA19" s="7" t="s">
        <v>104</v>
      </c>
      <c r="AB19" s="7" t="s">
        <v>104</v>
      </c>
      <c r="AC19" s="7" t="s">
        <v>104</v>
      </c>
      <c r="AD19" s="7" t="s">
        <v>104</v>
      </c>
      <c r="AE19" s="7" t="s">
        <v>104</v>
      </c>
    </row>
    <row r="20" spans="1:31" x14ac:dyDescent="0.25">
      <c r="A20" t="s">
        <v>177</v>
      </c>
      <c r="B20" s="6">
        <v>4277</v>
      </c>
      <c r="C20" s="6">
        <v>4897</v>
      </c>
      <c r="D20" s="6">
        <v>4887</v>
      </c>
      <c r="E20" s="6">
        <v>6781</v>
      </c>
      <c r="F20" s="6">
        <v>20842</v>
      </c>
      <c r="G20" s="6">
        <v>4877</v>
      </c>
      <c r="H20" s="6">
        <v>5700</v>
      </c>
      <c r="I20" s="6">
        <v>5553.66</v>
      </c>
      <c r="J20" s="6">
        <v>6262.03</v>
      </c>
      <c r="K20" s="6">
        <v>22460.63</v>
      </c>
      <c r="L20" s="6">
        <v>4997.7</v>
      </c>
      <c r="M20" s="6">
        <v>5546.95</v>
      </c>
      <c r="N20" s="6">
        <v>5616.37</v>
      </c>
      <c r="O20" s="6">
        <v>6217.85</v>
      </c>
      <c r="P20" s="6">
        <v>22488.81</v>
      </c>
      <c r="Q20" s="6">
        <v>4840.45</v>
      </c>
      <c r="R20" s="6">
        <v>5488.73</v>
      </c>
      <c r="S20" s="6">
        <v>5606.05</v>
      </c>
      <c r="T20" s="6">
        <v>6124.59</v>
      </c>
      <c r="U20" s="6">
        <v>22309.68</v>
      </c>
      <c r="V20" s="6">
        <v>4958.76</v>
      </c>
      <c r="W20" s="6">
        <v>5618.59</v>
      </c>
      <c r="X20" s="6">
        <v>5604.87</v>
      </c>
      <c r="Y20" s="6">
        <v>5868.84</v>
      </c>
      <c r="Z20" s="6">
        <v>22208.62</v>
      </c>
      <c r="AA20" s="6">
        <v>4932.12</v>
      </c>
      <c r="AB20" s="6">
        <v>5598.78</v>
      </c>
      <c r="AC20" s="6">
        <v>5589.8</v>
      </c>
      <c r="AD20" s="6">
        <v>5848.85</v>
      </c>
      <c r="AE20" s="6">
        <v>21871.34</v>
      </c>
    </row>
    <row r="21" spans="1:31" x14ac:dyDescent="0.25">
      <c r="A21" t="s">
        <v>215</v>
      </c>
      <c r="B21" s="6">
        <v>203</v>
      </c>
      <c r="C21" s="6">
        <v>220</v>
      </c>
      <c r="D21" s="6">
        <v>400</v>
      </c>
      <c r="E21" s="6">
        <v>358</v>
      </c>
      <c r="F21" s="6">
        <v>1181</v>
      </c>
      <c r="G21" s="6">
        <v>212</v>
      </c>
      <c r="H21" s="6">
        <v>431</v>
      </c>
      <c r="I21" s="6">
        <v>295.02</v>
      </c>
      <c r="J21" s="6">
        <v>286.51</v>
      </c>
      <c r="K21" s="6">
        <v>1201.74</v>
      </c>
      <c r="L21" s="6">
        <v>292.56</v>
      </c>
      <c r="M21" s="6">
        <v>315.08</v>
      </c>
      <c r="N21" s="6">
        <v>303</v>
      </c>
      <c r="O21" s="6">
        <v>300.64999999999998</v>
      </c>
      <c r="P21" s="6">
        <v>1091.06</v>
      </c>
      <c r="Q21" s="6">
        <v>305.95</v>
      </c>
      <c r="R21" s="6">
        <v>325.98</v>
      </c>
      <c r="S21" s="6">
        <v>312.17</v>
      </c>
      <c r="T21" s="6">
        <v>309.48</v>
      </c>
      <c r="U21" s="6">
        <v>1117.57</v>
      </c>
      <c r="V21" s="6">
        <v>284.42</v>
      </c>
      <c r="W21" s="6">
        <v>309.64999999999998</v>
      </c>
      <c r="X21" s="6">
        <v>292.26</v>
      </c>
      <c r="Y21" s="6">
        <v>288.87</v>
      </c>
      <c r="Z21" s="6">
        <v>1145.48</v>
      </c>
      <c r="AA21" s="6">
        <v>281.98</v>
      </c>
      <c r="AB21" s="6">
        <v>304.69</v>
      </c>
      <c r="AC21" s="6">
        <v>289.02999999999997</v>
      </c>
      <c r="AD21" s="6">
        <v>285.98</v>
      </c>
      <c r="AE21" s="6">
        <v>1141.3499999999999</v>
      </c>
    </row>
    <row r="22" spans="1:31" x14ac:dyDescent="0.25">
      <c r="A22" t="s">
        <v>216</v>
      </c>
      <c r="B22" s="6">
        <v>4480</v>
      </c>
      <c r="C22" s="6">
        <v>5117</v>
      </c>
      <c r="D22" s="6">
        <v>5287</v>
      </c>
      <c r="E22" s="6">
        <v>7139</v>
      </c>
      <c r="F22" s="6">
        <v>22023</v>
      </c>
      <c r="G22" s="6">
        <v>5089</v>
      </c>
      <c r="H22" s="6">
        <v>6131</v>
      </c>
      <c r="I22" s="6">
        <v>5839.69</v>
      </c>
      <c r="J22" s="6">
        <v>6550.91</v>
      </c>
      <c r="K22" s="6">
        <v>23660.41</v>
      </c>
      <c r="L22" s="6">
        <v>5221.4799999999996</v>
      </c>
      <c r="M22" s="6">
        <v>5852.89</v>
      </c>
      <c r="N22" s="6">
        <v>5922.42</v>
      </c>
      <c r="O22" s="6">
        <v>6529.64</v>
      </c>
      <c r="P22" s="6">
        <v>23544.720000000001</v>
      </c>
      <c r="Q22" s="6">
        <v>5146.41</v>
      </c>
      <c r="R22" s="6">
        <v>5814.71</v>
      </c>
      <c r="S22" s="6">
        <v>5918.22</v>
      </c>
      <c r="T22" s="6">
        <v>6434.07</v>
      </c>
      <c r="U22" s="6">
        <v>23301.87</v>
      </c>
      <c r="V22" s="6">
        <v>5243.18</v>
      </c>
      <c r="W22" s="6">
        <v>5928.24</v>
      </c>
      <c r="X22" s="6">
        <v>5897.13</v>
      </c>
      <c r="Y22" s="6">
        <v>6157.71</v>
      </c>
      <c r="Z22" s="6">
        <v>23073.21</v>
      </c>
      <c r="AA22" s="6">
        <v>5214.1000000000004</v>
      </c>
      <c r="AB22" s="6">
        <v>5903.47</v>
      </c>
      <c r="AC22" s="6">
        <v>5878.83</v>
      </c>
      <c r="AD22" s="6">
        <v>6134.83</v>
      </c>
      <c r="AE22" s="6">
        <v>22717.65</v>
      </c>
    </row>
    <row r="23" spans="1:31" x14ac:dyDescent="0.25">
      <c r="A23" t="s">
        <v>217</v>
      </c>
      <c r="B23" s="6">
        <v>3146</v>
      </c>
      <c r="C23" s="6">
        <v>4394</v>
      </c>
      <c r="D23" s="6">
        <v>4865</v>
      </c>
      <c r="E23" s="6">
        <v>4181</v>
      </c>
      <c r="F23" s="6">
        <v>16586</v>
      </c>
      <c r="G23" s="6">
        <v>2506</v>
      </c>
      <c r="H23" s="6">
        <v>4670</v>
      </c>
      <c r="I23" s="6">
        <v>4900.42</v>
      </c>
      <c r="J23" s="6">
        <v>6008.83</v>
      </c>
      <c r="K23" s="6">
        <v>18149.5</v>
      </c>
      <c r="L23" s="6">
        <v>2636.28</v>
      </c>
      <c r="M23" s="6">
        <v>5090.38</v>
      </c>
      <c r="N23" s="6">
        <v>5719.31</v>
      </c>
      <c r="O23" s="6">
        <v>6044.74</v>
      </c>
      <c r="P23" s="6">
        <v>19460.12</v>
      </c>
      <c r="Q23" s="6">
        <v>3812.01</v>
      </c>
      <c r="R23" s="6">
        <v>5333.52</v>
      </c>
      <c r="S23" s="6">
        <v>6220.82</v>
      </c>
      <c r="T23" s="6">
        <v>6400.28</v>
      </c>
      <c r="U23" s="6">
        <v>21535.08</v>
      </c>
      <c r="V23" s="6">
        <v>4045.77</v>
      </c>
      <c r="W23" s="6">
        <v>5312.16</v>
      </c>
      <c r="X23" s="6">
        <v>6235.71</v>
      </c>
      <c r="Y23" s="6">
        <v>6786.78</v>
      </c>
      <c r="Z23" s="6">
        <v>22439.87</v>
      </c>
      <c r="AA23" s="6">
        <v>4476.96</v>
      </c>
      <c r="AB23" s="6">
        <v>5507.61</v>
      </c>
      <c r="AC23" s="6">
        <v>6626.08</v>
      </c>
      <c r="AD23" s="6">
        <v>7777.78</v>
      </c>
      <c r="AE23" s="6">
        <v>24136.3</v>
      </c>
    </row>
    <row r="24" spans="1:31" x14ac:dyDescent="0.25">
      <c r="A24" t="s">
        <v>218</v>
      </c>
      <c r="B24" s="6">
        <v>2091</v>
      </c>
      <c r="C24" s="6">
        <v>2044</v>
      </c>
      <c r="D24" s="6">
        <v>2033</v>
      </c>
      <c r="E24" s="6">
        <v>2012</v>
      </c>
      <c r="F24" s="6">
        <v>8180</v>
      </c>
      <c r="G24" s="6">
        <v>1997</v>
      </c>
      <c r="H24" s="6">
        <v>1976</v>
      </c>
      <c r="I24" s="6">
        <v>1915.33</v>
      </c>
      <c r="J24" s="6">
        <v>1887.14</v>
      </c>
      <c r="K24" s="6">
        <v>7760.26</v>
      </c>
      <c r="L24" s="6">
        <v>1866.35</v>
      </c>
      <c r="M24" s="6">
        <v>1842.21</v>
      </c>
      <c r="N24" s="6">
        <v>1821.14</v>
      </c>
      <c r="O24" s="6">
        <v>1800.44</v>
      </c>
      <c r="P24" s="6">
        <v>7351.62</v>
      </c>
      <c r="Q24" s="6">
        <v>1787.33</v>
      </c>
      <c r="R24" s="6">
        <v>1768.88</v>
      </c>
      <c r="S24" s="6">
        <v>1750.41</v>
      </c>
      <c r="T24" s="6">
        <v>1741.88</v>
      </c>
      <c r="U24" s="6">
        <v>7110.7</v>
      </c>
      <c r="V24" s="6">
        <v>1744.64</v>
      </c>
      <c r="W24" s="6">
        <v>1723.76</v>
      </c>
      <c r="X24" s="6">
        <v>1706.2</v>
      </c>
      <c r="Y24" s="6">
        <v>1699.78</v>
      </c>
      <c r="Z24" s="6">
        <v>6919.41</v>
      </c>
      <c r="AA24" s="6">
        <v>1696.42</v>
      </c>
      <c r="AB24" s="6">
        <v>1675.47</v>
      </c>
      <c r="AC24" s="6">
        <v>1657.01</v>
      </c>
      <c r="AD24" s="6">
        <v>1651.26</v>
      </c>
      <c r="AE24" s="6">
        <v>6727.34</v>
      </c>
    </row>
    <row r="25" spans="1:31" x14ac:dyDescent="0.25">
      <c r="A25" t="s">
        <v>219</v>
      </c>
      <c r="B25" s="6">
        <v>1055</v>
      </c>
      <c r="C25" s="6">
        <v>2350</v>
      </c>
      <c r="D25" s="6">
        <v>2832</v>
      </c>
      <c r="E25" s="6">
        <v>2169</v>
      </c>
      <c r="F25" s="6">
        <v>8406</v>
      </c>
      <c r="G25" s="6">
        <v>509</v>
      </c>
      <c r="H25" s="6">
        <v>2694</v>
      </c>
      <c r="I25" s="6">
        <v>2985.35</v>
      </c>
      <c r="J25" s="6">
        <v>4109.59</v>
      </c>
      <c r="K25" s="6">
        <v>10389.459999999999</v>
      </c>
      <c r="L25" s="6">
        <v>770.12</v>
      </c>
      <c r="M25" s="6">
        <v>3248.36</v>
      </c>
      <c r="N25" s="6">
        <v>3898.13</v>
      </c>
      <c r="O25" s="6">
        <v>4244.0600000000004</v>
      </c>
      <c r="P25" s="6">
        <v>12104.59</v>
      </c>
      <c r="Q25" s="6">
        <v>2022.78</v>
      </c>
      <c r="R25" s="6">
        <v>3562.21</v>
      </c>
      <c r="S25" s="6">
        <v>4467.51</v>
      </c>
      <c r="T25" s="6">
        <v>4653.46</v>
      </c>
      <c r="U25" s="6">
        <v>14414.41</v>
      </c>
      <c r="V25" s="6">
        <v>2287.9299999999998</v>
      </c>
      <c r="W25" s="6">
        <v>3575.42</v>
      </c>
      <c r="X25" s="6">
        <v>4516.03</v>
      </c>
      <c r="Y25" s="6">
        <v>5070.34</v>
      </c>
      <c r="Z25" s="6">
        <v>15488.08</v>
      </c>
      <c r="AA25" s="6">
        <v>2760.02</v>
      </c>
      <c r="AB25" s="6">
        <v>3812.24</v>
      </c>
      <c r="AC25" s="6">
        <v>4949.29</v>
      </c>
      <c r="AD25" s="6">
        <v>6103.75</v>
      </c>
      <c r="AE25" s="6">
        <v>17355.68</v>
      </c>
    </row>
    <row r="26" spans="1:31" x14ac:dyDescent="0.25">
      <c r="A26" t="s">
        <v>77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t="s">
        <v>220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t="s">
        <v>221</v>
      </c>
      <c r="B28" s="6">
        <v>11533</v>
      </c>
      <c r="C28" s="6">
        <v>11731</v>
      </c>
      <c r="D28" s="6">
        <v>11861</v>
      </c>
      <c r="E28" s="6">
        <v>11236</v>
      </c>
      <c r="F28" s="6">
        <v>46361</v>
      </c>
      <c r="G28" s="6">
        <v>11795</v>
      </c>
      <c r="H28" s="6">
        <v>12338</v>
      </c>
      <c r="I28" s="6">
        <v>12325.8</v>
      </c>
      <c r="J28" s="6">
        <v>11732.12</v>
      </c>
      <c r="K28" s="6">
        <v>48163.77</v>
      </c>
      <c r="L28" s="6">
        <v>12249.29</v>
      </c>
      <c r="M28" s="6">
        <v>12734.22</v>
      </c>
      <c r="N28" s="6">
        <v>12871.66</v>
      </c>
      <c r="O28" s="6">
        <v>12199.23</v>
      </c>
      <c r="P28" s="6">
        <v>50045.84</v>
      </c>
      <c r="Q28" s="6">
        <v>12912.04</v>
      </c>
      <c r="R28" s="6">
        <v>13275.33</v>
      </c>
      <c r="S28" s="6">
        <v>13400.12</v>
      </c>
      <c r="T28" s="6">
        <v>12799.95</v>
      </c>
      <c r="U28" s="6">
        <v>52390.05</v>
      </c>
      <c r="V28" s="6">
        <v>13420.49</v>
      </c>
      <c r="W28" s="6">
        <v>13890.84</v>
      </c>
      <c r="X28" s="6">
        <v>14006.21</v>
      </c>
      <c r="Y28" s="6">
        <v>13348.01</v>
      </c>
      <c r="Z28" s="6">
        <v>54669.919999999998</v>
      </c>
      <c r="AA28" s="6">
        <v>14081.74</v>
      </c>
      <c r="AB28" s="6">
        <v>14531.35</v>
      </c>
      <c r="AC28" s="6">
        <v>14662.17</v>
      </c>
      <c r="AD28" s="6">
        <v>13966.81</v>
      </c>
      <c r="AE28" s="6">
        <v>57157.53</v>
      </c>
    </row>
    <row r="29" spans="1:31" x14ac:dyDescent="0.25">
      <c r="A29" t="s">
        <v>222</v>
      </c>
      <c r="B29" s="6">
        <v>516</v>
      </c>
      <c r="C29" s="6">
        <v>521</v>
      </c>
      <c r="D29" s="6">
        <v>555</v>
      </c>
      <c r="E29" s="6">
        <v>679</v>
      </c>
      <c r="F29" s="6">
        <v>2271</v>
      </c>
      <c r="G29" s="6">
        <v>560</v>
      </c>
      <c r="H29" s="6">
        <v>589</v>
      </c>
      <c r="I29" s="6">
        <v>565.89</v>
      </c>
      <c r="J29" s="6">
        <v>608.45000000000005</v>
      </c>
      <c r="K29" s="6">
        <v>2323.34</v>
      </c>
      <c r="L29" s="6">
        <v>566.61</v>
      </c>
      <c r="M29" s="6">
        <v>574.32000000000005</v>
      </c>
      <c r="N29" s="6">
        <v>567.71</v>
      </c>
      <c r="O29" s="6">
        <v>606.91999999999996</v>
      </c>
      <c r="P29" s="6">
        <v>2303.8200000000002</v>
      </c>
      <c r="Q29" s="6">
        <v>579.20000000000005</v>
      </c>
      <c r="R29" s="6">
        <v>590.16</v>
      </c>
      <c r="S29" s="6">
        <v>580.84</v>
      </c>
      <c r="T29" s="6">
        <v>632.69000000000005</v>
      </c>
      <c r="U29" s="6">
        <v>2355.6999999999998</v>
      </c>
      <c r="V29" s="6">
        <v>586.39</v>
      </c>
      <c r="W29" s="6">
        <v>601.34</v>
      </c>
      <c r="X29" s="6">
        <v>589.33000000000004</v>
      </c>
      <c r="Y29" s="6">
        <v>653.30999999999995</v>
      </c>
      <c r="Z29" s="6">
        <v>2402.29</v>
      </c>
      <c r="AA29" s="6">
        <v>598.25</v>
      </c>
      <c r="AB29" s="6">
        <v>613.26</v>
      </c>
      <c r="AC29" s="6">
        <v>602.16</v>
      </c>
      <c r="AD29" s="6">
        <v>666.09</v>
      </c>
      <c r="AE29" s="6">
        <v>2456.8200000000002</v>
      </c>
    </row>
    <row r="30" spans="1:31" x14ac:dyDescent="0.25">
      <c r="A30" t="s">
        <v>223</v>
      </c>
      <c r="B30" s="6">
        <v>4480</v>
      </c>
      <c r="C30" s="6">
        <v>5117</v>
      </c>
      <c r="D30" s="6">
        <v>5287</v>
      </c>
      <c r="E30" s="6">
        <v>7139</v>
      </c>
      <c r="F30" s="6">
        <v>22023</v>
      </c>
      <c r="G30" s="6">
        <v>5089</v>
      </c>
      <c r="H30" s="6">
        <v>6131</v>
      </c>
      <c r="I30" s="6">
        <v>5839.69</v>
      </c>
      <c r="J30" s="6">
        <v>6550.91</v>
      </c>
      <c r="K30" s="6">
        <v>23660.41</v>
      </c>
      <c r="L30" s="6">
        <v>5221.4799999999996</v>
      </c>
      <c r="M30" s="6">
        <v>5852.89</v>
      </c>
      <c r="N30" s="6">
        <v>5922.42</v>
      </c>
      <c r="O30" s="6">
        <v>6529.64</v>
      </c>
      <c r="P30" s="6">
        <v>23544.720000000001</v>
      </c>
      <c r="Q30" s="6">
        <v>5146.41</v>
      </c>
      <c r="R30" s="6">
        <v>5814.71</v>
      </c>
      <c r="S30" s="6">
        <v>5918.22</v>
      </c>
      <c r="T30" s="6">
        <v>6434.07</v>
      </c>
      <c r="U30" s="6">
        <v>23301.87</v>
      </c>
      <c r="V30" s="6">
        <v>5243.18</v>
      </c>
      <c r="W30" s="6">
        <v>5928.24</v>
      </c>
      <c r="X30" s="6">
        <v>5897.13</v>
      </c>
      <c r="Y30" s="6">
        <v>6157.71</v>
      </c>
      <c r="Z30" s="6">
        <v>23073.21</v>
      </c>
      <c r="AA30" s="6">
        <v>5214.1000000000004</v>
      </c>
      <c r="AB30" s="6">
        <v>5903.47</v>
      </c>
      <c r="AC30" s="6">
        <v>5878.83</v>
      </c>
      <c r="AD30" s="6">
        <v>6134.83</v>
      </c>
      <c r="AE30" s="6">
        <v>22717.65</v>
      </c>
    </row>
    <row r="31" spans="1:31" x14ac:dyDescent="0.25">
      <c r="A31" t="s">
        <v>224</v>
      </c>
      <c r="B31" s="6">
        <v>1804</v>
      </c>
      <c r="C31" s="6">
        <v>1512</v>
      </c>
      <c r="D31" s="6">
        <v>1855</v>
      </c>
      <c r="E31" s="6">
        <v>1454</v>
      </c>
      <c r="F31" s="6">
        <v>6625</v>
      </c>
      <c r="G31" s="6">
        <v>1936</v>
      </c>
      <c r="H31" s="6">
        <v>1798</v>
      </c>
      <c r="I31" s="6">
        <v>2022.68</v>
      </c>
      <c r="J31" s="6">
        <v>1961.93</v>
      </c>
      <c r="K31" s="6">
        <v>7754.06</v>
      </c>
      <c r="L31" s="6">
        <v>2060.54</v>
      </c>
      <c r="M31" s="6">
        <v>1937.56</v>
      </c>
      <c r="N31" s="6">
        <v>2020.33</v>
      </c>
      <c r="O31" s="6">
        <v>1837.8</v>
      </c>
      <c r="P31" s="6">
        <v>7900.35</v>
      </c>
      <c r="Q31" s="6">
        <v>1952.55</v>
      </c>
      <c r="R31" s="6">
        <v>1873.38</v>
      </c>
      <c r="S31" s="6">
        <v>1936.49</v>
      </c>
      <c r="T31" s="6">
        <v>1789.32</v>
      </c>
      <c r="U31" s="6">
        <v>7705.03</v>
      </c>
      <c r="V31" s="6">
        <v>1800.24</v>
      </c>
      <c r="W31" s="6">
        <v>1681.42</v>
      </c>
      <c r="X31" s="6">
        <v>1775.98</v>
      </c>
      <c r="Y31" s="6">
        <v>1535.77</v>
      </c>
      <c r="Z31" s="6">
        <v>7330.74</v>
      </c>
      <c r="AA31" s="6">
        <v>1724.99</v>
      </c>
      <c r="AB31" s="6">
        <v>1601.09</v>
      </c>
      <c r="AC31" s="6">
        <v>1695.53</v>
      </c>
      <c r="AD31" s="6">
        <v>1420.5</v>
      </c>
      <c r="AE31" s="6">
        <v>7114.63</v>
      </c>
    </row>
    <row r="32" spans="1:31" x14ac:dyDescent="0.25">
      <c r="A32" t="s">
        <v>225</v>
      </c>
      <c r="B32" s="6">
        <v>56</v>
      </c>
      <c r="C32" s="6">
        <v>55</v>
      </c>
      <c r="D32" s="6">
        <v>56</v>
      </c>
      <c r="E32" s="6">
        <v>54</v>
      </c>
      <c r="F32" s="6">
        <v>221</v>
      </c>
      <c r="G32" s="6">
        <v>42</v>
      </c>
      <c r="H32" s="6">
        <v>49</v>
      </c>
      <c r="I32" s="6">
        <v>74.44</v>
      </c>
      <c r="J32" s="6">
        <v>99.35</v>
      </c>
      <c r="K32" s="6">
        <v>265.33999999999997</v>
      </c>
      <c r="L32" s="6">
        <v>119.27</v>
      </c>
      <c r="M32" s="6">
        <v>111.29</v>
      </c>
      <c r="N32" s="6">
        <v>104.27</v>
      </c>
      <c r="O32" s="6">
        <v>95.66</v>
      </c>
      <c r="P32" s="6">
        <v>360.37</v>
      </c>
      <c r="Q32" s="6">
        <v>45.78</v>
      </c>
      <c r="R32" s="6">
        <v>49.41</v>
      </c>
      <c r="S32" s="6">
        <v>52.85</v>
      </c>
      <c r="T32" s="6">
        <v>51.84</v>
      </c>
      <c r="U32" s="6">
        <v>303.58</v>
      </c>
      <c r="V32" s="6">
        <v>42</v>
      </c>
      <c r="W32" s="6">
        <v>49</v>
      </c>
      <c r="X32" s="6">
        <v>56</v>
      </c>
      <c r="Y32" s="6">
        <v>54</v>
      </c>
      <c r="Z32" s="6">
        <v>284.06</v>
      </c>
      <c r="AA32" s="6">
        <v>42</v>
      </c>
      <c r="AB32" s="6">
        <v>49</v>
      </c>
      <c r="AC32" s="6">
        <v>56</v>
      </c>
      <c r="AD32" s="6">
        <v>54</v>
      </c>
      <c r="AE32" s="6">
        <v>244.74</v>
      </c>
    </row>
    <row r="33" spans="1:31" x14ac:dyDescent="0.25">
      <c r="A33" t="s">
        <v>226</v>
      </c>
      <c r="B33" s="6">
        <v>1748</v>
      </c>
      <c r="C33" s="6">
        <v>1457</v>
      </c>
      <c r="D33" s="6">
        <v>1799</v>
      </c>
      <c r="E33" s="6">
        <v>1400</v>
      </c>
      <c r="F33" s="6">
        <v>6404</v>
      </c>
      <c r="G33" s="6">
        <v>1894</v>
      </c>
      <c r="H33" s="6">
        <v>1749</v>
      </c>
      <c r="I33" s="6">
        <v>1948.8</v>
      </c>
      <c r="J33" s="6">
        <v>1765.57</v>
      </c>
      <c r="K33" s="6">
        <v>7385.37</v>
      </c>
      <c r="L33" s="6">
        <v>1993.63</v>
      </c>
      <c r="M33" s="6">
        <v>1838.86</v>
      </c>
      <c r="N33" s="6">
        <v>1972.66</v>
      </c>
      <c r="O33" s="6">
        <v>1686.78</v>
      </c>
      <c r="P33" s="6">
        <v>7545.26</v>
      </c>
      <c r="Q33" s="6">
        <v>1943.53</v>
      </c>
      <c r="R33" s="6">
        <v>1795.76</v>
      </c>
      <c r="S33" s="6">
        <v>1932.07</v>
      </c>
      <c r="T33" s="6">
        <v>1624.36</v>
      </c>
      <c r="U33" s="6">
        <v>7383.53</v>
      </c>
      <c r="V33" s="6">
        <v>1855.25</v>
      </c>
      <c r="W33" s="6">
        <v>1669.31</v>
      </c>
      <c r="X33" s="6">
        <v>1835.08</v>
      </c>
      <c r="Y33" s="6">
        <v>1445.27</v>
      </c>
      <c r="Z33" s="6">
        <v>7065.81</v>
      </c>
      <c r="AA33" s="6">
        <v>1785.48</v>
      </c>
      <c r="AB33" s="6">
        <v>1594.17</v>
      </c>
      <c r="AC33" s="6">
        <v>1754.03</v>
      </c>
      <c r="AD33" s="6">
        <v>1352.63</v>
      </c>
      <c r="AE33" s="6">
        <v>6786.36</v>
      </c>
    </row>
    <row r="34" spans="1:31" x14ac:dyDescent="0.25">
      <c r="A34" t="s">
        <v>227</v>
      </c>
      <c r="B34" s="6">
        <v>11</v>
      </c>
      <c r="C34" s="6">
        <v>869</v>
      </c>
      <c r="D34" s="6">
        <v>17</v>
      </c>
      <c r="E34" s="6">
        <v>456</v>
      </c>
      <c r="F34" s="6">
        <v>1353</v>
      </c>
      <c r="G34" s="6">
        <v>1</v>
      </c>
      <c r="H34" s="6">
        <v>90</v>
      </c>
      <c r="I34" s="6">
        <v>286.43</v>
      </c>
      <c r="J34" s="6">
        <v>677.17</v>
      </c>
      <c r="K34" s="6">
        <v>1058.33</v>
      </c>
      <c r="L34" s="6">
        <v>124.8</v>
      </c>
      <c r="M34" s="6">
        <v>385.8</v>
      </c>
      <c r="N34" s="6">
        <v>224.32</v>
      </c>
      <c r="O34" s="6">
        <v>574.86</v>
      </c>
      <c r="P34" s="6">
        <v>1269.6500000000001</v>
      </c>
      <c r="Q34" s="6">
        <v>50.77</v>
      </c>
      <c r="R34" s="6">
        <v>435.44</v>
      </c>
      <c r="S34" s="6">
        <v>129.01</v>
      </c>
      <c r="T34" s="6">
        <v>677.35</v>
      </c>
      <c r="U34" s="6">
        <v>1370.32</v>
      </c>
      <c r="V34" s="6">
        <v>255.95</v>
      </c>
      <c r="W34" s="6">
        <v>1200.31</v>
      </c>
      <c r="X34" s="6">
        <v>284.63</v>
      </c>
      <c r="Y34" s="6">
        <v>1013.55</v>
      </c>
      <c r="Z34" s="6">
        <v>2528.9499999999998</v>
      </c>
      <c r="AA34" s="6">
        <v>468.21</v>
      </c>
      <c r="AB34" s="6">
        <v>1695.64</v>
      </c>
      <c r="AC34" s="6">
        <v>519.09</v>
      </c>
      <c r="AD34" s="6">
        <v>1366.36</v>
      </c>
      <c r="AE34" s="6">
        <v>3617.46</v>
      </c>
    </row>
    <row r="35" spans="1:31" x14ac:dyDescent="0.25">
      <c r="A35" t="s">
        <v>228</v>
      </c>
      <c r="B35" s="6">
        <v>-2878</v>
      </c>
      <c r="C35" s="6">
        <v>-1310</v>
      </c>
      <c r="D35" s="6">
        <v>-82</v>
      </c>
      <c r="E35" s="6">
        <v>2284</v>
      </c>
      <c r="F35" s="6">
        <v>-1986</v>
      </c>
      <c r="G35" s="6">
        <v>-3134</v>
      </c>
      <c r="H35" s="6">
        <v>-169</v>
      </c>
      <c r="I35" s="6">
        <v>-290.73</v>
      </c>
      <c r="J35" s="6">
        <v>3375.99</v>
      </c>
      <c r="K35" s="6">
        <v>-183.66</v>
      </c>
      <c r="L35" s="6">
        <v>-3153.63</v>
      </c>
      <c r="M35" s="6">
        <v>84.5</v>
      </c>
      <c r="N35" s="6">
        <v>-59.32</v>
      </c>
      <c r="O35" s="6">
        <v>2216.7199999999998</v>
      </c>
      <c r="P35" s="6">
        <v>-781.35</v>
      </c>
      <c r="Q35" s="6">
        <v>-2944.46</v>
      </c>
      <c r="R35" s="6">
        <v>361.29</v>
      </c>
      <c r="S35" s="6">
        <v>-249.29</v>
      </c>
      <c r="T35" s="6">
        <v>2169.9299999999998</v>
      </c>
      <c r="U35" s="6">
        <v>-917.88</v>
      </c>
      <c r="V35" s="6">
        <v>-2989.35</v>
      </c>
      <c r="W35" s="6">
        <v>530.16</v>
      </c>
      <c r="X35" s="6">
        <v>-260.19</v>
      </c>
      <c r="Y35" s="6">
        <v>2405.9499999999998</v>
      </c>
      <c r="Z35" s="6">
        <v>-730.13</v>
      </c>
      <c r="AA35" s="6">
        <v>-3015.81</v>
      </c>
      <c r="AB35" s="6">
        <v>673.82</v>
      </c>
      <c r="AC35" s="6">
        <v>-419.35</v>
      </c>
      <c r="AD35" s="6">
        <v>2497.5100000000002</v>
      </c>
      <c r="AE35" s="6">
        <v>-851.46</v>
      </c>
    </row>
    <row r="36" spans="1:31" x14ac:dyDescent="0.25">
      <c r="A36" t="s">
        <v>229</v>
      </c>
      <c r="B36" s="6">
        <v>1423</v>
      </c>
      <c r="C36" s="6">
        <v>503</v>
      </c>
      <c r="D36" s="7" t="s">
        <v>104</v>
      </c>
      <c r="E36" s="7" t="s">
        <v>104</v>
      </c>
      <c r="F36" s="6">
        <v>1926</v>
      </c>
      <c r="G36" s="7" t="s">
        <v>104</v>
      </c>
      <c r="H36" s="7" t="s">
        <v>104</v>
      </c>
      <c r="I36" s="7" t="s">
        <v>104</v>
      </c>
      <c r="J36" s="7" t="s">
        <v>104</v>
      </c>
      <c r="K36" s="7" t="s">
        <v>104</v>
      </c>
      <c r="L36" s="7" t="s">
        <v>104</v>
      </c>
      <c r="M36" s="7" t="s">
        <v>104</v>
      </c>
      <c r="N36" s="7" t="s">
        <v>104</v>
      </c>
      <c r="O36" s="7" t="s">
        <v>104</v>
      </c>
      <c r="P36" s="7" t="s">
        <v>104</v>
      </c>
      <c r="Q36" s="7" t="s">
        <v>104</v>
      </c>
      <c r="R36" s="7" t="s">
        <v>104</v>
      </c>
      <c r="S36" s="7" t="s">
        <v>104</v>
      </c>
      <c r="T36" s="7" t="s">
        <v>104</v>
      </c>
      <c r="U36" s="7" t="s">
        <v>104</v>
      </c>
      <c r="V36" s="7" t="s">
        <v>104</v>
      </c>
      <c r="W36" s="7" t="s">
        <v>104</v>
      </c>
      <c r="X36" s="7" t="s">
        <v>104</v>
      </c>
      <c r="Y36" s="7" t="s">
        <v>104</v>
      </c>
      <c r="Z36" s="7" t="s">
        <v>104</v>
      </c>
      <c r="AA36" s="7" t="s">
        <v>104</v>
      </c>
      <c r="AB36" s="7" t="s">
        <v>104</v>
      </c>
      <c r="AC36" s="7" t="s">
        <v>104</v>
      </c>
      <c r="AD36" s="7" t="s">
        <v>104</v>
      </c>
      <c r="AE36" s="7" t="s">
        <v>104</v>
      </c>
    </row>
    <row r="37" spans="1:31" x14ac:dyDescent="0.25">
      <c r="A37" t="s">
        <v>230</v>
      </c>
      <c r="B37" s="6">
        <v>214</v>
      </c>
      <c r="C37" s="6">
        <v>644</v>
      </c>
      <c r="D37" s="6">
        <v>-366</v>
      </c>
      <c r="E37" s="6">
        <v>-1023</v>
      </c>
      <c r="F37" s="6">
        <v>-531</v>
      </c>
      <c r="G37" s="6">
        <v>269</v>
      </c>
      <c r="H37" s="6">
        <v>-118</v>
      </c>
      <c r="I37" s="6">
        <v>399.49</v>
      </c>
      <c r="J37" s="6">
        <v>-552.99</v>
      </c>
      <c r="K37" s="6">
        <v>45.07</v>
      </c>
      <c r="L37" s="6">
        <v>126.22</v>
      </c>
      <c r="M37" s="6">
        <v>143.51</v>
      </c>
      <c r="N37" s="6">
        <v>314.44</v>
      </c>
      <c r="O37" s="6">
        <v>49.24</v>
      </c>
      <c r="P37" s="6">
        <v>505.1</v>
      </c>
      <c r="Q37" s="6">
        <v>-280</v>
      </c>
      <c r="R37" s="6">
        <v>-75.349999999999994</v>
      </c>
      <c r="S37" s="6">
        <v>161.32</v>
      </c>
      <c r="T37" s="6">
        <v>478.63</v>
      </c>
      <c r="U37" s="6">
        <v>482.1</v>
      </c>
      <c r="V37" s="6">
        <v>-340.04</v>
      </c>
      <c r="W37" s="6">
        <v>-236.53</v>
      </c>
      <c r="X37" s="6">
        <v>-205.51</v>
      </c>
      <c r="Y37" s="6">
        <v>-551.37</v>
      </c>
      <c r="Z37" s="6">
        <v>-212.53</v>
      </c>
      <c r="AA37" s="6">
        <v>-334.65</v>
      </c>
      <c r="AB37" s="6">
        <v>-564.01</v>
      </c>
      <c r="AC37" s="6">
        <v>-213.51</v>
      </c>
      <c r="AD37" s="6">
        <v>144.86000000000001</v>
      </c>
      <c r="AE37" s="6">
        <v>-4.58</v>
      </c>
    </row>
    <row r="38" spans="1:31" x14ac:dyDescent="0.25">
      <c r="A38" t="s">
        <v>231</v>
      </c>
      <c r="B38" s="6">
        <v>3146</v>
      </c>
      <c r="C38" s="6">
        <v>4645</v>
      </c>
      <c r="D38" s="6">
        <v>4865</v>
      </c>
      <c r="E38" s="6">
        <v>4181</v>
      </c>
      <c r="F38" s="6">
        <v>18261</v>
      </c>
      <c r="G38" s="6">
        <v>2506</v>
      </c>
      <c r="H38" s="6">
        <v>4670</v>
      </c>
      <c r="I38" s="6">
        <v>4819.6499999999996</v>
      </c>
      <c r="J38" s="6">
        <v>6158.61</v>
      </c>
      <c r="K38" s="6">
        <v>18201.919999999998</v>
      </c>
      <c r="L38" s="6">
        <v>2556.7199999999998</v>
      </c>
      <c r="M38" s="6">
        <v>5141.97</v>
      </c>
      <c r="N38" s="6">
        <v>5566.81</v>
      </c>
      <c r="O38" s="6">
        <v>6218.89</v>
      </c>
      <c r="P38" s="6">
        <v>19468.18</v>
      </c>
      <c r="Q38" s="6">
        <v>3451.46</v>
      </c>
      <c r="R38" s="6">
        <v>5661.35</v>
      </c>
      <c r="S38" s="6">
        <v>5937.31</v>
      </c>
      <c r="T38" s="6">
        <v>6957.99</v>
      </c>
      <c r="U38" s="6">
        <v>21710.66</v>
      </c>
      <c r="V38" s="6">
        <v>3842.4</v>
      </c>
      <c r="W38" s="6">
        <v>6015.77</v>
      </c>
      <c r="X38" s="6">
        <v>5983.32</v>
      </c>
      <c r="Y38" s="6">
        <v>7432.17</v>
      </c>
      <c r="Z38" s="6">
        <v>23217.360000000001</v>
      </c>
      <c r="AA38" s="6">
        <v>4441.0200000000004</v>
      </c>
      <c r="AB38" s="6">
        <v>6421.46</v>
      </c>
      <c r="AC38" s="6">
        <v>6443.41</v>
      </c>
      <c r="AD38" s="6">
        <v>8242.9599999999991</v>
      </c>
      <c r="AE38" s="6">
        <v>25054.2</v>
      </c>
    </row>
    <row r="39" spans="1:31" x14ac:dyDescent="0.25">
      <c r="A39" t="s">
        <v>232</v>
      </c>
      <c r="B39" s="7" t="s">
        <v>104</v>
      </c>
      <c r="C39" s="6">
        <v>251</v>
      </c>
      <c r="D39" s="7" t="s">
        <v>104</v>
      </c>
      <c r="E39" s="7" t="s">
        <v>104</v>
      </c>
      <c r="F39" s="6">
        <v>251</v>
      </c>
      <c r="G39" s="7" t="s">
        <v>104</v>
      </c>
      <c r="H39" s="7" t="s">
        <v>104</v>
      </c>
      <c r="I39" s="7" t="s">
        <v>104</v>
      </c>
      <c r="J39" s="7" t="s">
        <v>104</v>
      </c>
      <c r="K39" s="7" t="s">
        <v>104</v>
      </c>
      <c r="L39" s="7" t="s">
        <v>104</v>
      </c>
      <c r="M39" s="7" t="s">
        <v>104</v>
      </c>
      <c r="N39" s="7" t="s">
        <v>104</v>
      </c>
      <c r="O39" s="7" t="s">
        <v>104</v>
      </c>
      <c r="P39" s="7" t="s">
        <v>104</v>
      </c>
      <c r="Q39" s="7" t="s">
        <v>104</v>
      </c>
      <c r="R39" s="7" t="s">
        <v>104</v>
      </c>
      <c r="S39" s="7" t="s">
        <v>104</v>
      </c>
      <c r="T39" s="7" t="s">
        <v>104</v>
      </c>
      <c r="U39" s="7" t="s">
        <v>104</v>
      </c>
      <c r="V39" s="7" t="s">
        <v>104</v>
      </c>
      <c r="W39" s="7" t="s">
        <v>104</v>
      </c>
      <c r="X39" s="7" t="s">
        <v>104</v>
      </c>
      <c r="Y39" s="7" t="s">
        <v>104</v>
      </c>
      <c r="Z39" s="7" t="s">
        <v>104</v>
      </c>
      <c r="AA39" s="7" t="s">
        <v>104</v>
      </c>
      <c r="AB39" s="7" t="s">
        <v>104</v>
      </c>
      <c r="AC39" s="7" t="s">
        <v>104</v>
      </c>
      <c r="AD39" s="7" t="s">
        <v>104</v>
      </c>
      <c r="AE39" s="7" t="s">
        <v>104</v>
      </c>
    </row>
    <row r="40" spans="1:31" x14ac:dyDescent="0.25">
      <c r="A40" t="s">
        <v>233</v>
      </c>
      <c r="B40" s="6">
        <v>3146</v>
      </c>
      <c r="C40" s="6">
        <v>4394</v>
      </c>
      <c r="D40" s="6">
        <v>4865</v>
      </c>
      <c r="E40" s="6">
        <v>4181</v>
      </c>
      <c r="F40" s="6">
        <v>16586</v>
      </c>
      <c r="G40" s="6">
        <v>2506</v>
      </c>
      <c r="H40" s="6">
        <v>4670</v>
      </c>
      <c r="I40" s="6">
        <v>4900.42</v>
      </c>
      <c r="J40" s="6">
        <v>6008.83</v>
      </c>
      <c r="K40" s="6">
        <v>18149.5</v>
      </c>
      <c r="L40" s="6">
        <v>2636.28</v>
      </c>
      <c r="M40" s="6">
        <v>5090.38</v>
      </c>
      <c r="N40" s="6">
        <v>5719.31</v>
      </c>
      <c r="O40" s="6">
        <v>6044.74</v>
      </c>
      <c r="P40" s="6">
        <v>19460.12</v>
      </c>
      <c r="Q40" s="6">
        <v>3812.01</v>
      </c>
      <c r="R40" s="6">
        <v>5333.52</v>
      </c>
      <c r="S40" s="6">
        <v>6220.82</v>
      </c>
      <c r="T40" s="6">
        <v>6400.28</v>
      </c>
      <c r="U40" s="6">
        <v>21535.08</v>
      </c>
      <c r="V40" s="6">
        <v>4045.77</v>
      </c>
      <c r="W40" s="6">
        <v>5312.16</v>
      </c>
      <c r="X40" s="6">
        <v>6235.71</v>
      </c>
      <c r="Y40" s="6">
        <v>6786.78</v>
      </c>
      <c r="Z40" s="6">
        <v>22439.87</v>
      </c>
      <c r="AA40" s="6">
        <v>4476.96</v>
      </c>
      <c r="AB40" s="6">
        <v>5507.61</v>
      </c>
      <c r="AC40" s="6">
        <v>6626.08</v>
      </c>
      <c r="AD40" s="6">
        <v>7777.78</v>
      </c>
      <c r="AE40" s="6">
        <v>24136.3</v>
      </c>
    </row>
    <row r="41" spans="1:31" x14ac:dyDescent="0.25">
      <c r="A41" t="s">
        <v>77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t="s">
        <v>234</v>
      </c>
      <c r="B42" s="6">
        <v>0.44</v>
      </c>
      <c r="C42" s="6">
        <v>0.61</v>
      </c>
      <c r="D42" s="6">
        <v>0.68</v>
      </c>
      <c r="E42" s="6">
        <v>0.59</v>
      </c>
      <c r="F42" s="6">
        <v>2.31</v>
      </c>
      <c r="G42" s="6">
        <v>0.36</v>
      </c>
      <c r="H42" s="6">
        <v>0.67</v>
      </c>
      <c r="I42" s="6">
        <v>0.71</v>
      </c>
      <c r="J42" s="6">
        <v>0.91</v>
      </c>
      <c r="K42" s="6">
        <v>2.64</v>
      </c>
      <c r="L42" s="6">
        <v>0.36</v>
      </c>
      <c r="M42" s="6">
        <v>0.79</v>
      </c>
      <c r="N42" s="6">
        <v>0.87</v>
      </c>
      <c r="O42" s="6">
        <v>0.97</v>
      </c>
      <c r="P42" s="6">
        <v>2.98</v>
      </c>
      <c r="Q42" s="6">
        <v>0.56999999999999995</v>
      </c>
      <c r="R42" s="6">
        <v>0.85</v>
      </c>
      <c r="S42" s="6">
        <v>0.95</v>
      </c>
      <c r="T42" s="6">
        <v>1.02</v>
      </c>
      <c r="U42" s="6">
        <v>3.38</v>
      </c>
      <c r="V42" s="6">
        <v>0.65</v>
      </c>
      <c r="W42" s="6">
        <v>0.93</v>
      </c>
      <c r="X42" s="6">
        <v>0.97</v>
      </c>
      <c r="Y42" s="6">
        <v>1.19</v>
      </c>
      <c r="Z42" s="6">
        <v>3.78</v>
      </c>
      <c r="AA42" s="6">
        <v>0.74</v>
      </c>
      <c r="AB42" s="6">
        <v>1.03</v>
      </c>
      <c r="AC42" s="6">
        <v>1.07</v>
      </c>
      <c r="AD42" s="6">
        <v>1.38</v>
      </c>
      <c r="AE42" s="6">
        <v>4.2300000000000004</v>
      </c>
    </row>
    <row r="43" spans="1:31" x14ac:dyDescent="0.25">
      <c r="A43" t="s">
        <v>77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A44" t="s">
        <v>235</v>
      </c>
      <c r="B44" s="6">
        <v>0.63</v>
      </c>
      <c r="C44" s="6">
        <v>0.64</v>
      </c>
      <c r="D44" s="6">
        <v>0.68</v>
      </c>
      <c r="E44" s="6">
        <v>0.59</v>
      </c>
      <c r="F44" s="6">
        <v>2.54</v>
      </c>
      <c r="G44" s="6">
        <v>0.36</v>
      </c>
      <c r="H44" s="6">
        <v>0.67</v>
      </c>
      <c r="I44" s="6">
        <v>0.7</v>
      </c>
      <c r="J44" s="6">
        <v>0.94</v>
      </c>
      <c r="K44" s="6">
        <v>2.66</v>
      </c>
      <c r="L44" s="6">
        <v>0.39</v>
      </c>
      <c r="M44" s="6">
        <v>0.78</v>
      </c>
      <c r="N44" s="6">
        <v>0.8</v>
      </c>
      <c r="O44" s="6">
        <v>1.03</v>
      </c>
      <c r="P44" s="6">
        <v>2.99</v>
      </c>
      <c r="Q44" s="6">
        <v>0.53</v>
      </c>
      <c r="R44" s="6">
        <v>0.95</v>
      </c>
      <c r="S44" s="6">
        <v>0.89</v>
      </c>
      <c r="T44" s="6">
        <v>1.1299999999999999</v>
      </c>
      <c r="U44" s="6">
        <v>3.47</v>
      </c>
      <c r="V44" s="6">
        <v>0.63</v>
      </c>
      <c r="W44" s="6">
        <v>1.1299999999999999</v>
      </c>
      <c r="X44" s="6">
        <v>0.89</v>
      </c>
      <c r="Y44" s="6">
        <v>1.27</v>
      </c>
      <c r="Z44" s="6">
        <v>3.91</v>
      </c>
      <c r="AA44" s="6">
        <v>0.78</v>
      </c>
      <c r="AB44" s="6">
        <v>1.27</v>
      </c>
      <c r="AC44" s="6">
        <v>1.02</v>
      </c>
      <c r="AD44" s="6">
        <v>1.38</v>
      </c>
      <c r="AE44" s="6">
        <v>4.42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FD0A-06E2-4154-8BCA-E52165542A11}">
  <dimension ref="A1:AE39"/>
  <sheetViews>
    <sheetView workbookViewId="0">
      <selection sqref="A1:D1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236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237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t="s">
        <v>238</v>
      </c>
      <c r="B17" s="6">
        <v>1206</v>
      </c>
      <c r="C17" s="6">
        <v>1124</v>
      </c>
      <c r="D17" s="6">
        <v>1031</v>
      </c>
      <c r="E17" s="6">
        <v>988</v>
      </c>
      <c r="F17" s="6">
        <v>4349</v>
      </c>
      <c r="G17" s="6">
        <v>918</v>
      </c>
      <c r="H17" s="6">
        <v>856</v>
      </c>
      <c r="I17" s="6">
        <v>798.56</v>
      </c>
      <c r="J17" s="6">
        <v>760.91</v>
      </c>
      <c r="K17" s="6">
        <v>3333.46</v>
      </c>
      <c r="L17" s="6">
        <v>677.13</v>
      </c>
      <c r="M17" s="6">
        <v>629.5</v>
      </c>
      <c r="N17" s="6">
        <v>584.4</v>
      </c>
      <c r="O17" s="6">
        <v>547.85</v>
      </c>
      <c r="P17" s="6">
        <v>2427.11</v>
      </c>
      <c r="Q17" s="6">
        <v>400.69</v>
      </c>
      <c r="R17" s="6">
        <v>364.3</v>
      </c>
      <c r="S17" s="6">
        <v>320.58</v>
      </c>
      <c r="T17" s="6">
        <v>293.33999999999997</v>
      </c>
      <c r="U17" s="6">
        <v>1547.73</v>
      </c>
      <c r="V17" s="6">
        <v>254.44</v>
      </c>
      <c r="W17" s="6">
        <v>223.48</v>
      </c>
      <c r="X17" s="6">
        <v>244.3</v>
      </c>
      <c r="Y17" s="6">
        <v>225.9</v>
      </c>
      <c r="Z17" s="6">
        <v>1034.9100000000001</v>
      </c>
      <c r="AA17" s="6">
        <v>195.18</v>
      </c>
      <c r="AB17" s="6">
        <v>176.43</v>
      </c>
      <c r="AC17" s="6">
        <v>157.34</v>
      </c>
      <c r="AD17" s="6">
        <v>147.07</v>
      </c>
      <c r="AE17" s="6">
        <v>841.66</v>
      </c>
    </row>
    <row r="18" spans="1:31" x14ac:dyDescent="0.25">
      <c r="A18" t="s">
        <v>239</v>
      </c>
      <c r="B18" s="6">
        <v>786.38</v>
      </c>
      <c r="C18" s="6">
        <v>727.77</v>
      </c>
      <c r="D18" s="6">
        <v>658.39</v>
      </c>
      <c r="E18" s="6">
        <v>601.04999999999995</v>
      </c>
      <c r="F18" s="6">
        <v>2773.59</v>
      </c>
      <c r="G18" s="6">
        <v>568</v>
      </c>
      <c r="H18" s="6">
        <v>519.69000000000005</v>
      </c>
      <c r="I18" s="6">
        <v>456.28</v>
      </c>
      <c r="J18" s="6">
        <v>399.89</v>
      </c>
      <c r="K18" s="6">
        <v>1943.86</v>
      </c>
      <c r="L18" s="6">
        <v>346.48</v>
      </c>
      <c r="M18" s="6">
        <v>289.77999999999997</v>
      </c>
      <c r="N18" s="6">
        <v>230.82</v>
      </c>
      <c r="O18" s="6">
        <v>177.92</v>
      </c>
      <c r="P18" s="6">
        <v>1083.07</v>
      </c>
      <c r="Q18" s="7" t="s">
        <v>104</v>
      </c>
      <c r="R18" s="6">
        <v>23.87</v>
      </c>
      <c r="S18" s="6">
        <v>3.6</v>
      </c>
      <c r="T18" s="6">
        <v>3.62</v>
      </c>
      <c r="U18" s="6">
        <v>462.81</v>
      </c>
      <c r="V18" s="7" t="s">
        <v>104</v>
      </c>
      <c r="W18" s="7" t="s">
        <v>104</v>
      </c>
      <c r="X18" s="7" t="s">
        <v>104</v>
      </c>
      <c r="Y18" s="7" t="s">
        <v>104</v>
      </c>
      <c r="Z18" s="6">
        <v>119.44</v>
      </c>
      <c r="AA18" s="7" t="s">
        <v>104</v>
      </c>
      <c r="AB18" s="7" t="s">
        <v>104</v>
      </c>
      <c r="AC18" s="7" t="s">
        <v>104</v>
      </c>
      <c r="AD18" s="7" t="s">
        <v>104</v>
      </c>
      <c r="AE18" s="6">
        <v>87.45</v>
      </c>
    </row>
    <row r="19" spans="1:31" x14ac:dyDescent="0.25">
      <c r="A19" t="s">
        <v>240</v>
      </c>
      <c r="B19" s="6">
        <v>286</v>
      </c>
      <c r="C19" s="6">
        <v>265</v>
      </c>
      <c r="D19" s="6">
        <v>243</v>
      </c>
      <c r="E19" s="6">
        <v>219</v>
      </c>
      <c r="F19" s="6">
        <v>1013</v>
      </c>
      <c r="G19" s="6">
        <v>222.04</v>
      </c>
      <c r="H19" s="6">
        <v>205.52</v>
      </c>
      <c r="I19" s="6">
        <v>191.87</v>
      </c>
      <c r="J19" s="6">
        <v>176.56</v>
      </c>
      <c r="K19" s="6">
        <v>799.34</v>
      </c>
      <c r="L19" s="6">
        <v>167.71</v>
      </c>
      <c r="M19" s="6">
        <v>157</v>
      </c>
      <c r="N19" s="6">
        <v>146.01</v>
      </c>
      <c r="O19" s="6">
        <v>134.99</v>
      </c>
      <c r="P19" s="6">
        <v>619.32000000000005</v>
      </c>
      <c r="Q19" s="6">
        <v>95.6</v>
      </c>
      <c r="R19" s="6">
        <v>81.99</v>
      </c>
      <c r="S19" s="6">
        <v>68.42</v>
      </c>
      <c r="T19" s="6">
        <v>55.53</v>
      </c>
      <c r="U19" s="6">
        <v>402.85</v>
      </c>
      <c r="V19" s="6">
        <v>58.82</v>
      </c>
      <c r="W19" s="6">
        <v>53.28</v>
      </c>
      <c r="X19" s="6">
        <v>47.41</v>
      </c>
      <c r="Y19" s="6">
        <v>41.46</v>
      </c>
      <c r="Z19" s="6">
        <v>304.37</v>
      </c>
      <c r="AA19" s="6">
        <v>36.76</v>
      </c>
      <c r="AB19" s="6">
        <v>33.03</v>
      </c>
      <c r="AC19" s="6">
        <v>29.16</v>
      </c>
      <c r="AD19" s="6">
        <v>25.29</v>
      </c>
      <c r="AE19" s="6">
        <v>256.20999999999998</v>
      </c>
    </row>
    <row r="20" spans="1:31" x14ac:dyDescent="0.25">
      <c r="A20" t="s">
        <v>241</v>
      </c>
      <c r="B20" s="6">
        <v>90</v>
      </c>
      <c r="C20" s="6">
        <v>84</v>
      </c>
      <c r="D20" s="6">
        <v>80</v>
      </c>
      <c r="E20" s="6">
        <v>79</v>
      </c>
      <c r="F20" s="6">
        <v>333</v>
      </c>
      <c r="G20" s="6">
        <v>68.92</v>
      </c>
      <c r="H20" s="6">
        <v>65.099999999999994</v>
      </c>
      <c r="I20" s="6">
        <v>60</v>
      </c>
      <c r="J20" s="6">
        <v>59.25</v>
      </c>
      <c r="K20" s="6">
        <v>253.27</v>
      </c>
      <c r="L20" s="6">
        <v>56.33</v>
      </c>
      <c r="M20" s="6">
        <v>53.52</v>
      </c>
      <c r="N20" s="6">
        <v>48.4</v>
      </c>
      <c r="O20" s="6">
        <v>47.8</v>
      </c>
      <c r="P20" s="6">
        <v>191.48</v>
      </c>
      <c r="Q20" s="6">
        <v>34.26</v>
      </c>
      <c r="R20" s="6">
        <v>32.47</v>
      </c>
      <c r="S20" s="6">
        <v>31.2</v>
      </c>
      <c r="T20" s="6">
        <v>30.81</v>
      </c>
      <c r="U20" s="6">
        <v>149.25</v>
      </c>
      <c r="V20" s="7" t="s">
        <v>104</v>
      </c>
      <c r="W20" s="7" t="s">
        <v>104</v>
      </c>
      <c r="X20" s="7" t="s">
        <v>104</v>
      </c>
      <c r="Y20" s="7" t="s">
        <v>104</v>
      </c>
      <c r="Z20" s="6">
        <v>117.12</v>
      </c>
      <c r="AA20" s="7" t="s">
        <v>104</v>
      </c>
      <c r="AB20" s="7" t="s">
        <v>104</v>
      </c>
      <c r="AC20" s="7" t="s">
        <v>104</v>
      </c>
      <c r="AD20" s="7" t="s">
        <v>104</v>
      </c>
      <c r="AE20" s="6">
        <v>154.25</v>
      </c>
    </row>
    <row r="21" spans="1:31" x14ac:dyDescent="0.25">
      <c r="A21" t="s">
        <v>242</v>
      </c>
      <c r="B21" s="6">
        <v>1162</v>
      </c>
      <c r="C21" s="6">
        <v>1078</v>
      </c>
      <c r="D21" s="6">
        <v>982</v>
      </c>
      <c r="E21" s="6">
        <v>901</v>
      </c>
      <c r="F21" s="6">
        <v>4123</v>
      </c>
      <c r="G21" s="6">
        <v>850</v>
      </c>
      <c r="H21" s="6">
        <v>776</v>
      </c>
      <c r="I21" s="6">
        <v>704</v>
      </c>
      <c r="J21" s="6">
        <v>633.6</v>
      </c>
      <c r="K21" s="6">
        <v>2963.53</v>
      </c>
      <c r="L21" s="6">
        <v>576.23</v>
      </c>
      <c r="M21" s="6">
        <v>512.13</v>
      </c>
      <c r="N21" s="6">
        <v>448.27</v>
      </c>
      <c r="O21" s="6">
        <v>386.53</v>
      </c>
      <c r="P21" s="6">
        <v>1907.56</v>
      </c>
      <c r="Q21" s="6">
        <v>323.74</v>
      </c>
      <c r="R21" s="6">
        <v>278</v>
      </c>
      <c r="S21" s="6">
        <v>243.02</v>
      </c>
      <c r="T21" s="6">
        <v>208.08</v>
      </c>
      <c r="U21" s="6">
        <v>1092.31</v>
      </c>
      <c r="V21" s="6">
        <v>203.19</v>
      </c>
      <c r="W21" s="6">
        <v>176.13</v>
      </c>
      <c r="X21" s="6">
        <v>156.22</v>
      </c>
      <c r="Y21" s="6">
        <v>167.59</v>
      </c>
      <c r="Z21" s="6">
        <v>649.12</v>
      </c>
      <c r="AA21" s="6">
        <v>214.81</v>
      </c>
      <c r="AB21" s="6">
        <v>196.33</v>
      </c>
      <c r="AC21" s="6">
        <v>186.38</v>
      </c>
      <c r="AD21" s="6">
        <v>164.83</v>
      </c>
      <c r="AE21" s="6">
        <v>667.13</v>
      </c>
    </row>
    <row r="22" spans="1:31" x14ac:dyDescent="0.25">
      <c r="A22" t="s">
        <v>243</v>
      </c>
      <c r="B22" s="6">
        <v>2368</v>
      </c>
      <c r="C22" s="6">
        <v>2202</v>
      </c>
      <c r="D22" s="6">
        <v>2013</v>
      </c>
      <c r="E22" s="6">
        <v>1889</v>
      </c>
      <c r="F22" s="6">
        <v>8472</v>
      </c>
      <c r="G22" s="6">
        <v>1768</v>
      </c>
      <c r="H22" s="6">
        <v>1632</v>
      </c>
      <c r="I22" s="6">
        <v>1504.54</v>
      </c>
      <c r="J22" s="6">
        <v>1400.95</v>
      </c>
      <c r="K22" s="6">
        <v>6305.49</v>
      </c>
      <c r="L22" s="6">
        <v>1259.3699999999999</v>
      </c>
      <c r="M22" s="6">
        <v>1143.27</v>
      </c>
      <c r="N22" s="6">
        <v>1040.74</v>
      </c>
      <c r="O22" s="6">
        <v>947.12</v>
      </c>
      <c r="P22" s="6">
        <v>4358.1099999999997</v>
      </c>
      <c r="Q22" s="6">
        <v>724.43</v>
      </c>
      <c r="R22" s="6">
        <v>642.29</v>
      </c>
      <c r="S22" s="6">
        <v>563.6</v>
      </c>
      <c r="T22" s="6">
        <v>501.43</v>
      </c>
      <c r="U22" s="6">
        <v>2651.29</v>
      </c>
      <c r="V22" s="6">
        <v>457.63</v>
      </c>
      <c r="W22" s="6">
        <v>399.61</v>
      </c>
      <c r="X22" s="6">
        <v>351.66</v>
      </c>
      <c r="Y22" s="6">
        <v>311.89999999999998</v>
      </c>
      <c r="Z22" s="6">
        <v>1654.41</v>
      </c>
      <c r="AA22" s="6">
        <v>346.97</v>
      </c>
      <c r="AB22" s="6">
        <v>422.12</v>
      </c>
      <c r="AC22" s="6">
        <v>391.25</v>
      </c>
      <c r="AD22" s="6">
        <v>358.64</v>
      </c>
      <c r="AE22" s="6">
        <v>1423.71</v>
      </c>
    </row>
    <row r="23" spans="1:31" x14ac:dyDescent="0.25">
      <c r="A23" t="s">
        <v>77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t="s">
        <v>244</v>
      </c>
      <c r="B24" s="6">
        <v>611</v>
      </c>
      <c r="C24" s="6">
        <v>581</v>
      </c>
      <c r="D24" s="6">
        <v>648</v>
      </c>
      <c r="E24" s="6">
        <v>594</v>
      </c>
      <c r="F24" s="6">
        <v>2434</v>
      </c>
      <c r="G24" s="6">
        <v>585</v>
      </c>
      <c r="H24" s="6">
        <v>554</v>
      </c>
      <c r="I24" s="6">
        <v>569.02</v>
      </c>
      <c r="J24" s="6">
        <v>538.71</v>
      </c>
      <c r="K24" s="6">
        <v>2246.73</v>
      </c>
      <c r="L24" s="6">
        <v>505.16</v>
      </c>
      <c r="M24" s="6">
        <v>479.14</v>
      </c>
      <c r="N24" s="6">
        <v>493.99</v>
      </c>
      <c r="O24" s="6">
        <v>465.27</v>
      </c>
      <c r="P24" s="6">
        <v>1948.82</v>
      </c>
      <c r="Q24" s="6">
        <v>343.82</v>
      </c>
      <c r="R24" s="6">
        <v>322.31</v>
      </c>
      <c r="S24" s="6">
        <v>331.13</v>
      </c>
      <c r="T24" s="6">
        <v>307.54000000000002</v>
      </c>
      <c r="U24" s="6">
        <v>1495.58</v>
      </c>
      <c r="V24" s="6">
        <v>212.99</v>
      </c>
      <c r="W24" s="6">
        <v>185.73</v>
      </c>
      <c r="X24" s="6">
        <v>178.85</v>
      </c>
      <c r="Y24" s="6">
        <v>155.97999999999999</v>
      </c>
      <c r="Z24" s="6">
        <v>1051.96</v>
      </c>
      <c r="AA24" s="6">
        <v>113.96</v>
      </c>
      <c r="AB24" s="6">
        <v>101.93</v>
      </c>
      <c r="AC24" s="6">
        <v>104.4</v>
      </c>
      <c r="AD24" s="6">
        <v>91.38</v>
      </c>
      <c r="AE24" s="6">
        <v>872.13</v>
      </c>
    </row>
    <row r="25" spans="1:31" x14ac:dyDescent="0.25">
      <c r="A25" t="s">
        <v>245</v>
      </c>
      <c r="B25" s="6">
        <v>738</v>
      </c>
      <c r="C25" s="6">
        <v>662</v>
      </c>
      <c r="D25" s="6">
        <v>686</v>
      </c>
      <c r="E25" s="6">
        <v>613</v>
      </c>
      <c r="F25" s="6">
        <v>2699</v>
      </c>
      <c r="G25" s="6">
        <v>571</v>
      </c>
      <c r="H25" s="6">
        <v>555</v>
      </c>
      <c r="I25" s="6">
        <v>517.17999999999995</v>
      </c>
      <c r="J25" s="6">
        <v>466.63</v>
      </c>
      <c r="K25" s="6">
        <v>2109.8000000000002</v>
      </c>
      <c r="L25" s="6">
        <v>438.33</v>
      </c>
      <c r="M25" s="6">
        <v>424.51</v>
      </c>
      <c r="N25" s="6">
        <v>398.11</v>
      </c>
      <c r="O25" s="6">
        <v>361.63</v>
      </c>
      <c r="P25" s="6">
        <v>1570.05</v>
      </c>
      <c r="Q25" s="6">
        <v>270.76</v>
      </c>
      <c r="R25" s="6">
        <v>259.17</v>
      </c>
      <c r="S25" s="6">
        <v>239.02</v>
      </c>
      <c r="T25" s="6">
        <v>215.27</v>
      </c>
      <c r="U25" s="6">
        <v>1029.3399999999999</v>
      </c>
      <c r="V25" s="6">
        <v>163.66</v>
      </c>
      <c r="W25" s="6">
        <v>147.77000000000001</v>
      </c>
      <c r="X25" s="6">
        <v>123.23</v>
      </c>
      <c r="Y25" s="6">
        <v>102.41</v>
      </c>
      <c r="Z25" s="6">
        <v>629.03</v>
      </c>
      <c r="AA25" s="6">
        <v>82.57</v>
      </c>
      <c r="AB25" s="6">
        <v>76.02</v>
      </c>
      <c r="AC25" s="6">
        <v>62.85</v>
      </c>
      <c r="AD25" s="6">
        <v>54.58</v>
      </c>
      <c r="AE25" s="6">
        <v>537.55999999999995</v>
      </c>
    </row>
    <row r="26" spans="1:31" x14ac:dyDescent="0.25">
      <c r="A26" t="s">
        <v>246</v>
      </c>
      <c r="B26" s="6">
        <v>1349</v>
      </c>
      <c r="C26" s="6">
        <v>1243</v>
      </c>
      <c r="D26" s="6">
        <v>1334</v>
      </c>
      <c r="E26" s="6">
        <v>1207</v>
      </c>
      <c r="F26" s="6">
        <v>5133</v>
      </c>
      <c r="G26" s="6">
        <v>1156</v>
      </c>
      <c r="H26" s="6">
        <v>1109</v>
      </c>
      <c r="I26" s="6">
        <v>1088.6199999999999</v>
      </c>
      <c r="J26" s="6">
        <v>1013.43</v>
      </c>
      <c r="K26" s="6">
        <v>4367.05</v>
      </c>
      <c r="L26" s="6">
        <v>954.26</v>
      </c>
      <c r="M26" s="6">
        <v>918.11</v>
      </c>
      <c r="N26" s="6">
        <v>904.81</v>
      </c>
      <c r="O26" s="6">
        <v>849.62</v>
      </c>
      <c r="P26" s="6">
        <v>3590.8</v>
      </c>
      <c r="Q26" s="6">
        <v>723.81</v>
      </c>
      <c r="R26" s="6">
        <v>685.82</v>
      </c>
      <c r="S26" s="6">
        <v>664.65</v>
      </c>
      <c r="T26" s="6">
        <v>619.99</v>
      </c>
      <c r="U26" s="6">
        <v>2722.26</v>
      </c>
      <c r="V26" s="6">
        <v>562.19000000000005</v>
      </c>
      <c r="W26" s="6">
        <v>519.21</v>
      </c>
      <c r="X26" s="6">
        <v>486.12</v>
      </c>
      <c r="Y26" s="6">
        <v>444.68</v>
      </c>
      <c r="Z26" s="6">
        <v>1903.29</v>
      </c>
      <c r="AA26" s="6">
        <v>455.7</v>
      </c>
      <c r="AB26" s="6">
        <v>430.04</v>
      </c>
      <c r="AC26" s="6">
        <v>412.99</v>
      </c>
      <c r="AD26" s="6">
        <v>383.05</v>
      </c>
      <c r="AE26" s="6">
        <v>1541.27</v>
      </c>
    </row>
    <row r="27" spans="1:31" x14ac:dyDescent="0.25">
      <c r="A27" t="s">
        <v>77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t="s">
        <v>247</v>
      </c>
      <c r="B28" s="6">
        <v>595</v>
      </c>
      <c r="C28" s="6">
        <v>543</v>
      </c>
      <c r="D28" s="6">
        <v>383</v>
      </c>
      <c r="E28" s="6">
        <v>394</v>
      </c>
      <c r="F28" s="6">
        <v>1915</v>
      </c>
      <c r="G28" s="6">
        <v>333</v>
      </c>
      <c r="H28" s="6">
        <v>302</v>
      </c>
      <c r="I28" s="6">
        <v>215.72</v>
      </c>
      <c r="J28" s="6">
        <v>212.65</v>
      </c>
      <c r="K28" s="6">
        <v>1063.3699999999999</v>
      </c>
      <c r="L28" s="6">
        <v>157.97999999999999</v>
      </c>
      <c r="M28" s="6">
        <v>120.89</v>
      </c>
      <c r="N28" s="6">
        <v>26.91</v>
      </c>
      <c r="O28" s="6">
        <v>12.77</v>
      </c>
      <c r="P28" s="6">
        <v>340.37</v>
      </c>
      <c r="Q28" s="6">
        <v>-0.73</v>
      </c>
      <c r="R28" s="6">
        <v>-25.06</v>
      </c>
      <c r="S28" s="6">
        <v>-94.97</v>
      </c>
      <c r="T28" s="6">
        <v>-113.04</v>
      </c>
      <c r="U28" s="6">
        <v>-222.22</v>
      </c>
      <c r="V28" s="6">
        <v>-48.72</v>
      </c>
      <c r="W28" s="6">
        <v>-65.040000000000006</v>
      </c>
      <c r="X28" s="6">
        <v>-93.51</v>
      </c>
      <c r="Y28" s="6">
        <v>-86.78</v>
      </c>
      <c r="Z28" s="6">
        <v>-308.77999999999997</v>
      </c>
      <c r="AA28" s="6">
        <v>-21.5</v>
      </c>
      <c r="AB28" s="6">
        <v>-22.44</v>
      </c>
      <c r="AC28" s="6">
        <v>-49.4</v>
      </c>
      <c r="AD28" s="6">
        <v>-40.14</v>
      </c>
      <c r="AE28" s="6">
        <v>-373.25</v>
      </c>
    </row>
    <row r="29" spans="1:31" x14ac:dyDescent="0.25">
      <c r="A29" t="s">
        <v>248</v>
      </c>
      <c r="B29" s="6">
        <v>424</v>
      </c>
      <c r="C29" s="6">
        <v>416</v>
      </c>
      <c r="D29" s="6">
        <v>296</v>
      </c>
      <c r="E29" s="6">
        <v>288</v>
      </c>
      <c r="F29" s="6">
        <v>1424</v>
      </c>
      <c r="G29" s="6">
        <v>279</v>
      </c>
      <c r="H29" s="6">
        <v>221</v>
      </c>
      <c r="I29" s="6">
        <v>179.24</v>
      </c>
      <c r="J29" s="6">
        <v>163.68</v>
      </c>
      <c r="K29" s="6">
        <v>842.76</v>
      </c>
      <c r="L29" s="6">
        <v>116.54</v>
      </c>
      <c r="M29" s="6">
        <v>59.63</v>
      </c>
      <c r="N29" s="6">
        <v>12.52</v>
      </c>
      <c r="O29" s="6">
        <v>-11.55</v>
      </c>
      <c r="P29" s="6">
        <v>278.19</v>
      </c>
      <c r="Q29" s="6">
        <v>0.81</v>
      </c>
      <c r="R29" s="6">
        <v>-24.68</v>
      </c>
      <c r="S29" s="6">
        <v>-28.57</v>
      </c>
      <c r="T29" s="6">
        <v>-41.59</v>
      </c>
      <c r="U29" s="6">
        <v>-95.03</v>
      </c>
      <c r="V29" s="6">
        <v>-27.18</v>
      </c>
      <c r="W29" s="6">
        <v>-40.020000000000003</v>
      </c>
      <c r="X29" s="6">
        <v>-37.590000000000003</v>
      </c>
      <c r="Y29" s="6">
        <v>-41</v>
      </c>
      <c r="Z29" s="6">
        <v>-188.51</v>
      </c>
      <c r="AA29" s="6">
        <v>1.73</v>
      </c>
      <c r="AB29" s="6">
        <v>-5.36</v>
      </c>
      <c r="AC29" s="6">
        <v>2.69</v>
      </c>
      <c r="AD29" s="6">
        <v>-0.71</v>
      </c>
      <c r="AE29" s="6">
        <v>-198.74</v>
      </c>
    </row>
    <row r="30" spans="1:31" x14ac:dyDescent="0.25">
      <c r="A30" t="s">
        <v>249</v>
      </c>
      <c r="B30" s="6">
        <v>1019</v>
      </c>
      <c r="C30" s="6">
        <v>959</v>
      </c>
      <c r="D30" s="6">
        <v>679</v>
      </c>
      <c r="E30" s="6">
        <v>682</v>
      </c>
      <c r="F30" s="6">
        <v>3339</v>
      </c>
      <c r="G30" s="6">
        <v>612</v>
      </c>
      <c r="H30" s="6">
        <v>523</v>
      </c>
      <c r="I30" s="6">
        <v>414.73</v>
      </c>
      <c r="J30" s="6">
        <v>387.29</v>
      </c>
      <c r="K30" s="6">
        <v>1937.02</v>
      </c>
      <c r="L30" s="6">
        <v>313.24</v>
      </c>
      <c r="M30" s="6">
        <v>238.89</v>
      </c>
      <c r="N30" s="6">
        <v>130.75</v>
      </c>
      <c r="O30" s="6">
        <v>90.76</v>
      </c>
      <c r="P30" s="6">
        <v>800.51</v>
      </c>
      <c r="Q30" s="6">
        <v>0.62</v>
      </c>
      <c r="R30" s="6">
        <v>-43.53</v>
      </c>
      <c r="S30" s="6">
        <v>-101.05</v>
      </c>
      <c r="T30" s="6">
        <v>-118.56</v>
      </c>
      <c r="U30" s="6">
        <v>-64.59</v>
      </c>
      <c r="V30" s="6">
        <v>-104.55</v>
      </c>
      <c r="W30" s="6">
        <v>-119.6</v>
      </c>
      <c r="X30" s="6">
        <v>-134.46</v>
      </c>
      <c r="Y30" s="6">
        <v>-132.77000000000001</v>
      </c>
      <c r="Z30" s="6">
        <v>-279.23</v>
      </c>
      <c r="AA30" s="6">
        <v>-48.87</v>
      </c>
      <c r="AB30" s="6">
        <v>-54.61</v>
      </c>
      <c r="AC30" s="6">
        <v>-131.58000000000001</v>
      </c>
      <c r="AD30" s="6">
        <v>-121.07</v>
      </c>
      <c r="AE30" s="6">
        <v>-203.86</v>
      </c>
    </row>
    <row r="31" spans="1:31" x14ac:dyDescent="0.25">
      <c r="A31" t="s">
        <v>77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t="s">
        <v>250</v>
      </c>
      <c r="B32" s="6">
        <v>1019</v>
      </c>
      <c r="C32" s="6">
        <v>959</v>
      </c>
      <c r="D32" s="6">
        <v>679</v>
      </c>
      <c r="E32" s="6">
        <v>682</v>
      </c>
      <c r="F32" s="6">
        <v>3339</v>
      </c>
      <c r="G32" s="6">
        <v>612</v>
      </c>
      <c r="H32" s="6">
        <v>523</v>
      </c>
      <c r="I32" s="6">
        <v>403.65</v>
      </c>
      <c r="J32" s="6">
        <v>379.99</v>
      </c>
      <c r="K32" s="6">
        <v>1918.64</v>
      </c>
      <c r="L32" s="6">
        <v>294.89</v>
      </c>
      <c r="M32" s="6">
        <v>219.6</v>
      </c>
      <c r="N32" s="6">
        <v>118.79</v>
      </c>
      <c r="O32" s="6">
        <v>85.52</v>
      </c>
      <c r="P32" s="6">
        <v>743.06</v>
      </c>
      <c r="Q32" s="6">
        <v>-0.61</v>
      </c>
      <c r="R32" s="6">
        <v>-43.45</v>
      </c>
      <c r="S32" s="6">
        <v>-102.96</v>
      </c>
      <c r="T32" s="6">
        <v>-115.9</v>
      </c>
      <c r="U32" s="6">
        <v>-105.31</v>
      </c>
      <c r="V32" s="6">
        <v>-87.66</v>
      </c>
      <c r="W32" s="6">
        <v>-97.92</v>
      </c>
      <c r="X32" s="6">
        <v>-108.8</v>
      </c>
      <c r="Y32" s="6">
        <v>-101.13</v>
      </c>
      <c r="Z32" s="6">
        <v>-234.29</v>
      </c>
      <c r="AA32" s="6">
        <v>-48.87</v>
      </c>
      <c r="AB32" s="6">
        <v>-54.61</v>
      </c>
      <c r="AC32" s="6">
        <v>-62.7</v>
      </c>
      <c r="AD32" s="6">
        <v>-47.67</v>
      </c>
      <c r="AE32" s="6">
        <v>-202.93</v>
      </c>
    </row>
    <row r="33" spans="1:31" x14ac:dyDescent="0.25">
      <c r="A33" t="s">
        <v>77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t="s">
        <v>251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t="s">
        <v>252</v>
      </c>
      <c r="B35" s="6">
        <v>-310</v>
      </c>
      <c r="C35" s="6">
        <v>-303</v>
      </c>
      <c r="D35" s="6">
        <v>-327</v>
      </c>
      <c r="E35" s="6">
        <v>-298</v>
      </c>
      <c r="F35" s="6">
        <v>-1238</v>
      </c>
      <c r="G35" s="6">
        <v>-270</v>
      </c>
      <c r="H35" s="6">
        <v>-254</v>
      </c>
      <c r="I35" s="6">
        <v>-280.58</v>
      </c>
      <c r="J35" s="6">
        <v>-267.89999999999998</v>
      </c>
      <c r="K35" s="6">
        <v>-1072.48</v>
      </c>
      <c r="L35" s="6">
        <v>-265.39</v>
      </c>
      <c r="M35" s="6">
        <v>-251.58</v>
      </c>
      <c r="N35" s="6">
        <v>-267.06</v>
      </c>
      <c r="O35" s="6">
        <v>-251.71</v>
      </c>
      <c r="P35" s="6">
        <v>-1006.33</v>
      </c>
      <c r="Q35" s="6">
        <v>-207.5</v>
      </c>
      <c r="R35" s="6">
        <v>-170.5</v>
      </c>
      <c r="S35" s="6">
        <v>-135</v>
      </c>
      <c r="T35" s="6">
        <v>-125</v>
      </c>
      <c r="U35" s="6">
        <v>-569.78</v>
      </c>
      <c r="V35" s="6">
        <v>-82.5</v>
      </c>
      <c r="W35" s="6">
        <v>-72.5</v>
      </c>
      <c r="X35" s="6">
        <v>-60</v>
      </c>
      <c r="Y35" s="6">
        <v>-55</v>
      </c>
      <c r="Z35" s="6">
        <v>-206.02</v>
      </c>
      <c r="AA35" s="6">
        <v>-40</v>
      </c>
      <c r="AB35" s="6">
        <v>-30</v>
      </c>
      <c r="AC35" s="6">
        <v>-30</v>
      </c>
      <c r="AD35" s="6">
        <v>176</v>
      </c>
      <c r="AE35" s="6">
        <v>-47.64</v>
      </c>
    </row>
    <row r="36" spans="1:31" x14ac:dyDescent="0.25">
      <c r="A36" t="s">
        <v>253</v>
      </c>
      <c r="B36" s="6">
        <v>3776</v>
      </c>
      <c r="C36" s="6">
        <v>3473</v>
      </c>
      <c r="D36" s="6">
        <v>3146</v>
      </c>
      <c r="E36" s="6">
        <v>2848</v>
      </c>
      <c r="F36" s="6">
        <v>2848</v>
      </c>
      <c r="G36" s="6">
        <v>2578</v>
      </c>
      <c r="H36" s="6">
        <v>2324</v>
      </c>
      <c r="I36" s="6">
        <v>2043.42</v>
      </c>
      <c r="J36" s="6">
        <v>1775.52</v>
      </c>
      <c r="K36" s="6">
        <v>1775.52</v>
      </c>
      <c r="L36" s="6">
        <v>1504.13</v>
      </c>
      <c r="M36" s="6">
        <v>1252.55</v>
      </c>
      <c r="N36" s="6">
        <v>985.48</v>
      </c>
      <c r="O36" s="6">
        <v>733.78</v>
      </c>
      <c r="P36" s="6">
        <v>769.19</v>
      </c>
      <c r="Q36" s="6">
        <v>539</v>
      </c>
      <c r="R36" s="6">
        <v>486</v>
      </c>
      <c r="S36" s="6">
        <v>354</v>
      </c>
      <c r="T36" s="6">
        <v>229</v>
      </c>
      <c r="U36" s="6">
        <v>274.33999999999997</v>
      </c>
      <c r="V36" s="6">
        <v>146.5</v>
      </c>
      <c r="W36" s="6">
        <v>74</v>
      </c>
      <c r="X36" s="6">
        <v>29</v>
      </c>
      <c r="Y36" s="7" t="s">
        <v>104</v>
      </c>
      <c r="Z36" s="6">
        <v>189.76</v>
      </c>
      <c r="AA36" s="7" t="s">
        <v>104</v>
      </c>
      <c r="AB36" s="7" t="s">
        <v>104</v>
      </c>
      <c r="AC36" s="7" t="s">
        <v>104</v>
      </c>
      <c r="AD36" s="7" t="s">
        <v>104</v>
      </c>
      <c r="AE36" s="6">
        <v>100.9</v>
      </c>
    </row>
    <row r="37" spans="1:31" x14ac:dyDescent="0.25">
      <c r="A37" t="s">
        <v>77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t="s">
        <v>254</v>
      </c>
      <c r="B38" s="6">
        <v>-164</v>
      </c>
      <c r="C38" s="6">
        <v>-199</v>
      </c>
      <c r="D38" s="6">
        <v>-151</v>
      </c>
      <c r="E38" s="6">
        <v>-156</v>
      </c>
      <c r="F38" s="6">
        <v>-670</v>
      </c>
      <c r="G38" s="6">
        <v>-157</v>
      </c>
      <c r="H38" s="6">
        <v>-162</v>
      </c>
      <c r="I38" s="6">
        <v>-142.94</v>
      </c>
      <c r="J38" s="6">
        <v>-141.75</v>
      </c>
      <c r="K38" s="6">
        <v>-605.69000000000005</v>
      </c>
      <c r="L38" s="6">
        <v>-154.97</v>
      </c>
      <c r="M38" s="6">
        <v>-167.68</v>
      </c>
      <c r="N38" s="6">
        <v>-148.61000000000001</v>
      </c>
      <c r="O38" s="6">
        <v>-147.47</v>
      </c>
      <c r="P38" s="6">
        <v>-573.33000000000004</v>
      </c>
      <c r="Q38" s="6">
        <v>-156.66999999999999</v>
      </c>
      <c r="R38" s="6">
        <v>-165</v>
      </c>
      <c r="S38" s="6">
        <v>-150</v>
      </c>
      <c r="T38" s="6">
        <v>-140</v>
      </c>
      <c r="U38" s="6">
        <v>-424.19</v>
      </c>
      <c r="V38" s="6">
        <v>-122.5</v>
      </c>
      <c r="W38" s="6">
        <v>-50</v>
      </c>
      <c r="X38" s="6">
        <v>-50</v>
      </c>
      <c r="Y38" s="6">
        <v>-51</v>
      </c>
      <c r="Z38" s="6">
        <v>-304.79000000000002</v>
      </c>
      <c r="AA38" s="7" t="s">
        <v>104</v>
      </c>
      <c r="AB38" s="7" t="s">
        <v>104</v>
      </c>
      <c r="AC38" s="7" t="s">
        <v>104</v>
      </c>
      <c r="AD38" s="7" t="s">
        <v>104</v>
      </c>
      <c r="AE38" s="6">
        <v>-138.22999999999999</v>
      </c>
    </row>
    <row r="39" spans="1:31" x14ac:dyDescent="0.25">
      <c r="A39" t="s">
        <v>255</v>
      </c>
      <c r="B39" s="6">
        <v>2572</v>
      </c>
      <c r="C39" s="6">
        <v>2373</v>
      </c>
      <c r="D39" s="6">
        <v>2222</v>
      </c>
      <c r="E39" s="6">
        <v>2066</v>
      </c>
      <c r="F39" s="6">
        <v>2066</v>
      </c>
      <c r="G39" s="6">
        <v>1909</v>
      </c>
      <c r="H39" s="6">
        <v>1747</v>
      </c>
      <c r="I39" s="6">
        <v>1602.06</v>
      </c>
      <c r="J39" s="6">
        <v>1460.31</v>
      </c>
      <c r="K39" s="6">
        <v>1460.31</v>
      </c>
      <c r="L39" s="6">
        <v>1288.23</v>
      </c>
      <c r="M39" s="6">
        <v>1120.55</v>
      </c>
      <c r="N39" s="6">
        <v>971.94</v>
      </c>
      <c r="O39" s="6">
        <v>824.47</v>
      </c>
      <c r="P39" s="6">
        <v>886.98</v>
      </c>
      <c r="Q39" s="6">
        <v>572</v>
      </c>
      <c r="R39" s="6">
        <v>407</v>
      </c>
      <c r="S39" s="6">
        <v>257</v>
      </c>
      <c r="T39" s="6">
        <v>162</v>
      </c>
      <c r="U39" s="6">
        <v>486.95</v>
      </c>
      <c r="V39" s="6">
        <v>39.5</v>
      </c>
      <c r="W39" s="7" t="s">
        <v>104</v>
      </c>
      <c r="X39" s="7" t="s">
        <v>104</v>
      </c>
      <c r="Y39" s="7" t="s">
        <v>104</v>
      </c>
      <c r="Z39" s="6">
        <v>456.58</v>
      </c>
      <c r="AA39" s="7" t="s">
        <v>104</v>
      </c>
      <c r="AB39" s="7" t="s">
        <v>104</v>
      </c>
      <c r="AC39" s="7" t="s">
        <v>104</v>
      </c>
      <c r="AD39" s="7" t="s">
        <v>104</v>
      </c>
      <c r="AE39" s="6">
        <v>354.7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5139-D162-4848-B8E3-C54CE96137B0}">
  <dimension ref="A1:AE43"/>
  <sheetViews>
    <sheetView workbookViewId="0">
      <selection sqref="A1:D1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256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257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t="s">
        <v>258</v>
      </c>
      <c r="B17" s="6">
        <v>14370</v>
      </c>
      <c r="C17" s="6">
        <v>14559</v>
      </c>
      <c r="D17" s="6">
        <v>14594</v>
      </c>
      <c r="E17" s="6">
        <v>14605</v>
      </c>
      <c r="F17" s="6">
        <v>58128</v>
      </c>
      <c r="G17" s="6">
        <v>14584</v>
      </c>
      <c r="H17" s="6">
        <v>14992</v>
      </c>
      <c r="I17" s="6">
        <v>15103.68</v>
      </c>
      <c r="J17" s="6">
        <v>15144.6</v>
      </c>
      <c r="K17" s="6">
        <v>59824.28</v>
      </c>
      <c r="L17" s="6">
        <v>15121.7</v>
      </c>
      <c r="M17" s="6">
        <v>15362.88</v>
      </c>
      <c r="N17" s="6">
        <v>15560.49</v>
      </c>
      <c r="O17" s="6">
        <v>15549.25</v>
      </c>
      <c r="P17" s="6">
        <v>61437.89</v>
      </c>
      <c r="Q17" s="6">
        <v>15594.39</v>
      </c>
      <c r="R17" s="6">
        <v>15847.87</v>
      </c>
      <c r="S17" s="6">
        <v>16096.11</v>
      </c>
      <c r="T17" s="6">
        <v>16174.3</v>
      </c>
      <c r="U17" s="6">
        <v>62875.6</v>
      </c>
      <c r="V17" s="6">
        <v>15465.29</v>
      </c>
      <c r="W17" s="6">
        <v>15807.91</v>
      </c>
      <c r="X17" s="6">
        <v>15943.35</v>
      </c>
      <c r="Y17" s="6">
        <v>15877.47</v>
      </c>
      <c r="Z17" s="6">
        <v>63165.52</v>
      </c>
      <c r="AA17" s="6">
        <v>15696.69</v>
      </c>
      <c r="AB17" s="6">
        <v>15990.46</v>
      </c>
      <c r="AC17" s="6">
        <v>16224.92</v>
      </c>
      <c r="AD17" s="6">
        <v>16094.88</v>
      </c>
      <c r="AE17" s="6">
        <v>64032.639999999999</v>
      </c>
    </row>
    <row r="18" spans="1:31" x14ac:dyDescent="0.25">
      <c r="A18" t="s">
        <v>259</v>
      </c>
      <c r="B18" s="6">
        <v>2198</v>
      </c>
      <c r="C18" s="6">
        <v>2299</v>
      </c>
      <c r="D18" s="6">
        <v>2411</v>
      </c>
      <c r="E18" s="6">
        <v>2502</v>
      </c>
      <c r="F18" s="6">
        <v>9410</v>
      </c>
      <c r="G18" s="6">
        <v>2799</v>
      </c>
      <c r="H18" s="6">
        <v>2926</v>
      </c>
      <c r="I18" s="6">
        <v>3065.8</v>
      </c>
      <c r="J18" s="6">
        <v>3181.73</v>
      </c>
      <c r="K18" s="6">
        <v>11993.31</v>
      </c>
      <c r="L18" s="6">
        <v>3349.99</v>
      </c>
      <c r="M18" s="6">
        <v>3432.08</v>
      </c>
      <c r="N18" s="6">
        <v>3580.82</v>
      </c>
      <c r="O18" s="6">
        <v>3701.07</v>
      </c>
      <c r="P18" s="6">
        <v>14128.13</v>
      </c>
      <c r="Q18" s="6">
        <v>3902.26</v>
      </c>
      <c r="R18" s="6">
        <v>3977</v>
      </c>
      <c r="S18" s="6">
        <v>4148.0200000000004</v>
      </c>
      <c r="T18" s="6">
        <v>4268.25</v>
      </c>
      <c r="U18" s="6">
        <v>16264.78</v>
      </c>
      <c r="V18" s="6">
        <v>4500.34</v>
      </c>
      <c r="W18" s="6">
        <v>4590.05</v>
      </c>
      <c r="X18" s="6">
        <v>4772.13</v>
      </c>
      <c r="Y18" s="6">
        <v>4899.41</v>
      </c>
      <c r="Z18" s="6">
        <v>18469.22</v>
      </c>
      <c r="AA18" s="6">
        <v>5110.8900000000003</v>
      </c>
      <c r="AB18" s="6">
        <v>5195.26</v>
      </c>
      <c r="AC18" s="6">
        <v>5383.34</v>
      </c>
      <c r="AD18" s="6">
        <v>5508.6</v>
      </c>
      <c r="AE18" s="6">
        <v>20618.099999999999</v>
      </c>
    </row>
    <row r="19" spans="1:31" x14ac:dyDescent="0.25">
      <c r="A19" t="s">
        <v>260</v>
      </c>
      <c r="B19" s="6">
        <v>162</v>
      </c>
      <c r="C19" s="6">
        <v>164</v>
      </c>
      <c r="D19" s="6">
        <v>162</v>
      </c>
      <c r="E19" s="6">
        <v>162</v>
      </c>
      <c r="F19" s="6">
        <v>650</v>
      </c>
      <c r="G19" s="6">
        <v>158</v>
      </c>
      <c r="H19" s="6">
        <v>151</v>
      </c>
      <c r="I19" s="6">
        <v>156.01</v>
      </c>
      <c r="J19" s="6">
        <v>156.22</v>
      </c>
      <c r="K19" s="6">
        <v>621.23</v>
      </c>
      <c r="L19" s="6">
        <v>152.80000000000001</v>
      </c>
      <c r="M19" s="6">
        <v>145.26</v>
      </c>
      <c r="N19" s="6">
        <v>150.43</v>
      </c>
      <c r="O19" s="6">
        <v>151.27000000000001</v>
      </c>
      <c r="P19" s="6">
        <v>597.96</v>
      </c>
      <c r="Q19" s="6">
        <v>146.75</v>
      </c>
      <c r="R19" s="6">
        <v>139.75</v>
      </c>
      <c r="S19" s="6">
        <v>144.31</v>
      </c>
      <c r="T19" s="6">
        <v>144.33000000000001</v>
      </c>
      <c r="U19" s="6">
        <v>577.04</v>
      </c>
      <c r="V19" s="6">
        <v>139.03</v>
      </c>
      <c r="W19" s="6">
        <v>132.63</v>
      </c>
      <c r="X19" s="6">
        <v>135.72</v>
      </c>
      <c r="Y19" s="6">
        <v>135.78</v>
      </c>
      <c r="Z19" s="6">
        <v>553.59</v>
      </c>
      <c r="AA19" s="6">
        <v>133.37</v>
      </c>
      <c r="AB19" s="6">
        <v>127.21</v>
      </c>
      <c r="AC19" s="6">
        <v>130.19</v>
      </c>
      <c r="AD19" s="6">
        <v>130.25</v>
      </c>
      <c r="AE19" s="6">
        <v>534.11</v>
      </c>
    </row>
    <row r="20" spans="1:31" x14ac:dyDescent="0.25">
      <c r="A20" t="s">
        <v>261</v>
      </c>
      <c r="B20" s="6">
        <v>16730</v>
      </c>
      <c r="C20" s="6">
        <v>17022</v>
      </c>
      <c r="D20" s="6">
        <v>17167</v>
      </c>
      <c r="E20" s="6">
        <v>17269</v>
      </c>
      <c r="F20" s="6">
        <v>68188</v>
      </c>
      <c r="G20" s="6">
        <v>17541</v>
      </c>
      <c r="H20" s="6">
        <v>18069</v>
      </c>
      <c r="I20" s="6">
        <v>18314.63</v>
      </c>
      <c r="J20" s="6">
        <v>18469.87</v>
      </c>
      <c r="K20" s="6">
        <v>72394.5</v>
      </c>
      <c r="L20" s="6">
        <v>18612.48</v>
      </c>
      <c r="M20" s="6">
        <v>18934.72</v>
      </c>
      <c r="N20" s="6">
        <v>19290.82</v>
      </c>
      <c r="O20" s="6">
        <v>19401.23</v>
      </c>
      <c r="P20" s="6">
        <v>76096.429999999993</v>
      </c>
      <c r="Q20" s="6">
        <v>19603.759999999998</v>
      </c>
      <c r="R20" s="6">
        <v>19943.310000000001</v>
      </c>
      <c r="S20" s="6">
        <v>20365.580000000002</v>
      </c>
      <c r="T20" s="6">
        <v>20567.330000000002</v>
      </c>
      <c r="U20" s="6">
        <v>79699.06</v>
      </c>
      <c r="V20" s="6">
        <v>20119.97</v>
      </c>
      <c r="W20" s="6">
        <v>20580.580000000002</v>
      </c>
      <c r="X20" s="6">
        <v>20918.88</v>
      </c>
      <c r="Y20" s="6">
        <v>20993.29</v>
      </c>
      <c r="Z20" s="6">
        <v>82337.11</v>
      </c>
      <c r="AA20" s="6">
        <v>20994.1</v>
      </c>
      <c r="AB20" s="6">
        <v>21405.52</v>
      </c>
      <c r="AC20" s="6">
        <v>21850.720000000001</v>
      </c>
      <c r="AD20" s="6">
        <v>21861.06</v>
      </c>
      <c r="AE20" s="6">
        <v>85458.87</v>
      </c>
    </row>
    <row r="21" spans="1:31" x14ac:dyDescent="0.25">
      <c r="A21" t="s">
        <v>262</v>
      </c>
      <c r="B21" s="6">
        <v>4246</v>
      </c>
      <c r="C21" s="6">
        <v>4273</v>
      </c>
      <c r="D21" s="6">
        <v>4107</v>
      </c>
      <c r="E21" s="6">
        <v>6445</v>
      </c>
      <c r="F21" s="6">
        <v>19071</v>
      </c>
      <c r="G21" s="6">
        <v>4611</v>
      </c>
      <c r="H21" s="6">
        <v>4260</v>
      </c>
      <c r="I21" s="6">
        <v>4193.58</v>
      </c>
      <c r="J21" s="6">
        <v>6548.97</v>
      </c>
      <c r="K21" s="6">
        <v>19613.55</v>
      </c>
      <c r="L21" s="6">
        <v>4784.42</v>
      </c>
      <c r="M21" s="6">
        <v>4457.82</v>
      </c>
      <c r="N21" s="6">
        <v>4251.05</v>
      </c>
      <c r="O21" s="6">
        <v>6728.38</v>
      </c>
      <c r="P21" s="6">
        <v>20188.43</v>
      </c>
      <c r="Q21" s="6">
        <v>4949.51</v>
      </c>
      <c r="R21" s="6">
        <v>4525.1499999999996</v>
      </c>
      <c r="S21" s="6">
        <v>4479.8</v>
      </c>
      <c r="T21" s="6">
        <v>6987.15</v>
      </c>
      <c r="U21" s="6">
        <v>20702.29</v>
      </c>
      <c r="V21" s="6">
        <v>4810.97</v>
      </c>
      <c r="W21" s="6">
        <v>4457.8</v>
      </c>
      <c r="X21" s="6">
        <v>4276.12</v>
      </c>
      <c r="Y21" s="6">
        <v>6640.57</v>
      </c>
      <c r="Z21" s="6">
        <v>20869.13</v>
      </c>
      <c r="AA21" s="6">
        <v>4891.45</v>
      </c>
      <c r="AB21" s="6">
        <v>4503.96</v>
      </c>
      <c r="AC21" s="6">
        <v>4348.28</v>
      </c>
      <c r="AD21" s="6">
        <v>6721.89</v>
      </c>
      <c r="AE21" s="6">
        <v>21199.68</v>
      </c>
    </row>
    <row r="22" spans="1:31" x14ac:dyDescent="0.25">
      <c r="A22" t="s">
        <v>263</v>
      </c>
      <c r="B22" s="6">
        <v>20976</v>
      </c>
      <c r="C22" s="6">
        <v>21295</v>
      </c>
      <c r="D22" s="6">
        <v>21274</v>
      </c>
      <c r="E22" s="6">
        <v>23714</v>
      </c>
      <c r="F22" s="6">
        <v>87259</v>
      </c>
      <c r="G22" s="6">
        <v>22152</v>
      </c>
      <c r="H22" s="6">
        <v>22329</v>
      </c>
      <c r="I22" s="6">
        <v>22529.96</v>
      </c>
      <c r="J22" s="6">
        <v>25029.95</v>
      </c>
      <c r="K22" s="6">
        <v>92040.91</v>
      </c>
      <c r="L22" s="6">
        <v>23462.97</v>
      </c>
      <c r="M22" s="6">
        <v>23392.31</v>
      </c>
      <c r="N22" s="6">
        <v>23565.52</v>
      </c>
      <c r="O22" s="6">
        <v>26179.82</v>
      </c>
      <c r="P22" s="6">
        <v>96421.23</v>
      </c>
      <c r="Q22" s="6">
        <v>24714.22</v>
      </c>
      <c r="R22" s="6">
        <v>24491.93</v>
      </c>
      <c r="S22" s="6">
        <v>24932.98</v>
      </c>
      <c r="T22" s="6">
        <v>27733.77</v>
      </c>
      <c r="U22" s="6">
        <v>100613.03</v>
      </c>
      <c r="V22" s="6">
        <v>24779.24</v>
      </c>
      <c r="W22" s="6">
        <v>24718.62</v>
      </c>
      <c r="X22" s="6">
        <v>24902.3</v>
      </c>
      <c r="Y22" s="6">
        <v>27397.07</v>
      </c>
      <c r="Z22" s="6">
        <v>103600.7</v>
      </c>
      <c r="AA22" s="6">
        <v>25594.82</v>
      </c>
      <c r="AB22" s="6">
        <v>25389.47</v>
      </c>
      <c r="AC22" s="6">
        <v>25797.439999999999</v>
      </c>
      <c r="AD22" s="6">
        <v>28174.46</v>
      </c>
      <c r="AE22" s="6">
        <v>107201.91</v>
      </c>
    </row>
    <row r="23" spans="1:31" x14ac:dyDescent="0.25">
      <c r="A23" t="s">
        <v>264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t="s">
        <v>265</v>
      </c>
      <c r="B24" s="6">
        <v>2281</v>
      </c>
      <c r="C24" s="6">
        <v>2294</v>
      </c>
      <c r="D24" s="6">
        <v>2332</v>
      </c>
      <c r="E24" s="6">
        <v>2349</v>
      </c>
      <c r="F24" s="6">
        <v>9256</v>
      </c>
      <c r="G24" s="6">
        <v>2357</v>
      </c>
      <c r="H24" s="6">
        <v>2421</v>
      </c>
      <c r="I24" s="6">
        <v>2462.89</v>
      </c>
      <c r="J24" s="6">
        <v>2463.44</v>
      </c>
      <c r="K24" s="6">
        <v>9704.33</v>
      </c>
      <c r="L24" s="6">
        <v>2420.19</v>
      </c>
      <c r="M24" s="6">
        <v>2442.5300000000002</v>
      </c>
      <c r="N24" s="6">
        <v>2497.41</v>
      </c>
      <c r="O24" s="6">
        <v>2504.0700000000002</v>
      </c>
      <c r="P24" s="6">
        <v>9884.2199999999993</v>
      </c>
      <c r="Q24" s="6">
        <v>2431.9699999999998</v>
      </c>
      <c r="R24" s="6">
        <v>2428.6</v>
      </c>
      <c r="S24" s="6">
        <v>2420.0100000000002</v>
      </c>
      <c r="T24" s="6">
        <v>2431.3000000000002</v>
      </c>
      <c r="U24" s="6">
        <v>10107.209999999999</v>
      </c>
      <c r="V24" s="6">
        <v>2589.27</v>
      </c>
      <c r="W24" s="6">
        <v>2628.46</v>
      </c>
      <c r="X24" s="6">
        <v>2646.78</v>
      </c>
      <c r="Y24" s="6">
        <v>2659.52</v>
      </c>
      <c r="Z24" s="6">
        <v>10682.29</v>
      </c>
      <c r="AA24" s="6">
        <v>2646.56</v>
      </c>
      <c r="AB24" s="6">
        <v>2687.04</v>
      </c>
      <c r="AC24" s="6">
        <v>2705.91</v>
      </c>
      <c r="AD24" s="6">
        <v>2719.01</v>
      </c>
      <c r="AE24" s="6">
        <v>11054.49</v>
      </c>
    </row>
    <row r="25" spans="1:31" x14ac:dyDescent="0.25">
      <c r="A25" t="s">
        <v>266</v>
      </c>
      <c r="B25" s="6">
        <v>1755</v>
      </c>
      <c r="C25" s="6">
        <v>1769</v>
      </c>
      <c r="D25" s="6">
        <v>1832</v>
      </c>
      <c r="E25" s="6">
        <v>1887</v>
      </c>
      <c r="F25" s="6">
        <v>7243</v>
      </c>
      <c r="G25" s="6">
        <v>1882</v>
      </c>
      <c r="H25" s="6">
        <v>1946</v>
      </c>
      <c r="I25" s="6">
        <v>1992</v>
      </c>
      <c r="J25" s="6">
        <v>2046.85</v>
      </c>
      <c r="K25" s="6">
        <v>7866.85</v>
      </c>
      <c r="L25" s="6">
        <v>2037</v>
      </c>
      <c r="M25" s="6">
        <v>2106.48</v>
      </c>
      <c r="N25" s="6">
        <v>2146.61</v>
      </c>
      <c r="O25" s="6">
        <v>2196.75</v>
      </c>
      <c r="P25" s="6">
        <v>8495</v>
      </c>
      <c r="Q25" s="6">
        <v>2177.4</v>
      </c>
      <c r="R25" s="6">
        <v>2237.25</v>
      </c>
      <c r="S25" s="6">
        <v>2261.04</v>
      </c>
      <c r="T25" s="6">
        <v>2304.39</v>
      </c>
      <c r="U25" s="6">
        <v>9092.5</v>
      </c>
      <c r="V25" s="6">
        <v>2376.1799999999998</v>
      </c>
      <c r="W25" s="6">
        <v>2438.7199999999998</v>
      </c>
      <c r="X25" s="6">
        <v>2476.61</v>
      </c>
      <c r="Y25" s="6">
        <v>2524.98</v>
      </c>
      <c r="Z25" s="6">
        <v>9847.16</v>
      </c>
      <c r="AA25" s="6">
        <v>2545.2600000000002</v>
      </c>
      <c r="AB25" s="6">
        <v>2606.66</v>
      </c>
      <c r="AC25" s="6">
        <v>2642.05</v>
      </c>
      <c r="AD25" s="6">
        <v>2689.49</v>
      </c>
      <c r="AE25" s="6">
        <v>10498.97</v>
      </c>
    </row>
    <row r="26" spans="1:31" x14ac:dyDescent="0.25">
      <c r="A26" t="s">
        <v>267</v>
      </c>
      <c r="B26" s="6">
        <v>1294</v>
      </c>
      <c r="C26" s="6">
        <v>1249</v>
      </c>
      <c r="D26" s="6">
        <v>1198</v>
      </c>
      <c r="E26" s="6">
        <v>1170</v>
      </c>
      <c r="F26" s="6">
        <v>4911</v>
      </c>
      <c r="G26" s="6">
        <v>1083</v>
      </c>
      <c r="H26" s="6">
        <v>1042</v>
      </c>
      <c r="I26" s="6">
        <v>1021.53</v>
      </c>
      <c r="J26" s="6">
        <v>998.08</v>
      </c>
      <c r="K26" s="6">
        <v>4144.6099999999997</v>
      </c>
      <c r="L26" s="6">
        <v>932.87</v>
      </c>
      <c r="M26" s="6">
        <v>898.49</v>
      </c>
      <c r="N26" s="6">
        <v>881.42</v>
      </c>
      <c r="O26" s="6">
        <v>861.16</v>
      </c>
      <c r="P26" s="6">
        <v>3570.63</v>
      </c>
      <c r="Q26" s="6">
        <v>825.83</v>
      </c>
      <c r="R26" s="6">
        <v>794.57</v>
      </c>
      <c r="S26" s="6">
        <v>781.55</v>
      </c>
      <c r="T26" s="6">
        <v>764.06</v>
      </c>
      <c r="U26" s="6">
        <v>3148.6</v>
      </c>
      <c r="V26" s="6">
        <v>751.58</v>
      </c>
      <c r="W26" s="6">
        <v>723.62</v>
      </c>
      <c r="X26" s="6">
        <v>717.62</v>
      </c>
      <c r="Y26" s="6">
        <v>702.74</v>
      </c>
      <c r="Z26" s="6">
        <v>2813.96</v>
      </c>
      <c r="AA26" s="6">
        <v>677.3</v>
      </c>
      <c r="AB26" s="6">
        <v>652.17999999999995</v>
      </c>
      <c r="AC26" s="6">
        <v>647.12</v>
      </c>
      <c r="AD26" s="6">
        <v>633.78</v>
      </c>
      <c r="AE26" s="6">
        <v>2502.9299999999998</v>
      </c>
    </row>
    <row r="27" spans="1:31" x14ac:dyDescent="0.25">
      <c r="A27" t="s">
        <v>268</v>
      </c>
      <c r="B27" s="6">
        <v>5330</v>
      </c>
      <c r="C27" s="6">
        <v>5312</v>
      </c>
      <c r="D27" s="6">
        <v>5362</v>
      </c>
      <c r="E27" s="6">
        <v>5406</v>
      </c>
      <c r="F27" s="6">
        <v>21410</v>
      </c>
      <c r="G27" s="6">
        <v>5322</v>
      </c>
      <c r="H27" s="6">
        <v>5409</v>
      </c>
      <c r="I27" s="6">
        <v>5455.85</v>
      </c>
      <c r="J27" s="6">
        <v>5487.35</v>
      </c>
      <c r="K27" s="6">
        <v>21674.2</v>
      </c>
      <c r="L27" s="6">
        <v>5367</v>
      </c>
      <c r="M27" s="6">
        <v>5424.42</v>
      </c>
      <c r="N27" s="6">
        <v>5467.96</v>
      </c>
      <c r="O27" s="6">
        <v>5506.53</v>
      </c>
      <c r="P27" s="6">
        <v>21841.08</v>
      </c>
      <c r="Q27" s="6">
        <v>5336.54</v>
      </c>
      <c r="R27" s="6">
        <v>5373.13</v>
      </c>
      <c r="S27" s="6">
        <v>5362.27</v>
      </c>
      <c r="T27" s="6">
        <v>5396.77</v>
      </c>
      <c r="U27" s="6">
        <v>22155.73</v>
      </c>
      <c r="V27" s="6">
        <v>5683.18</v>
      </c>
      <c r="W27" s="6">
        <v>5772.11</v>
      </c>
      <c r="X27" s="6">
        <v>5834.91</v>
      </c>
      <c r="Y27" s="6">
        <v>5892.97</v>
      </c>
      <c r="Z27" s="6">
        <v>23215.42</v>
      </c>
      <c r="AA27" s="6">
        <v>5834.2</v>
      </c>
      <c r="AB27" s="6">
        <v>5932.58</v>
      </c>
      <c r="AC27" s="6">
        <v>6001.05</v>
      </c>
      <c r="AD27" s="6">
        <v>6065.5</v>
      </c>
      <c r="AE27" s="6">
        <v>23895.200000000001</v>
      </c>
    </row>
    <row r="28" spans="1:31" x14ac:dyDescent="0.25">
      <c r="A28" t="s">
        <v>269</v>
      </c>
      <c r="B28" s="6">
        <v>886</v>
      </c>
      <c r="C28" s="6">
        <v>890</v>
      </c>
      <c r="D28" s="6">
        <v>867</v>
      </c>
      <c r="E28" s="6">
        <v>1112</v>
      </c>
      <c r="F28" s="6">
        <v>3755</v>
      </c>
      <c r="G28" s="6">
        <v>997</v>
      </c>
      <c r="H28" s="6">
        <v>877</v>
      </c>
      <c r="I28" s="6">
        <v>893.2</v>
      </c>
      <c r="J28" s="6">
        <v>1163.97</v>
      </c>
      <c r="K28" s="6">
        <v>3931.17</v>
      </c>
      <c r="L28" s="6">
        <v>1001.72</v>
      </c>
      <c r="M28" s="6">
        <v>903.11</v>
      </c>
      <c r="N28" s="6">
        <v>863.5</v>
      </c>
      <c r="O28" s="6">
        <v>1187.95</v>
      </c>
      <c r="P28" s="6">
        <v>3989.51</v>
      </c>
      <c r="Q28" s="6">
        <v>963.18</v>
      </c>
      <c r="R28" s="6">
        <v>846.1</v>
      </c>
      <c r="S28" s="6">
        <v>829.84</v>
      </c>
      <c r="T28" s="6">
        <v>1191.31</v>
      </c>
      <c r="U28" s="6">
        <v>4033.83</v>
      </c>
      <c r="V28" s="6">
        <v>1021.37</v>
      </c>
      <c r="W28" s="6">
        <v>908.66</v>
      </c>
      <c r="X28" s="6">
        <v>901.02</v>
      </c>
      <c r="Y28" s="6">
        <v>1381.95</v>
      </c>
      <c r="Z28" s="6">
        <v>4240.59</v>
      </c>
      <c r="AA28" s="6">
        <v>1025.73</v>
      </c>
      <c r="AB28" s="6">
        <v>941.59</v>
      </c>
      <c r="AC28" s="6">
        <v>897.52</v>
      </c>
      <c r="AD28" s="6">
        <v>1411.1</v>
      </c>
      <c r="AE28" s="6">
        <v>4329.6099999999997</v>
      </c>
    </row>
    <row r="29" spans="1:31" x14ac:dyDescent="0.25">
      <c r="A29" t="s">
        <v>270</v>
      </c>
      <c r="B29" s="6">
        <v>6216</v>
      </c>
      <c r="C29" s="6">
        <v>6202</v>
      </c>
      <c r="D29" s="6">
        <v>6229</v>
      </c>
      <c r="E29" s="6">
        <v>6518</v>
      </c>
      <c r="F29" s="6">
        <v>25165</v>
      </c>
      <c r="G29" s="6">
        <v>6319</v>
      </c>
      <c r="H29" s="6">
        <v>6286</v>
      </c>
      <c r="I29" s="6">
        <v>6351.39</v>
      </c>
      <c r="J29" s="6">
        <v>6646.63</v>
      </c>
      <c r="K29" s="6">
        <v>25603.02</v>
      </c>
      <c r="L29" s="6">
        <v>6355.07</v>
      </c>
      <c r="M29" s="6">
        <v>6318.73</v>
      </c>
      <c r="N29" s="6">
        <v>6323.6</v>
      </c>
      <c r="O29" s="6">
        <v>6684.2</v>
      </c>
      <c r="P29" s="6">
        <v>25891.13</v>
      </c>
      <c r="Q29" s="6">
        <v>6213.54</v>
      </c>
      <c r="R29" s="6">
        <v>6127.74</v>
      </c>
      <c r="S29" s="6">
        <v>6073.02</v>
      </c>
      <c r="T29" s="6">
        <v>6458.46</v>
      </c>
      <c r="U29" s="6">
        <v>26338.13</v>
      </c>
      <c r="V29" s="6">
        <v>6751.83</v>
      </c>
      <c r="W29" s="6">
        <v>6761.24</v>
      </c>
      <c r="X29" s="6">
        <v>6830.18</v>
      </c>
      <c r="Y29" s="6">
        <v>7364.61</v>
      </c>
      <c r="Z29" s="6">
        <v>27685.84</v>
      </c>
      <c r="AA29" s="6">
        <v>6911.7</v>
      </c>
      <c r="AB29" s="6">
        <v>6959.73</v>
      </c>
      <c r="AC29" s="6">
        <v>6998.7</v>
      </c>
      <c r="AD29" s="6">
        <v>7571.13</v>
      </c>
      <c r="AE29" s="6">
        <v>28524.77</v>
      </c>
    </row>
    <row r="30" spans="1:31" x14ac:dyDescent="0.25">
      <c r="A30" t="s">
        <v>77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t="s">
        <v>271</v>
      </c>
      <c r="B31" s="6">
        <v>16651</v>
      </c>
      <c r="C31" s="6">
        <v>16853</v>
      </c>
      <c r="D31" s="6">
        <v>16926</v>
      </c>
      <c r="E31" s="6">
        <v>16954</v>
      </c>
      <c r="F31" s="6">
        <v>67384</v>
      </c>
      <c r="G31" s="6">
        <v>16941</v>
      </c>
      <c r="H31" s="6">
        <v>17413</v>
      </c>
      <c r="I31" s="6">
        <v>17526.97</v>
      </c>
      <c r="J31" s="6">
        <v>17565.72</v>
      </c>
      <c r="K31" s="6">
        <v>69453.75</v>
      </c>
      <c r="L31" s="6">
        <v>17503.72</v>
      </c>
      <c r="M31" s="6">
        <v>17839.36</v>
      </c>
      <c r="N31" s="6">
        <v>17971.16</v>
      </c>
      <c r="O31" s="6">
        <v>17985.62</v>
      </c>
      <c r="P31" s="6">
        <v>71247.05</v>
      </c>
      <c r="Q31" s="6">
        <v>17888.28</v>
      </c>
      <c r="R31" s="6">
        <v>18213.150000000001</v>
      </c>
      <c r="S31" s="6">
        <v>18321.82</v>
      </c>
      <c r="T31" s="6">
        <v>18373.47</v>
      </c>
      <c r="U31" s="6">
        <v>72800.94</v>
      </c>
      <c r="V31" s="6">
        <v>18052.25</v>
      </c>
      <c r="W31" s="6">
        <v>18451.87</v>
      </c>
      <c r="X31" s="6">
        <v>18528.25</v>
      </c>
      <c r="Y31" s="6">
        <v>18507.46</v>
      </c>
      <c r="Z31" s="6">
        <v>73883.320000000007</v>
      </c>
      <c r="AA31" s="6">
        <v>18318.560000000001</v>
      </c>
      <c r="AB31" s="6">
        <v>18698.79</v>
      </c>
      <c r="AC31" s="6">
        <v>18811.09</v>
      </c>
      <c r="AD31" s="6">
        <v>18759.849999999999</v>
      </c>
      <c r="AE31" s="6">
        <v>75056.66</v>
      </c>
    </row>
    <row r="32" spans="1:31" x14ac:dyDescent="0.25">
      <c r="A32" t="s">
        <v>259</v>
      </c>
      <c r="B32" s="6">
        <v>2198</v>
      </c>
      <c r="C32" s="6">
        <v>2299</v>
      </c>
      <c r="D32" s="6">
        <v>2411</v>
      </c>
      <c r="E32" s="6">
        <v>2502</v>
      </c>
      <c r="F32" s="6">
        <v>9410</v>
      </c>
      <c r="G32" s="6">
        <v>2799</v>
      </c>
      <c r="H32" s="6">
        <v>2926</v>
      </c>
      <c r="I32" s="6">
        <v>3065.8</v>
      </c>
      <c r="J32" s="6">
        <v>3181.73</v>
      </c>
      <c r="K32" s="6">
        <v>11993.31</v>
      </c>
      <c r="L32" s="6">
        <v>3349.99</v>
      </c>
      <c r="M32" s="6">
        <v>3432.08</v>
      </c>
      <c r="N32" s="6">
        <v>3580.82</v>
      </c>
      <c r="O32" s="6">
        <v>3701.07</v>
      </c>
      <c r="P32" s="6">
        <v>14128.13</v>
      </c>
      <c r="Q32" s="6">
        <v>3902.26</v>
      </c>
      <c r="R32" s="6">
        <v>3977</v>
      </c>
      <c r="S32" s="6">
        <v>4148.0200000000004</v>
      </c>
      <c r="T32" s="6">
        <v>4268.25</v>
      </c>
      <c r="U32" s="6">
        <v>16264.78</v>
      </c>
      <c r="V32" s="6">
        <v>4500.34</v>
      </c>
      <c r="W32" s="6">
        <v>4590.05</v>
      </c>
      <c r="X32" s="6">
        <v>4772.13</v>
      </c>
      <c r="Y32" s="6">
        <v>4899.41</v>
      </c>
      <c r="Z32" s="6">
        <v>18469.22</v>
      </c>
      <c r="AA32" s="6">
        <v>5110.8900000000003</v>
      </c>
      <c r="AB32" s="6">
        <v>5195.26</v>
      </c>
      <c r="AC32" s="6">
        <v>5383.34</v>
      </c>
      <c r="AD32" s="6">
        <v>5508.6</v>
      </c>
      <c r="AE32" s="6">
        <v>20618.099999999999</v>
      </c>
    </row>
    <row r="33" spans="1:31" x14ac:dyDescent="0.25">
      <c r="A33" t="s">
        <v>266</v>
      </c>
      <c r="B33" s="6">
        <v>1755</v>
      </c>
      <c r="C33" s="6">
        <v>1769</v>
      </c>
      <c r="D33" s="6">
        <v>1832</v>
      </c>
      <c r="E33" s="6">
        <v>1887</v>
      </c>
      <c r="F33" s="6">
        <v>7243</v>
      </c>
      <c r="G33" s="6">
        <v>1882</v>
      </c>
      <c r="H33" s="6">
        <v>1946</v>
      </c>
      <c r="I33" s="6">
        <v>1992</v>
      </c>
      <c r="J33" s="6">
        <v>2046.85</v>
      </c>
      <c r="K33" s="6">
        <v>7866.85</v>
      </c>
      <c r="L33" s="6">
        <v>2037</v>
      </c>
      <c r="M33" s="6">
        <v>2106.48</v>
      </c>
      <c r="N33" s="6">
        <v>2146.61</v>
      </c>
      <c r="O33" s="6">
        <v>2196.75</v>
      </c>
      <c r="P33" s="6">
        <v>8495</v>
      </c>
      <c r="Q33" s="6">
        <v>2177.4</v>
      </c>
      <c r="R33" s="6">
        <v>2237.25</v>
      </c>
      <c r="S33" s="6">
        <v>2261.04</v>
      </c>
      <c r="T33" s="6">
        <v>2304.39</v>
      </c>
      <c r="U33" s="6">
        <v>9092.5</v>
      </c>
      <c r="V33" s="6">
        <v>2376.1799999999998</v>
      </c>
      <c r="W33" s="6">
        <v>2438.7199999999998</v>
      </c>
      <c r="X33" s="6">
        <v>2476.61</v>
      </c>
      <c r="Y33" s="6">
        <v>2524.98</v>
      </c>
      <c r="Z33" s="6">
        <v>9847.16</v>
      </c>
      <c r="AA33" s="6">
        <v>2545.2600000000002</v>
      </c>
      <c r="AB33" s="6">
        <v>2606.66</v>
      </c>
      <c r="AC33" s="6">
        <v>2642.05</v>
      </c>
      <c r="AD33" s="6">
        <v>2689.49</v>
      </c>
      <c r="AE33" s="6">
        <v>10498.97</v>
      </c>
    </row>
    <row r="34" spans="1:31" x14ac:dyDescent="0.25">
      <c r="A34" t="s">
        <v>267</v>
      </c>
      <c r="B34" s="6">
        <v>1294</v>
      </c>
      <c r="C34" s="6">
        <v>1249</v>
      </c>
      <c r="D34" s="6">
        <v>1198</v>
      </c>
      <c r="E34" s="6">
        <v>1170</v>
      </c>
      <c r="F34" s="6">
        <v>4911</v>
      </c>
      <c r="G34" s="6">
        <v>1083</v>
      </c>
      <c r="H34" s="6">
        <v>1042</v>
      </c>
      <c r="I34" s="6">
        <v>1021.53</v>
      </c>
      <c r="J34" s="6">
        <v>998.08</v>
      </c>
      <c r="K34" s="6">
        <v>4144.6099999999997</v>
      </c>
      <c r="L34" s="6">
        <v>932.87</v>
      </c>
      <c r="M34" s="6">
        <v>898.49</v>
      </c>
      <c r="N34" s="6">
        <v>881.42</v>
      </c>
      <c r="O34" s="6">
        <v>861.16</v>
      </c>
      <c r="P34" s="6">
        <v>3570.63</v>
      </c>
      <c r="Q34" s="6">
        <v>825.83</v>
      </c>
      <c r="R34" s="6">
        <v>794.57</v>
      </c>
      <c r="S34" s="6">
        <v>781.55</v>
      </c>
      <c r="T34" s="6">
        <v>764.06</v>
      </c>
      <c r="U34" s="6">
        <v>3148.6</v>
      </c>
      <c r="V34" s="6">
        <v>751.58</v>
      </c>
      <c r="W34" s="6">
        <v>723.62</v>
      </c>
      <c r="X34" s="6">
        <v>717.62</v>
      </c>
      <c r="Y34" s="6">
        <v>702.74</v>
      </c>
      <c r="Z34" s="6">
        <v>2813.96</v>
      </c>
      <c r="AA34" s="6">
        <v>677.3</v>
      </c>
      <c r="AB34" s="6">
        <v>652.17999999999995</v>
      </c>
      <c r="AC34" s="6">
        <v>647.12</v>
      </c>
      <c r="AD34" s="6">
        <v>633.78</v>
      </c>
      <c r="AE34" s="6">
        <v>2502.9299999999998</v>
      </c>
    </row>
    <row r="35" spans="1:31" x14ac:dyDescent="0.25">
      <c r="A35" t="s">
        <v>260</v>
      </c>
      <c r="B35" s="6">
        <v>162</v>
      </c>
      <c r="C35" s="6">
        <v>164</v>
      </c>
      <c r="D35" s="6">
        <v>162</v>
      </c>
      <c r="E35" s="6">
        <v>162</v>
      </c>
      <c r="F35" s="6">
        <v>650</v>
      </c>
      <c r="G35" s="6">
        <v>158</v>
      </c>
      <c r="H35" s="6">
        <v>151</v>
      </c>
      <c r="I35" s="6">
        <v>156.01</v>
      </c>
      <c r="J35" s="6">
        <v>156.22</v>
      </c>
      <c r="K35" s="6">
        <v>621.23</v>
      </c>
      <c r="L35" s="6">
        <v>152.80000000000001</v>
      </c>
      <c r="M35" s="6">
        <v>145.26</v>
      </c>
      <c r="N35" s="6">
        <v>150.43</v>
      </c>
      <c r="O35" s="6">
        <v>151.27000000000001</v>
      </c>
      <c r="P35" s="6">
        <v>597.96</v>
      </c>
      <c r="Q35" s="6">
        <v>146.75</v>
      </c>
      <c r="R35" s="6">
        <v>139.75</v>
      </c>
      <c r="S35" s="6">
        <v>144.31</v>
      </c>
      <c r="T35" s="6">
        <v>144.33000000000001</v>
      </c>
      <c r="U35" s="6">
        <v>577.04</v>
      </c>
      <c r="V35" s="6">
        <v>139.03</v>
      </c>
      <c r="W35" s="6">
        <v>132.63</v>
      </c>
      <c r="X35" s="6">
        <v>135.72</v>
      </c>
      <c r="Y35" s="6">
        <v>135.78</v>
      </c>
      <c r="Z35" s="6">
        <v>553.59</v>
      </c>
      <c r="AA35" s="6">
        <v>133.37</v>
      </c>
      <c r="AB35" s="6">
        <v>127.21</v>
      </c>
      <c r="AC35" s="6">
        <v>130.19</v>
      </c>
      <c r="AD35" s="6">
        <v>130.25</v>
      </c>
      <c r="AE35" s="6">
        <v>534.11</v>
      </c>
    </row>
    <row r="36" spans="1:31" x14ac:dyDescent="0.25">
      <c r="A36" t="s">
        <v>73</v>
      </c>
      <c r="B36" s="6">
        <v>22060</v>
      </c>
      <c r="C36" s="6">
        <v>22334</v>
      </c>
      <c r="D36" s="6">
        <v>22529</v>
      </c>
      <c r="E36" s="6">
        <v>22675</v>
      </c>
      <c r="F36" s="6">
        <v>89598</v>
      </c>
      <c r="G36" s="6">
        <v>22863</v>
      </c>
      <c r="H36" s="6">
        <v>23478</v>
      </c>
      <c r="I36" s="6">
        <v>23773.75</v>
      </c>
      <c r="J36" s="6">
        <v>23938.35</v>
      </c>
      <c r="K36" s="6">
        <v>94053.1</v>
      </c>
      <c r="L36" s="6">
        <v>23956.91</v>
      </c>
      <c r="M36" s="6">
        <v>24425.9</v>
      </c>
      <c r="N36" s="6">
        <v>24752.97</v>
      </c>
      <c r="O36" s="6">
        <v>24872.93</v>
      </c>
      <c r="P36" s="6">
        <v>97976.67</v>
      </c>
      <c r="Q36" s="6">
        <v>24940.53</v>
      </c>
      <c r="R36" s="6">
        <v>25361.72</v>
      </c>
      <c r="S36" s="6">
        <v>25656.74</v>
      </c>
      <c r="T36" s="6">
        <v>25854.49</v>
      </c>
      <c r="U36" s="6">
        <v>101853.62</v>
      </c>
      <c r="V36" s="6">
        <v>25819.37</v>
      </c>
      <c r="W36" s="6">
        <v>26336.89</v>
      </c>
      <c r="X36" s="6">
        <v>26630.33</v>
      </c>
      <c r="Y36" s="6">
        <v>26770.37</v>
      </c>
      <c r="Z36" s="6">
        <v>105551.96</v>
      </c>
      <c r="AA36" s="6">
        <v>26785.38</v>
      </c>
      <c r="AB36" s="6">
        <v>27280.1</v>
      </c>
      <c r="AC36" s="6">
        <v>27613.79</v>
      </c>
      <c r="AD36" s="6">
        <v>27721.97</v>
      </c>
      <c r="AE36" s="6">
        <v>109247.44</v>
      </c>
    </row>
    <row r="37" spans="1:31" x14ac:dyDescent="0.25">
      <c r="A37" t="s">
        <v>272</v>
      </c>
      <c r="B37" s="6">
        <v>5132</v>
      </c>
      <c r="C37" s="6">
        <v>5163</v>
      </c>
      <c r="D37" s="6">
        <v>4974</v>
      </c>
      <c r="E37" s="6">
        <v>7557</v>
      </c>
      <c r="F37" s="6">
        <v>22826</v>
      </c>
      <c r="G37" s="6">
        <v>5608</v>
      </c>
      <c r="H37" s="6">
        <v>5137</v>
      </c>
      <c r="I37" s="6">
        <v>5134.8900000000003</v>
      </c>
      <c r="J37" s="6">
        <v>7851.32</v>
      </c>
      <c r="K37" s="6">
        <v>23731.21</v>
      </c>
      <c r="L37" s="6">
        <v>5701.68</v>
      </c>
      <c r="M37" s="6">
        <v>5360.97</v>
      </c>
      <c r="N37" s="6">
        <v>5382.63</v>
      </c>
      <c r="O37" s="6">
        <v>8091.59</v>
      </c>
      <c r="P37" s="6">
        <v>24489.01</v>
      </c>
      <c r="Q37" s="6">
        <v>5878.79</v>
      </c>
      <c r="R37" s="6">
        <v>5395</v>
      </c>
      <c r="S37" s="6">
        <v>5482.85</v>
      </c>
      <c r="T37" s="6">
        <v>8346.27</v>
      </c>
      <c r="U37" s="6">
        <v>24792.13</v>
      </c>
      <c r="V37" s="6">
        <v>5942</v>
      </c>
      <c r="W37" s="6">
        <v>5447.71</v>
      </c>
      <c r="X37" s="6">
        <v>5545.68</v>
      </c>
      <c r="Y37" s="6">
        <v>8486.07</v>
      </c>
      <c r="Z37" s="6">
        <v>25123.67</v>
      </c>
      <c r="AA37" s="6">
        <v>5984.97</v>
      </c>
      <c r="AB37" s="6">
        <v>5485.18</v>
      </c>
      <c r="AC37" s="6">
        <v>5585.48</v>
      </c>
      <c r="AD37" s="6">
        <v>8551.4500000000007</v>
      </c>
      <c r="AE37" s="6">
        <v>25446.31</v>
      </c>
    </row>
    <row r="38" spans="1:31" x14ac:dyDescent="0.25">
      <c r="A38" t="s">
        <v>273</v>
      </c>
      <c r="B38" s="6">
        <v>27192</v>
      </c>
      <c r="C38" s="6">
        <v>27497</v>
      </c>
      <c r="D38" s="6">
        <v>27503</v>
      </c>
      <c r="E38" s="6">
        <v>30232</v>
      </c>
      <c r="F38" s="6">
        <v>112424</v>
      </c>
      <c r="G38" s="6">
        <v>28471</v>
      </c>
      <c r="H38" s="6">
        <v>28615</v>
      </c>
      <c r="I38" s="6">
        <v>28914.47</v>
      </c>
      <c r="J38" s="6">
        <v>31785.77</v>
      </c>
      <c r="K38" s="6">
        <v>117786.24000000001</v>
      </c>
      <c r="L38" s="6">
        <v>29666.41</v>
      </c>
      <c r="M38" s="6">
        <v>29801.33</v>
      </c>
      <c r="N38" s="6">
        <v>30135.599999999999</v>
      </c>
      <c r="O38" s="6">
        <v>32964.519999999997</v>
      </c>
      <c r="P38" s="6">
        <v>122554.94</v>
      </c>
      <c r="Q38" s="6">
        <v>30819.32</v>
      </c>
      <c r="R38" s="6">
        <v>30756.720000000001</v>
      </c>
      <c r="S38" s="6">
        <v>31139.59</v>
      </c>
      <c r="T38" s="6">
        <v>34200.76</v>
      </c>
      <c r="U38" s="6">
        <v>126842.92</v>
      </c>
      <c r="V38" s="6">
        <v>31761.37</v>
      </c>
      <c r="W38" s="6">
        <v>31784.6</v>
      </c>
      <c r="X38" s="6">
        <v>32176.01</v>
      </c>
      <c r="Y38" s="6">
        <v>35256.449999999997</v>
      </c>
      <c r="Z38" s="6">
        <v>131064.38</v>
      </c>
      <c r="AA38" s="6">
        <v>32770.35</v>
      </c>
      <c r="AB38" s="6">
        <v>32765.27</v>
      </c>
      <c r="AC38" s="6">
        <v>33199.269999999997</v>
      </c>
      <c r="AD38" s="6">
        <v>36273.42</v>
      </c>
      <c r="AE38" s="6">
        <v>135287.82999999999</v>
      </c>
    </row>
    <row r="39" spans="1:31" x14ac:dyDescent="0.25">
      <c r="A39" t="s">
        <v>77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t="s">
        <v>274</v>
      </c>
      <c r="B40" s="6">
        <v>16247</v>
      </c>
      <c r="C40" s="6">
        <v>16356</v>
      </c>
      <c r="D40" s="6">
        <v>16010</v>
      </c>
      <c r="E40" s="6">
        <v>19264</v>
      </c>
      <c r="F40" s="6">
        <v>67877</v>
      </c>
      <c r="G40" s="6">
        <v>16913</v>
      </c>
      <c r="H40" s="6">
        <v>16583</v>
      </c>
      <c r="I40" s="6">
        <v>16676.2</v>
      </c>
      <c r="J40" s="6">
        <v>20026.37</v>
      </c>
      <c r="K40" s="6">
        <v>70198.570000000007</v>
      </c>
      <c r="L40" s="6">
        <v>17398.560000000001</v>
      </c>
      <c r="M40" s="6">
        <v>16986.46</v>
      </c>
      <c r="N40" s="6">
        <v>17017.349999999999</v>
      </c>
      <c r="O40" s="6">
        <v>20522.400000000001</v>
      </c>
      <c r="P40" s="6">
        <v>71910.539999999994</v>
      </c>
      <c r="Q40" s="6">
        <v>17636.400000000001</v>
      </c>
      <c r="R40" s="6">
        <v>17172.41</v>
      </c>
      <c r="S40" s="6">
        <v>17338.98</v>
      </c>
      <c r="T40" s="6">
        <v>20944.830000000002</v>
      </c>
      <c r="U40" s="6">
        <v>73205.38</v>
      </c>
      <c r="V40" s="6">
        <v>17991.32</v>
      </c>
      <c r="W40" s="6">
        <v>17540.599999999999</v>
      </c>
      <c r="X40" s="6">
        <v>17751.89</v>
      </c>
      <c r="Y40" s="6">
        <v>21431.53</v>
      </c>
      <c r="Z40" s="6">
        <v>74994.98</v>
      </c>
      <c r="AA40" s="6">
        <v>18376.86</v>
      </c>
      <c r="AB40" s="6">
        <v>17916.25</v>
      </c>
      <c r="AC40" s="6">
        <v>18158.54</v>
      </c>
      <c r="AD40" s="6">
        <v>21868.9</v>
      </c>
      <c r="AE40" s="6">
        <v>76752.61</v>
      </c>
    </row>
    <row r="41" spans="1:31" x14ac:dyDescent="0.25">
      <c r="A41" t="s">
        <v>275</v>
      </c>
      <c r="B41" s="6">
        <v>10945</v>
      </c>
      <c r="C41" s="6">
        <v>11141</v>
      </c>
      <c r="D41" s="6">
        <v>11493</v>
      </c>
      <c r="E41" s="6">
        <v>10968</v>
      </c>
      <c r="F41" s="6">
        <v>44547</v>
      </c>
      <c r="G41" s="6">
        <v>11558</v>
      </c>
      <c r="H41" s="6">
        <v>12032</v>
      </c>
      <c r="I41" s="6">
        <v>12240.49</v>
      </c>
      <c r="J41" s="6">
        <v>11713.56</v>
      </c>
      <c r="K41" s="6">
        <v>47544.04</v>
      </c>
      <c r="L41" s="6">
        <v>12315.75</v>
      </c>
      <c r="M41" s="6">
        <v>12759.45</v>
      </c>
      <c r="N41" s="6">
        <v>13038.25</v>
      </c>
      <c r="O41" s="6">
        <v>12399.7</v>
      </c>
      <c r="P41" s="6">
        <v>50510.31</v>
      </c>
      <c r="Q41" s="6">
        <v>13182.92</v>
      </c>
      <c r="R41" s="6">
        <v>13584.31</v>
      </c>
      <c r="S41" s="6">
        <v>13800.61</v>
      </c>
      <c r="T41" s="6">
        <v>13255.94</v>
      </c>
      <c r="U41" s="6">
        <v>53603.28</v>
      </c>
      <c r="V41" s="6">
        <v>13770.05</v>
      </c>
      <c r="W41" s="6">
        <v>14244</v>
      </c>
      <c r="X41" s="6">
        <v>14424.12</v>
      </c>
      <c r="Y41" s="6">
        <v>13824.92</v>
      </c>
      <c r="Z41" s="6">
        <v>56048.28</v>
      </c>
      <c r="AA41" s="6">
        <v>14393.48</v>
      </c>
      <c r="AB41" s="6">
        <v>14849.02</v>
      </c>
      <c r="AC41" s="6">
        <v>15040.72</v>
      </c>
      <c r="AD41" s="6">
        <v>14404.53</v>
      </c>
      <c r="AE41" s="6">
        <v>58480.23</v>
      </c>
    </row>
    <row r="42" spans="1:31" x14ac:dyDescent="0.25">
      <c r="A42" t="s">
        <v>276</v>
      </c>
      <c r="B42" s="6">
        <v>4973</v>
      </c>
      <c r="C42" s="6">
        <v>5035</v>
      </c>
      <c r="D42" s="6">
        <v>5076</v>
      </c>
      <c r="E42" s="6">
        <v>4875</v>
      </c>
      <c r="F42" s="6">
        <v>19959</v>
      </c>
      <c r="G42" s="6">
        <v>4705</v>
      </c>
      <c r="H42" s="6">
        <v>4687</v>
      </c>
      <c r="I42" s="6">
        <v>4843.05</v>
      </c>
      <c r="J42" s="6">
        <v>4928.22</v>
      </c>
      <c r="K42" s="6">
        <v>19163.27</v>
      </c>
      <c r="L42" s="6">
        <v>4755.38</v>
      </c>
      <c r="M42" s="6">
        <v>4734.04</v>
      </c>
      <c r="N42" s="6">
        <v>4833.1000000000004</v>
      </c>
      <c r="O42" s="6">
        <v>4925.79</v>
      </c>
      <c r="P42" s="6">
        <v>19256.189999999999</v>
      </c>
      <c r="Q42" s="6">
        <v>4827.99</v>
      </c>
      <c r="R42" s="6">
        <v>4797.4399999999996</v>
      </c>
      <c r="S42" s="6">
        <v>4943.24</v>
      </c>
      <c r="T42" s="6">
        <v>5007.32</v>
      </c>
      <c r="U42" s="6">
        <v>19507.45</v>
      </c>
      <c r="V42" s="6">
        <v>4874.26</v>
      </c>
      <c r="W42" s="6">
        <v>4851.2700000000004</v>
      </c>
      <c r="X42" s="6">
        <v>5022.93</v>
      </c>
      <c r="Y42" s="6">
        <v>4973.87</v>
      </c>
      <c r="Z42" s="6">
        <v>19725.72</v>
      </c>
      <c r="AA42" s="6">
        <v>4946.1899999999996</v>
      </c>
      <c r="AB42" s="6">
        <v>4915.95</v>
      </c>
      <c r="AC42" s="6">
        <v>5096.91</v>
      </c>
      <c r="AD42" s="6">
        <v>5031.4399999999996</v>
      </c>
      <c r="AE42" s="6">
        <v>19922.89</v>
      </c>
    </row>
    <row r="43" spans="1:31" x14ac:dyDescent="0.25">
      <c r="A43" t="s">
        <v>277</v>
      </c>
      <c r="B43" s="6">
        <v>5972</v>
      </c>
      <c r="C43" s="6">
        <v>6106</v>
      </c>
      <c r="D43" s="6">
        <v>6417</v>
      </c>
      <c r="E43" s="6">
        <v>6093</v>
      </c>
      <c r="F43" s="6">
        <v>24588</v>
      </c>
      <c r="G43" s="6">
        <v>6853</v>
      </c>
      <c r="H43" s="6">
        <v>7345</v>
      </c>
      <c r="I43" s="6">
        <v>7368.96</v>
      </c>
      <c r="J43" s="6">
        <v>6760.85</v>
      </c>
      <c r="K43" s="6">
        <v>28327.81</v>
      </c>
      <c r="L43" s="6">
        <v>7607.22</v>
      </c>
      <c r="M43" s="6">
        <v>7951.6</v>
      </c>
      <c r="N43" s="6">
        <v>8102.7</v>
      </c>
      <c r="O43" s="6">
        <v>7474.14</v>
      </c>
      <c r="P43" s="6">
        <v>31136.32</v>
      </c>
      <c r="Q43" s="6">
        <v>8388.0400000000009</v>
      </c>
      <c r="R43" s="6">
        <v>8740.5400000000009</v>
      </c>
      <c r="S43" s="6">
        <v>8833.32</v>
      </c>
      <c r="T43" s="6">
        <v>8242.19</v>
      </c>
      <c r="U43" s="6">
        <v>33951.24</v>
      </c>
      <c r="V43" s="6">
        <v>8863.52</v>
      </c>
      <c r="W43" s="6">
        <v>9280.6299999999992</v>
      </c>
      <c r="X43" s="6">
        <v>9319.4</v>
      </c>
      <c r="Y43" s="6">
        <v>8809.81</v>
      </c>
      <c r="Z43" s="6">
        <v>36024.18</v>
      </c>
      <c r="AA43" s="6">
        <v>9342.41</v>
      </c>
      <c r="AB43" s="6">
        <v>9746.19</v>
      </c>
      <c r="AC43" s="6">
        <v>9809.35</v>
      </c>
      <c r="AD43" s="6">
        <v>9267.49</v>
      </c>
      <c r="AE43" s="6">
        <v>38150.61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7CD6-CDB6-4DFA-ADB4-3C3116E6EAE8}">
  <dimension ref="A1:AE61"/>
  <sheetViews>
    <sheetView workbookViewId="0">
      <selection sqref="A1:D1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278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279</v>
      </c>
      <c r="B16" s="7" t="s">
        <v>104</v>
      </c>
      <c r="C16" s="7" t="s">
        <v>104</v>
      </c>
      <c r="D16" s="7" t="s">
        <v>104</v>
      </c>
      <c r="E16" s="7" t="s">
        <v>104</v>
      </c>
      <c r="F16" s="7" t="s">
        <v>104</v>
      </c>
      <c r="G16" s="7" t="s">
        <v>104</v>
      </c>
      <c r="H16" s="7" t="s">
        <v>104</v>
      </c>
      <c r="I16" s="7" t="s">
        <v>104</v>
      </c>
      <c r="J16" s="7" t="s">
        <v>104</v>
      </c>
      <c r="K16" s="7" t="s">
        <v>104</v>
      </c>
      <c r="L16" s="7" t="s">
        <v>104</v>
      </c>
      <c r="M16" s="7" t="s">
        <v>104</v>
      </c>
      <c r="N16" s="7" t="s">
        <v>104</v>
      </c>
      <c r="O16" s="7" t="s">
        <v>104</v>
      </c>
      <c r="P16" s="7" t="s">
        <v>104</v>
      </c>
      <c r="Q16" s="7" t="s">
        <v>104</v>
      </c>
      <c r="R16" s="7" t="s">
        <v>104</v>
      </c>
      <c r="S16" s="7" t="s">
        <v>104</v>
      </c>
      <c r="T16" s="7" t="s">
        <v>104</v>
      </c>
      <c r="U16" s="7" t="s">
        <v>104</v>
      </c>
      <c r="V16" s="7" t="s">
        <v>104</v>
      </c>
      <c r="W16" s="7" t="s">
        <v>104</v>
      </c>
      <c r="X16" s="7" t="s">
        <v>104</v>
      </c>
      <c r="Y16" s="7" t="s">
        <v>104</v>
      </c>
      <c r="Z16" s="7" t="s">
        <v>104</v>
      </c>
      <c r="AA16" s="7" t="s">
        <v>104</v>
      </c>
      <c r="AB16" s="7" t="s">
        <v>104</v>
      </c>
      <c r="AC16" s="7" t="s">
        <v>104</v>
      </c>
      <c r="AD16" s="7" t="s">
        <v>104</v>
      </c>
      <c r="AE16" s="7" t="s">
        <v>104</v>
      </c>
    </row>
    <row r="17" spans="1:31" x14ac:dyDescent="0.25">
      <c r="A17" t="s">
        <v>280</v>
      </c>
      <c r="B17" s="6">
        <v>615</v>
      </c>
      <c r="C17" s="6">
        <v>662</v>
      </c>
      <c r="D17" s="6">
        <v>696</v>
      </c>
      <c r="E17" s="6">
        <v>742</v>
      </c>
      <c r="F17" s="6">
        <v>2715</v>
      </c>
      <c r="G17" s="6">
        <v>753</v>
      </c>
      <c r="H17" s="6">
        <v>780</v>
      </c>
      <c r="I17" s="6">
        <v>713.78</v>
      </c>
      <c r="J17" s="6">
        <v>732.21</v>
      </c>
      <c r="K17" s="6">
        <v>2968.51</v>
      </c>
      <c r="L17" s="6">
        <v>732.73</v>
      </c>
      <c r="M17" s="6">
        <v>747.95</v>
      </c>
      <c r="N17" s="6">
        <v>703.81</v>
      </c>
      <c r="O17" s="6">
        <v>725.43</v>
      </c>
      <c r="P17" s="6">
        <v>2930.77</v>
      </c>
      <c r="Q17" s="6">
        <v>730.95</v>
      </c>
      <c r="R17" s="6">
        <v>759.87</v>
      </c>
      <c r="S17" s="6">
        <v>687.77</v>
      </c>
      <c r="T17" s="6">
        <v>716.48</v>
      </c>
      <c r="U17" s="6">
        <v>2982.09</v>
      </c>
      <c r="V17" s="6">
        <v>746.61</v>
      </c>
      <c r="W17" s="6">
        <v>777.66</v>
      </c>
      <c r="X17" s="6">
        <v>702.78</v>
      </c>
      <c r="Y17" s="6">
        <v>732.7</v>
      </c>
      <c r="Z17" s="6">
        <v>3056.4</v>
      </c>
      <c r="AA17" s="6">
        <v>761.41</v>
      </c>
      <c r="AB17" s="6">
        <v>792.13</v>
      </c>
      <c r="AC17" s="6">
        <v>711.2</v>
      </c>
      <c r="AD17" s="6">
        <v>741.48</v>
      </c>
      <c r="AE17" s="6">
        <v>3089.88</v>
      </c>
    </row>
    <row r="18" spans="1:31" x14ac:dyDescent="0.25">
      <c r="A18" t="s">
        <v>281</v>
      </c>
      <c r="B18" s="6">
        <v>356</v>
      </c>
      <c r="C18" s="6">
        <v>392</v>
      </c>
      <c r="D18" s="6">
        <v>399</v>
      </c>
      <c r="E18" s="6">
        <v>517</v>
      </c>
      <c r="F18" s="6">
        <v>1664</v>
      </c>
      <c r="G18" s="6">
        <v>420</v>
      </c>
      <c r="H18" s="6">
        <v>444</v>
      </c>
      <c r="I18" s="6">
        <v>428.21</v>
      </c>
      <c r="J18" s="6">
        <v>506.49</v>
      </c>
      <c r="K18" s="6">
        <v>1797.77</v>
      </c>
      <c r="L18" s="6">
        <v>449.42</v>
      </c>
      <c r="M18" s="6">
        <v>464.62</v>
      </c>
      <c r="N18" s="6">
        <v>442.62</v>
      </c>
      <c r="O18" s="6">
        <v>535.67999999999995</v>
      </c>
      <c r="P18" s="6">
        <v>1864.14</v>
      </c>
      <c r="Q18" s="6">
        <v>449.27</v>
      </c>
      <c r="R18" s="6">
        <v>442.96</v>
      </c>
      <c r="S18" s="6">
        <v>451.08</v>
      </c>
      <c r="T18" s="6">
        <v>559.46</v>
      </c>
      <c r="U18" s="6">
        <v>1859.21</v>
      </c>
      <c r="V18" s="6">
        <v>451.68</v>
      </c>
      <c r="W18" s="6">
        <v>471.07</v>
      </c>
      <c r="X18" s="6">
        <v>432.47</v>
      </c>
      <c r="Y18" s="6">
        <v>545.71</v>
      </c>
      <c r="Z18" s="6">
        <v>1861.54</v>
      </c>
      <c r="AA18" s="6">
        <v>458.22</v>
      </c>
      <c r="AB18" s="6">
        <v>478.48</v>
      </c>
      <c r="AC18" s="6">
        <v>437.21</v>
      </c>
      <c r="AD18" s="6">
        <v>550.98</v>
      </c>
      <c r="AE18" s="6">
        <v>1877.42</v>
      </c>
    </row>
    <row r="19" spans="1:31" x14ac:dyDescent="0.25">
      <c r="A19" t="s">
        <v>282</v>
      </c>
      <c r="B19" s="6">
        <v>971</v>
      </c>
      <c r="C19" s="6">
        <v>1054</v>
      </c>
      <c r="D19" s="6">
        <v>1095</v>
      </c>
      <c r="E19" s="6">
        <v>1259</v>
      </c>
      <c r="F19" s="6">
        <v>4379</v>
      </c>
      <c r="G19" s="6">
        <v>1173</v>
      </c>
      <c r="H19" s="6">
        <v>1224</v>
      </c>
      <c r="I19" s="6">
        <v>1141.99</v>
      </c>
      <c r="J19" s="6">
        <v>1238.71</v>
      </c>
      <c r="K19" s="6">
        <v>4766.29</v>
      </c>
      <c r="L19" s="6">
        <v>1182.1400000000001</v>
      </c>
      <c r="M19" s="6">
        <v>1212.57</v>
      </c>
      <c r="N19" s="6">
        <v>1146.43</v>
      </c>
      <c r="O19" s="6">
        <v>1261.1099999999999</v>
      </c>
      <c r="P19" s="6">
        <v>4794.91</v>
      </c>
      <c r="Q19" s="6">
        <v>1180.21</v>
      </c>
      <c r="R19" s="6">
        <v>1202.82</v>
      </c>
      <c r="S19" s="6">
        <v>1138.8499999999999</v>
      </c>
      <c r="T19" s="6">
        <v>1275.94</v>
      </c>
      <c r="U19" s="6">
        <v>4841.3</v>
      </c>
      <c r="V19" s="6">
        <v>1198.29</v>
      </c>
      <c r="W19" s="6">
        <v>1248.73</v>
      </c>
      <c r="X19" s="6">
        <v>1135.25</v>
      </c>
      <c r="Y19" s="6">
        <v>1278.4100000000001</v>
      </c>
      <c r="Z19" s="6">
        <v>4917.9399999999996</v>
      </c>
      <c r="AA19" s="6">
        <v>1219.6300000000001</v>
      </c>
      <c r="AB19" s="6">
        <v>1270.6099999999999</v>
      </c>
      <c r="AC19" s="6">
        <v>1148.4100000000001</v>
      </c>
      <c r="AD19" s="6">
        <v>1292.46</v>
      </c>
      <c r="AE19" s="6">
        <v>4967.3</v>
      </c>
    </row>
    <row r="20" spans="1:31" x14ac:dyDescent="0.25">
      <c r="A20" t="s">
        <v>283</v>
      </c>
      <c r="B20" s="6">
        <v>971</v>
      </c>
      <c r="C20" s="6">
        <v>1054</v>
      </c>
      <c r="D20" s="6">
        <v>1095</v>
      </c>
      <c r="E20" s="6">
        <v>1259</v>
      </c>
      <c r="F20" s="6">
        <v>4379</v>
      </c>
      <c r="G20" s="6">
        <v>1173</v>
      </c>
      <c r="H20" s="6">
        <v>1224</v>
      </c>
      <c r="I20" s="6">
        <v>1149.49</v>
      </c>
      <c r="J20" s="6">
        <v>1247.25</v>
      </c>
      <c r="K20" s="6">
        <v>4784.74</v>
      </c>
      <c r="L20" s="6">
        <v>1185.98</v>
      </c>
      <c r="M20" s="6">
        <v>1221.23</v>
      </c>
      <c r="N20" s="6">
        <v>1155.52</v>
      </c>
      <c r="O20" s="6">
        <v>1261.8800000000001</v>
      </c>
      <c r="P20" s="6">
        <v>4833.03</v>
      </c>
      <c r="Q20" s="6">
        <v>1180.21</v>
      </c>
      <c r="R20" s="6">
        <v>1202.82</v>
      </c>
      <c r="S20" s="6">
        <v>1138.8499999999999</v>
      </c>
      <c r="T20" s="6">
        <v>1275.94</v>
      </c>
      <c r="U20" s="6">
        <v>4891.37</v>
      </c>
      <c r="V20" s="6">
        <v>1198.29</v>
      </c>
      <c r="W20" s="6">
        <v>1248.73</v>
      </c>
      <c r="X20" s="6">
        <v>1135.25</v>
      </c>
      <c r="Y20" s="6">
        <v>1278.4100000000001</v>
      </c>
      <c r="Z20" s="6">
        <v>4975.67</v>
      </c>
      <c r="AA20" s="6">
        <v>1219.6300000000001</v>
      </c>
      <c r="AB20" s="6">
        <v>1270.6099999999999</v>
      </c>
      <c r="AC20" s="6">
        <v>1148.4100000000001</v>
      </c>
      <c r="AD20" s="6">
        <v>1292.46</v>
      </c>
      <c r="AE20" s="6">
        <v>5043.04</v>
      </c>
    </row>
    <row r="21" spans="1:31" x14ac:dyDescent="0.25">
      <c r="A21" t="s">
        <v>77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t="s">
        <v>284</v>
      </c>
      <c r="B22" s="6">
        <v>778</v>
      </c>
      <c r="C22" s="6">
        <v>853</v>
      </c>
      <c r="D22" s="6">
        <v>896</v>
      </c>
      <c r="E22" s="6">
        <v>1036</v>
      </c>
      <c r="F22" s="6">
        <v>3563</v>
      </c>
      <c r="G22" s="6">
        <v>953</v>
      </c>
      <c r="H22" s="6">
        <v>997</v>
      </c>
      <c r="I22" s="6">
        <v>944.1</v>
      </c>
      <c r="J22" s="6">
        <v>990.14</v>
      </c>
      <c r="K22" s="6">
        <v>3884.25</v>
      </c>
      <c r="L22" s="6">
        <v>978.83</v>
      </c>
      <c r="M22" s="6">
        <v>1027.5</v>
      </c>
      <c r="N22" s="6">
        <v>971.72</v>
      </c>
      <c r="O22" s="6">
        <v>1036.25</v>
      </c>
      <c r="P22" s="6">
        <v>3945.59</v>
      </c>
      <c r="Q22" s="6">
        <v>933.28</v>
      </c>
      <c r="R22" s="6">
        <v>1006.5</v>
      </c>
      <c r="S22" s="6">
        <v>898.29</v>
      </c>
      <c r="T22" s="6">
        <v>1005.7</v>
      </c>
      <c r="U22" s="6">
        <v>3993.7</v>
      </c>
      <c r="V22" s="6">
        <v>944.04</v>
      </c>
      <c r="W22" s="6">
        <v>1018.63</v>
      </c>
      <c r="X22" s="6">
        <v>909.73</v>
      </c>
      <c r="Y22" s="6">
        <v>1019.57</v>
      </c>
      <c r="Z22" s="6">
        <v>4045.76</v>
      </c>
      <c r="AA22" s="6">
        <v>956.5</v>
      </c>
      <c r="AB22" s="6">
        <v>1032.1300000000001</v>
      </c>
      <c r="AC22" s="6">
        <v>922.1</v>
      </c>
      <c r="AD22" s="6">
        <v>1034.08</v>
      </c>
      <c r="AE22" s="6">
        <v>4108.3100000000004</v>
      </c>
    </row>
    <row r="23" spans="1:31" x14ac:dyDescent="0.25">
      <c r="A23" t="s">
        <v>285</v>
      </c>
      <c r="B23" s="7" t="s">
        <v>104</v>
      </c>
      <c r="C23" s="7" t="s">
        <v>104</v>
      </c>
      <c r="D23" s="7" t="s">
        <v>104</v>
      </c>
      <c r="E23" s="7" t="s">
        <v>104</v>
      </c>
      <c r="F23" s="7" t="s">
        <v>104</v>
      </c>
      <c r="G23" s="7" t="s">
        <v>104</v>
      </c>
      <c r="H23" s="7" t="s">
        <v>104</v>
      </c>
      <c r="I23" s="7" t="s">
        <v>104</v>
      </c>
      <c r="J23" s="7" t="s">
        <v>104</v>
      </c>
      <c r="K23" s="7" t="s">
        <v>104</v>
      </c>
      <c r="L23" s="7" t="s">
        <v>104</v>
      </c>
      <c r="M23" s="7" t="s">
        <v>104</v>
      </c>
      <c r="N23" s="7" t="s">
        <v>104</v>
      </c>
      <c r="O23" s="7" t="s">
        <v>104</v>
      </c>
      <c r="P23" s="7" t="s">
        <v>104</v>
      </c>
      <c r="Q23" s="7" t="s">
        <v>104</v>
      </c>
      <c r="R23" s="7" t="s">
        <v>104</v>
      </c>
      <c r="S23" s="7" t="s">
        <v>104</v>
      </c>
      <c r="T23" s="7" t="s">
        <v>104</v>
      </c>
      <c r="U23" s="7" t="s">
        <v>104</v>
      </c>
      <c r="V23" s="7" t="s">
        <v>104</v>
      </c>
      <c r="W23" s="7" t="s">
        <v>104</v>
      </c>
      <c r="X23" s="7" t="s">
        <v>104</v>
      </c>
      <c r="Y23" s="7" t="s">
        <v>104</v>
      </c>
      <c r="Z23" s="7" t="s">
        <v>104</v>
      </c>
      <c r="AA23" s="7" t="s">
        <v>104</v>
      </c>
      <c r="AB23" s="7" t="s">
        <v>104</v>
      </c>
      <c r="AC23" s="7" t="s">
        <v>104</v>
      </c>
      <c r="AD23" s="7" t="s">
        <v>104</v>
      </c>
      <c r="AE23" s="7" t="s">
        <v>104</v>
      </c>
    </row>
    <row r="24" spans="1:31" x14ac:dyDescent="0.25">
      <c r="A24" t="s">
        <v>286</v>
      </c>
      <c r="B24" s="6">
        <v>778</v>
      </c>
      <c r="C24" s="6">
        <v>853</v>
      </c>
      <c r="D24" s="6">
        <v>896</v>
      </c>
      <c r="E24" s="6">
        <v>1036</v>
      </c>
      <c r="F24" s="6">
        <v>3563</v>
      </c>
      <c r="G24" s="6">
        <v>953</v>
      </c>
      <c r="H24" s="6">
        <v>997</v>
      </c>
      <c r="I24" s="6">
        <v>940.16</v>
      </c>
      <c r="J24" s="6">
        <v>1022.58</v>
      </c>
      <c r="K24" s="6">
        <v>3904.51</v>
      </c>
      <c r="L24" s="6">
        <v>961.39</v>
      </c>
      <c r="M24" s="6">
        <v>987.02</v>
      </c>
      <c r="N24" s="6">
        <v>937.2</v>
      </c>
      <c r="O24" s="6">
        <v>1027.98</v>
      </c>
      <c r="P24" s="6">
        <v>3911.34</v>
      </c>
      <c r="Q24" s="6">
        <v>956.9</v>
      </c>
      <c r="R24" s="6">
        <v>973.35</v>
      </c>
      <c r="S24" s="6">
        <v>931.92</v>
      </c>
      <c r="T24" s="6">
        <v>1042.68</v>
      </c>
      <c r="U24" s="6">
        <v>3957.45</v>
      </c>
      <c r="V24" s="6">
        <v>973.78</v>
      </c>
      <c r="W24" s="6">
        <v>1011.7</v>
      </c>
      <c r="X24" s="6">
        <v>924.04</v>
      </c>
      <c r="Y24" s="6">
        <v>1047.28</v>
      </c>
      <c r="Z24" s="6">
        <v>4010.34</v>
      </c>
      <c r="AA24" s="6">
        <v>989.46</v>
      </c>
      <c r="AB24" s="6">
        <v>1027.67</v>
      </c>
      <c r="AC24" s="6">
        <v>933.24</v>
      </c>
      <c r="AD24" s="6">
        <v>1057.07</v>
      </c>
      <c r="AE24" s="6">
        <v>4055.68</v>
      </c>
    </row>
    <row r="25" spans="1:31" x14ac:dyDescent="0.25">
      <c r="A25" t="s">
        <v>287</v>
      </c>
      <c r="B25" s="6">
        <v>193</v>
      </c>
      <c r="C25" s="6">
        <v>201</v>
      </c>
      <c r="D25" s="6">
        <v>199</v>
      </c>
      <c r="E25" s="6">
        <v>223</v>
      </c>
      <c r="F25" s="6">
        <v>816</v>
      </c>
      <c r="G25" s="6">
        <v>220</v>
      </c>
      <c r="H25" s="6">
        <v>227</v>
      </c>
      <c r="I25" s="6">
        <v>215.23</v>
      </c>
      <c r="J25" s="6">
        <v>224.57</v>
      </c>
      <c r="K25" s="6">
        <v>879.66</v>
      </c>
      <c r="L25" s="6">
        <v>233.4</v>
      </c>
      <c r="M25" s="6">
        <v>240.32</v>
      </c>
      <c r="N25" s="6">
        <v>225.14</v>
      </c>
      <c r="O25" s="6">
        <v>237.75</v>
      </c>
      <c r="P25" s="6">
        <v>934.81</v>
      </c>
      <c r="Q25" s="6">
        <v>256.11</v>
      </c>
      <c r="R25" s="6">
        <v>261.89</v>
      </c>
      <c r="S25" s="6">
        <v>232.78</v>
      </c>
      <c r="T25" s="6">
        <v>258.89999999999998</v>
      </c>
      <c r="U25" s="6">
        <v>994.45</v>
      </c>
      <c r="V25" s="6">
        <v>278</v>
      </c>
      <c r="W25" s="6">
        <v>282.51</v>
      </c>
      <c r="X25" s="6">
        <v>246.43</v>
      </c>
      <c r="Y25" s="6">
        <v>274.06</v>
      </c>
      <c r="Z25" s="6">
        <v>1043.4000000000001</v>
      </c>
      <c r="AA25" s="6">
        <v>302.01</v>
      </c>
      <c r="AB25" s="6">
        <v>304.92</v>
      </c>
      <c r="AC25" s="6">
        <v>260.87</v>
      </c>
      <c r="AD25" s="6">
        <v>290.06</v>
      </c>
      <c r="AE25" s="6">
        <v>1078.92</v>
      </c>
    </row>
    <row r="26" spans="1:31" x14ac:dyDescent="0.25">
      <c r="A26" t="s">
        <v>288</v>
      </c>
      <c r="B26" s="7" t="s">
        <v>104</v>
      </c>
      <c r="C26" s="7" t="s">
        <v>104</v>
      </c>
      <c r="D26" s="7" t="s">
        <v>104</v>
      </c>
      <c r="E26" s="7" t="s">
        <v>104</v>
      </c>
      <c r="F26" s="7" t="s">
        <v>104</v>
      </c>
      <c r="G26" s="7" t="s">
        <v>104</v>
      </c>
      <c r="H26" s="7" t="s">
        <v>104</v>
      </c>
      <c r="I26" s="7" t="s">
        <v>104</v>
      </c>
      <c r="J26" s="7" t="s">
        <v>104</v>
      </c>
      <c r="K26" s="7" t="s">
        <v>104</v>
      </c>
      <c r="L26" s="7" t="s">
        <v>104</v>
      </c>
      <c r="M26" s="7" t="s">
        <v>104</v>
      </c>
      <c r="N26" s="7" t="s">
        <v>104</v>
      </c>
      <c r="O26" s="7" t="s">
        <v>104</v>
      </c>
      <c r="P26" s="7" t="s">
        <v>104</v>
      </c>
      <c r="Q26" s="7" t="s">
        <v>104</v>
      </c>
      <c r="R26" s="7" t="s">
        <v>104</v>
      </c>
      <c r="S26" s="7" t="s">
        <v>104</v>
      </c>
      <c r="T26" s="7" t="s">
        <v>104</v>
      </c>
      <c r="U26" s="7" t="s">
        <v>104</v>
      </c>
      <c r="V26" s="7" t="s">
        <v>104</v>
      </c>
      <c r="W26" s="7" t="s">
        <v>104</v>
      </c>
      <c r="X26" s="7" t="s">
        <v>104</v>
      </c>
      <c r="Y26" s="7" t="s">
        <v>104</v>
      </c>
      <c r="Z26" s="7" t="s">
        <v>104</v>
      </c>
      <c r="AA26" s="7" t="s">
        <v>104</v>
      </c>
      <c r="AB26" s="7" t="s">
        <v>104</v>
      </c>
      <c r="AC26" s="7" t="s">
        <v>104</v>
      </c>
      <c r="AD26" s="7" t="s">
        <v>104</v>
      </c>
      <c r="AE26" s="7" t="s">
        <v>104</v>
      </c>
    </row>
    <row r="27" spans="1:31" x14ac:dyDescent="0.25">
      <c r="A27" t="s">
        <v>289</v>
      </c>
      <c r="B27" s="6">
        <v>193</v>
      </c>
      <c r="C27" s="6">
        <v>201</v>
      </c>
      <c r="D27" s="6">
        <v>199</v>
      </c>
      <c r="E27" s="6">
        <v>223</v>
      </c>
      <c r="F27" s="6">
        <v>816</v>
      </c>
      <c r="G27" s="6">
        <v>220</v>
      </c>
      <c r="H27" s="6">
        <v>227</v>
      </c>
      <c r="I27" s="6">
        <v>205.57</v>
      </c>
      <c r="J27" s="6">
        <v>224.38</v>
      </c>
      <c r="K27" s="6">
        <v>875.67</v>
      </c>
      <c r="L27" s="6">
        <v>220.07</v>
      </c>
      <c r="M27" s="6">
        <v>229.04</v>
      </c>
      <c r="N27" s="6">
        <v>209.24</v>
      </c>
      <c r="O27" s="6">
        <v>233.14</v>
      </c>
      <c r="P27" s="6">
        <v>907.83</v>
      </c>
      <c r="Q27" s="6">
        <v>223.31</v>
      </c>
      <c r="R27" s="6">
        <v>229.47</v>
      </c>
      <c r="S27" s="6">
        <v>206.93</v>
      </c>
      <c r="T27" s="6">
        <v>233.26</v>
      </c>
      <c r="U27" s="6">
        <v>933.92</v>
      </c>
      <c r="V27" s="6">
        <v>224.51</v>
      </c>
      <c r="W27" s="6">
        <v>237.03</v>
      </c>
      <c r="X27" s="6">
        <v>211.22</v>
      </c>
      <c r="Y27" s="6">
        <v>231.13</v>
      </c>
      <c r="Z27" s="6">
        <v>965.33</v>
      </c>
      <c r="AA27" s="6">
        <v>230.18</v>
      </c>
      <c r="AB27" s="6">
        <v>242.93</v>
      </c>
      <c r="AC27" s="6">
        <v>215.16</v>
      </c>
      <c r="AD27" s="6">
        <v>235.39</v>
      </c>
      <c r="AE27" s="6">
        <v>987.36</v>
      </c>
    </row>
    <row r="28" spans="1:31" x14ac:dyDescent="0.25">
      <c r="A28" t="s">
        <v>290</v>
      </c>
      <c r="B28" s="6">
        <v>150</v>
      </c>
      <c r="C28" s="6">
        <v>155</v>
      </c>
      <c r="D28" s="6">
        <v>177</v>
      </c>
      <c r="E28" s="6">
        <v>189</v>
      </c>
      <c r="F28" s="6">
        <v>671</v>
      </c>
      <c r="G28" s="6">
        <v>200</v>
      </c>
      <c r="H28" s="6">
        <v>189</v>
      </c>
      <c r="I28" s="6">
        <v>186.84</v>
      </c>
      <c r="J28" s="6">
        <v>192.26</v>
      </c>
      <c r="K28" s="6">
        <v>763.64</v>
      </c>
      <c r="L28" s="6">
        <v>187.78</v>
      </c>
      <c r="M28" s="6">
        <v>185.79</v>
      </c>
      <c r="N28" s="6">
        <v>183.07</v>
      </c>
      <c r="O28" s="6">
        <v>189.19</v>
      </c>
      <c r="P28" s="6">
        <v>740.38</v>
      </c>
      <c r="Q28" s="6">
        <v>189.16</v>
      </c>
      <c r="R28" s="6">
        <v>185.47</v>
      </c>
      <c r="S28" s="6">
        <v>182.88</v>
      </c>
      <c r="T28" s="6">
        <v>186.7</v>
      </c>
      <c r="U28" s="6">
        <v>738.15</v>
      </c>
      <c r="V28" s="6">
        <v>188.81</v>
      </c>
      <c r="W28" s="6">
        <v>184.64</v>
      </c>
      <c r="X28" s="6">
        <v>180.85</v>
      </c>
      <c r="Y28" s="6">
        <v>185.35</v>
      </c>
      <c r="Z28" s="6">
        <v>734.52</v>
      </c>
      <c r="AA28" s="6">
        <v>190.22</v>
      </c>
      <c r="AB28" s="6">
        <v>186.42</v>
      </c>
      <c r="AC28" s="6">
        <v>182.18</v>
      </c>
      <c r="AD28" s="6">
        <v>186.45</v>
      </c>
      <c r="AE28" s="6">
        <v>735.84</v>
      </c>
    </row>
    <row r="29" spans="1:31" x14ac:dyDescent="0.25">
      <c r="A29" t="s">
        <v>291</v>
      </c>
      <c r="B29" s="6">
        <v>928</v>
      </c>
      <c r="C29" s="6">
        <v>1008</v>
      </c>
      <c r="D29" s="6">
        <v>1073</v>
      </c>
      <c r="E29" s="6">
        <v>1225</v>
      </c>
      <c r="F29" s="6">
        <v>4234</v>
      </c>
      <c r="G29" s="6">
        <v>1153</v>
      </c>
      <c r="H29" s="6">
        <v>1186</v>
      </c>
      <c r="I29" s="6">
        <v>1128.92</v>
      </c>
      <c r="J29" s="6">
        <v>1209.8699999999999</v>
      </c>
      <c r="K29" s="6">
        <v>4661.45</v>
      </c>
      <c r="L29" s="6">
        <v>1147.25</v>
      </c>
      <c r="M29" s="6">
        <v>1179.81</v>
      </c>
      <c r="N29" s="6">
        <v>1119.4100000000001</v>
      </c>
      <c r="O29" s="6">
        <v>1213.77</v>
      </c>
      <c r="P29" s="6">
        <v>4637.33</v>
      </c>
      <c r="Q29" s="6">
        <v>1132.98</v>
      </c>
      <c r="R29" s="6">
        <v>1168.5899999999999</v>
      </c>
      <c r="S29" s="6">
        <v>1107.17</v>
      </c>
      <c r="T29" s="6">
        <v>1210.58</v>
      </c>
      <c r="U29" s="6">
        <v>4653.16</v>
      </c>
      <c r="V29" s="6">
        <v>1132.42</v>
      </c>
      <c r="W29" s="6">
        <v>1167.56</v>
      </c>
      <c r="X29" s="6">
        <v>1088.29</v>
      </c>
      <c r="Y29" s="6">
        <v>1210.92</v>
      </c>
      <c r="Z29" s="6">
        <v>4682.1499999999996</v>
      </c>
      <c r="AA29" s="6">
        <v>1138.76</v>
      </c>
      <c r="AB29" s="6">
        <v>1176.22</v>
      </c>
      <c r="AC29" s="6">
        <v>1094.6199999999999</v>
      </c>
      <c r="AD29" s="6">
        <v>1217.04</v>
      </c>
      <c r="AE29" s="6">
        <v>4707.55</v>
      </c>
    </row>
    <row r="30" spans="1:31" x14ac:dyDescent="0.25">
      <c r="A30" t="s">
        <v>292</v>
      </c>
      <c r="B30" s="6">
        <v>43</v>
      </c>
      <c r="C30" s="6">
        <v>46</v>
      </c>
      <c r="D30" s="6">
        <v>22</v>
      </c>
      <c r="E30" s="6">
        <v>34</v>
      </c>
      <c r="F30" s="6">
        <v>145</v>
      </c>
      <c r="G30" s="6">
        <v>20</v>
      </c>
      <c r="H30" s="6">
        <v>38</v>
      </c>
      <c r="I30" s="6">
        <v>17.23</v>
      </c>
      <c r="J30" s="6">
        <v>32.01</v>
      </c>
      <c r="K30" s="6">
        <v>109.32</v>
      </c>
      <c r="L30" s="6">
        <v>31.47</v>
      </c>
      <c r="M30" s="6">
        <v>44.41</v>
      </c>
      <c r="N30" s="6">
        <v>22.63</v>
      </c>
      <c r="O30" s="6">
        <v>41.4</v>
      </c>
      <c r="P30" s="6">
        <v>154.16999999999999</v>
      </c>
      <c r="Q30" s="6">
        <v>28.91</v>
      </c>
      <c r="R30" s="6">
        <v>46.07</v>
      </c>
      <c r="S30" s="6">
        <v>18.68</v>
      </c>
      <c r="T30" s="6">
        <v>41.88</v>
      </c>
      <c r="U30" s="6">
        <v>177.49</v>
      </c>
      <c r="V30" s="6">
        <v>22.33</v>
      </c>
      <c r="W30" s="6">
        <v>41.02</v>
      </c>
      <c r="X30" s="6">
        <v>21.56</v>
      </c>
      <c r="Y30" s="6">
        <v>35.06</v>
      </c>
      <c r="Z30" s="6">
        <v>189.53</v>
      </c>
      <c r="AA30" s="6">
        <v>22</v>
      </c>
      <c r="AB30" s="6">
        <v>41.02</v>
      </c>
      <c r="AC30" s="6">
        <v>21.56</v>
      </c>
      <c r="AD30" s="6">
        <v>35.28</v>
      </c>
      <c r="AE30" s="6">
        <v>195.91</v>
      </c>
    </row>
    <row r="31" spans="1:31" x14ac:dyDescent="0.25">
      <c r="A31" t="s">
        <v>293</v>
      </c>
      <c r="B31" s="7" t="s">
        <v>104</v>
      </c>
      <c r="C31" s="7" t="s">
        <v>104</v>
      </c>
      <c r="D31" s="7" t="s">
        <v>104</v>
      </c>
      <c r="E31" s="7" t="s">
        <v>104</v>
      </c>
      <c r="F31" s="7" t="s">
        <v>104</v>
      </c>
      <c r="G31" s="7" t="s">
        <v>104</v>
      </c>
      <c r="H31" s="7" t="s">
        <v>104</v>
      </c>
      <c r="I31" s="7" t="s">
        <v>104</v>
      </c>
      <c r="J31" s="7" t="s">
        <v>104</v>
      </c>
      <c r="K31" s="7" t="s">
        <v>104</v>
      </c>
      <c r="L31" s="7" t="s">
        <v>104</v>
      </c>
      <c r="M31" s="7" t="s">
        <v>104</v>
      </c>
      <c r="N31" s="7" t="s">
        <v>104</v>
      </c>
      <c r="O31" s="7" t="s">
        <v>104</v>
      </c>
      <c r="P31" s="7" t="s">
        <v>104</v>
      </c>
      <c r="Q31" s="7" t="s">
        <v>104</v>
      </c>
      <c r="R31" s="7" t="s">
        <v>104</v>
      </c>
      <c r="S31" s="7" t="s">
        <v>104</v>
      </c>
      <c r="T31" s="7" t="s">
        <v>104</v>
      </c>
      <c r="U31" s="7" t="s">
        <v>104</v>
      </c>
      <c r="V31" s="7" t="s">
        <v>104</v>
      </c>
      <c r="W31" s="7" t="s">
        <v>104</v>
      </c>
      <c r="X31" s="7" t="s">
        <v>104</v>
      </c>
      <c r="Y31" s="7" t="s">
        <v>104</v>
      </c>
      <c r="Z31" s="7" t="s">
        <v>104</v>
      </c>
      <c r="AA31" s="7" t="s">
        <v>104</v>
      </c>
      <c r="AB31" s="7" t="s">
        <v>104</v>
      </c>
      <c r="AC31" s="7" t="s">
        <v>104</v>
      </c>
      <c r="AD31" s="7" t="s">
        <v>104</v>
      </c>
      <c r="AE31" s="7" t="s">
        <v>104</v>
      </c>
    </row>
    <row r="32" spans="1:31" x14ac:dyDescent="0.25">
      <c r="A32" t="s">
        <v>294</v>
      </c>
      <c r="B32" s="6">
        <v>43</v>
      </c>
      <c r="C32" s="6">
        <v>46</v>
      </c>
      <c r="D32" s="6">
        <v>22</v>
      </c>
      <c r="E32" s="6">
        <v>34</v>
      </c>
      <c r="F32" s="6">
        <v>145</v>
      </c>
      <c r="G32" s="6">
        <v>20</v>
      </c>
      <c r="H32" s="6">
        <v>38</v>
      </c>
      <c r="I32" s="6">
        <v>31.23</v>
      </c>
      <c r="J32" s="6">
        <v>32.97</v>
      </c>
      <c r="K32" s="6">
        <v>122.2</v>
      </c>
      <c r="L32" s="6">
        <v>40.299999999999997</v>
      </c>
      <c r="M32" s="6">
        <v>45.29</v>
      </c>
      <c r="N32" s="6">
        <v>43.85</v>
      </c>
      <c r="O32" s="6">
        <v>51.32</v>
      </c>
      <c r="P32" s="6">
        <v>168.93</v>
      </c>
      <c r="Q32" s="7" t="s">
        <v>104</v>
      </c>
      <c r="R32" s="7" t="s">
        <v>104</v>
      </c>
      <c r="S32" s="7" t="s">
        <v>104</v>
      </c>
      <c r="T32" s="7" t="s">
        <v>104</v>
      </c>
      <c r="U32" s="6">
        <v>168.14</v>
      </c>
      <c r="V32" s="7" t="s">
        <v>104</v>
      </c>
      <c r="W32" s="7" t="s">
        <v>104</v>
      </c>
      <c r="X32" s="7" t="s">
        <v>104</v>
      </c>
      <c r="Y32" s="7" t="s">
        <v>104</v>
      </c>
      <c r="Z32" s="6">
        <v>168.52</v>
      </c>
      <c r="AA32" s="7" t="s">
        <v>104</v>
      </c>
      <c r="AB32" s="7" t="s">
        <v>104</v>
      </c>
      <c r="AC32" s="7" t="s">
        <v>104</v>
      </c>
      <c r="AD32" s="7" t="s">
        <v>104</v>
      </c>
      <c r="AE32" s="6">
        <v>169.86</v>
      </c>
    </row>
    <row r="33" spans="1:31" x14ac:dyDescent="0.25">
      <c r="A33" t="s">
        <v>77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t="s">
        <v>295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t="s">
        <v>296</v>
      </c>
      <c r="B35" s="6">
        <v>160</v>
      </c>
      <c r="C35" s="6">
        <v>183</v>
      </c>
      <c r="D35" s="6">
        <v>243</v>
      </c>
      <c r="E35" s="6">
        <v>328</v>
      </c>
      <c r="F35" s="6">
        <v>914</v>
      </c>
      <c r="G35" s="6">
        <v>337</v>
      </c>
      <c r="H35" s="6">
        <v>369</v>
      </c>
      <c r="I35" s="6">
        <v>225</v>
      </c>
      <c r="J35" s="6">
        <v>350</v>
      </c>
      <c r="K35" s="6">
        <v>1281</v>
      </c>
      <c r="L35" s="6">
        <v>220.19</v>
      </c>
      <c r="M35" s="6">
        <v>248.84</v>
      </c>
      <c r="N35" s="6">
        <v>213.75</v>
      </c>
      <c r="O35" s="6">
        <v>339.25</v>
      </c>
      <c r="P35" s="6">
        <v>1022.03</v>
      </c>
      <c r="Q35" s="7" t="s">
        <v>104</v>
      </c>
      <c r="R35" s="7" t="s">
        <v>104</v>
      </c>
      <c r="S35" s="7" t="s">
        <v>104</v>
      </c>
      <c r="T35" s="7" t="s">
        <v>104</v>
      </c>
      <c r="U35" s="6">
        <v>1336.41</v>
      </c>
      <c r="V35" s="7" t="s">
        <v>104</v>
      </c>
      <c r="W35" s="7" t="s">
        <v>104</v>
      </c>
      <c r="X35" s="7" t="s">
        <v>104</v>
      </c>
      <c r="Y35" s="7" t="s">
        <v>104</v>
      </c>
      <c r="Z35" s="6">
        <v>1265.48</v>
      </c>
      <c r="AA35" s="7" t="s">
        <v>104</v>
      </c>
      <c r="AB35" s="7" t="s">
        <v>104</v>
      </c>
      <c r="AC35" s="7" t="s">
        <v>104</v>
      </c>
      <c r="AD35" s="7" t="s">
        <v>104</v>
      </c>
      <c r="AE35" s="6">
        <v>1192.96</v>
      </c>
    </row>
    <row r="36" spans="1:31" x14ac:dyDescent="0.25">
      <c r="A36" t="s">
        <v>297</v>
      </c>
      <c r="B36" s="6">
        <v>5997</v>
      </c>
      <c r="C36" s="6">
        <v>6180</v>
      </c>
      <c r="D36" s="6">
        <v>6423</v>
      </c>
      <c r="E36" s="6">
        <v>6751</v>
      </c>
      <c r="F36" s="6">
        <v>6751</v>
      </c>
      <c r="G36" s="6">
        <v>7088</v>
      </c>
      <c r="H36" s="6">
        <v>7457</v>
      </c>
      <c r="I36" s="6">
        <v>7682</v>
      </c>
      <c r="J36" s="6">
        <v>8032</v>
      </c>
      <c r="K36" s="6">
        <v>8032</v>
      </c>
      <c r="L36" s="6">
        <v>8252.18</v>
      </c>
      <c r="M36" s="6">
        <v>8501.0300000000007</v>
      </c>
      <c r="N36" s="6">
        <v>8714.7800000000007</v>
      </c>
      <c r="O36" s="6">
        <v>9054.0300000000007</v>
      </c>
      <c r="P36" s="6">
        <v>9054.0300000000007</v>
      </c>
      <c r="Q36" s="7" t="s">
        <v>104</v>
      </c>
      <c r="R36" s="7" t="s">
        <v>104</v>
      </c>
      <c r="S36" s="7" t="s">
        <v>104</v>
      </c>
      <c r="T36" s="7" t="s">
        <v>104</v>
      </c>
      <c r="U36" s="6">
        <v>9705.9599999999991</v>
      </c>
      <c r="V36" s="7" t="s">
        <v>104</v>
      </c>
      <c r="W36" s="7" t="s">
        <v>104</v>
      </c>
      <c r="X36" s="7" t="s">
        <v>104</v>
      </c>
      <c r="Y36" s="7" t="s">
        <v>104</v>
      </c>
      <c r="Z36" s="6">
        <v>10257.69</v>
      </c>
      <c r="AA36" s="7" t="s">
        <v>104</v>
      </c>
      <c r="AB36" s="7" t="s">
        <v>104</v>
      </c>
      <c r="AC36" s="7" t="s">
        <v>104</v>
      </c>
      <c r="AD36" s="7" t="s">
        <v>104</v>
      </c>
      <c r="AE36" s="6">
        <v>10726.82</v>
      </c>
    </row>
    <row r="37" spans="1:31" x14ac:dyDescent="0.25">
      <c r="A37" t="s">
        <v>298</v>
      </c>
      <c r="B37" s="6">
        <v>-110</v>
      </c>
      <c r="C37" s="6">
        <v>64</v>
      </c>
      <c r="D37" s="6">
        <v>68</v>
      </c>
      <c r="E37" s="6">
        <v>222</v>
      </c>
      <c r="F37" s="6">
        <v>244</v>
      </c>
      <c r="G37" s="6">
        <v>-895</v>
      </c>
      <c r="H37" s="6">
        <v>-1006</v>
      </c>
      <c r="I37" s="6">
        <v>-355</v>
      </c>
      <c r="J37" s="6">
        <v>-300</v>
      </c>
      <c r="K37" s="6">
        <v>-2556</v>
      </c>
      <c r="L37" s="6">
        <v>-478</v>
      </c>
      <c r="M37" s="6">
        <v>-375.37</v>
      </c>
      <c r="N37" s="6">
        <v>428.41</v>
      </c>
      <c r="O37" s="6">
        <v>731.36</v>
      </c>
      <c r="P37" s="6">
        <v>306.39999999999998</v>
      </c>
      <c r="Q37" s="7" t="s">
        <v>104</v>
      </c>
      <c r="R37" s="7" t="s">
        <v>104</v>
      </c>
      <c r="S37" s="7" t="s">
        <v>104</v>
      </c>
      <c r="T37" s="7" t="s">
        <v>104</v>
      </c>
      <c r="U37" s="6">
        <v>540.5</v>
      </c>
      <c r="V37" s="7" t="s">
        <v>104</v>
      </c>
      <c r="W37" s="7" t="s">
        <v>104</v>
      </c>
      <c r="X37" s="7" t="s">
        <v>104</v>
      </c>
      <c r="Y37" s="7" t="s">
        <v>104</v>
      </c>
      <c r="Z37" s="6">
        <v>544.20000000000005</v>
      </c>
      <c r="AA37" s="7" t="s">
        <v>104</v>
      </c>
      <c r="AB37" s="7" t="s">
        <v>104</v>
      </c>
      <c r="AC37" s="7" t="s">
        <v>104</v>
      </c>
      <c r="AD37" s="7" t="s">
        <v>104</v>
      </c>
      <c r="AE37" s="6">
        <v>538.17999999999995</v>
      </c>
    </row>
    <row r="38" spans="1:31" x14ac:dyDescent="0.25">
      <c r="A38" t="s">
        <v>299</v>
      </c>
      <c r="B38" s="6">
        <v>17376</v>
      </c>
      <c r="C38" s="6">
        <v>17440</v>
      </c>
      <c r="D38" s="6">
        <v>17508</v>
      </c>
      <c r="E38" s="6">
        <v>17730</v>
      </c>
      <c r="F38" s="6">
        <v>17730</v>
      </c>
      <c r="G38" s="6">
        <v>16835</v>
      </c>
      <c r="H38" s="6">
        <v>15829</v>
      </c>
      <c r="I38" s="6">
        <v>15474</v>
      </c>
      <c r="J38" s="6">
        <v>15174</v>
      </c>
      <c r="K38" s="6">
        <v>15174</v>
      </c>
      <c r="L38" s="6">
        <v>14696</v>
      </c>
      <c r="M38" s="6">
        <v>14320.63</v>
      </c>
      <c r="N38" s="6">
        <v>14749.04</v>
      </c>
      <c r="O38" s="6">
        <v>15480.4</v>
      </c>
      <c r="P38" s="6">
        <v>15480.4</v>
      </c>
      <c r="Q38" s="7" t="s">
        <v>104</v>
      </c>
      <c r="R38" s="7" t="s">
        <v>104</v>
      </c>
      <c r="S38" s="7" t="s">
        <v>104</v>
      </c>
      <c r="T38" s="7" t="s">
        <v>104</v>
      </c>
      <c r="U38" s="6">
        <v>15795.75</v>
      </c>
      <c r="V38" s="7" t="s">
        <v>104</v>
      </c>
      <c r="W38" s="7" t="s">
        <v>104</v>
      </c>
      <c r="X38" s="7" t="s">
        <v>104</v>
      </c>
      <c r="Y38" s="7" t="s">
        <v>104</v>
      </c>
      <c r="Z38" s="6">
        <v>16105.16</v>
      </c>
      <c r="AA38" s="7" t="s">
        <v>104</v>
      </c>
      <c r="AB38" s="7" t="s">
        <v>104</v>
      </c>
      <c r="AC38" s="7" t="s">
        <v>104</v>
      </c>
      <c r="AD38" s="7" t="s">
        <v>104</v>
      </c>
      <c r="AE38" s="6">
        <v>16405.240000000002</v>
      </c>
    </row>
    <row r="39" spans="1:31" x14ac:dyDescent="0.25">
      <c r="A39" t="s">
        <v>300</v>
      </c>
      <c r="B39" s="6">
        <v>-18</v>
      </c>
      <c r="C39" s="6">
        <v>-12</v>
      </c>
      <c r="D39" s="6">
        <v>-5</v>
      </c>
      <c r="E39" s="6">
        <v>-19</v>
      </c>
      <c r="F39" s="6">
        <v>-54</v>
      </c>
      <c r="G39" s="6">
        <v>-19</v>
      </c>
      <c r="H39" s="6">
        <v>-31</v>
      </c>
      <c r="I39" s="6">
        <v>-17.670000000000002</v>
      </c>
      <c r="J39" s="6">
        <v>-4.7300000000000004</v>
      </c>
      <c r="K39" s="6">
        <v>-60.4</v>
      </c>
      <c r="L39" s="6">
        <v>-14.57</v>
      </c>
      <c r="M39" s="6">
        <v>-15.89</v>
      </c>
      <c r="N39" s="6">
        <v>-4.8499999999999996</v>
      </c>
      <c r="O39" s="6">
        <v>-9.36</v>
      </c>
      <c r="P39" s="6">
        <v>-44.67</v>
      </c>
      <c r="Q39" s="6">
        <v>-1.1599999999999999</v>
      </c>
      <c r="R39" s="6">
        <v>0.92</v>
      </c>
      <c r="S39" s="6">
        <v>-0.88</v>
      </c>
      <c r="T39" s="6">
        <v>0.49</v>
      </c>
      <c r="U39" s="6">
        <v>-61.91</v>
      </c>
      <c r="V39" s="7" t="s">
        <v>104</v>
      </c>
      <c r="W39" s="7" t="s">
        <v>104</v>
      </c>
      <c r="X39" s="7" t="s">
        <v>104</v>
      </c>
      <c r="Y39" s="7" t="s">
        <v>104</v>
      </c>
      <c r="Z39" s="6">
        <v>-96.08</v>
      </c>
      <c r="AA39" s="7" t="s">
        <v>104</v>
      </c>
      <c r="AB39" s="7" t="s">
        <v>104</v>
      </c>
      <c r="AC39" s="7" t="s">
        <v>104</v>
      </c>
      <c r="AD39" s="7" t="s">
        <v>104</v>
      </c>
      <c r="AE39" s="6">
        <v>-97.3</v>
      </c>
    </row>
    <row r="40" spans="1:31" x14ac:dyDescent="0.25">
      <c r="A40" t="s">
        <v>301</v>
      </c>
      <c r="B40" s="6">
        <v>235</v>
      </c>
      <c r="C40" s="6">
        <v>223</v>
      </c>
      <c r="D40" s="6">
        <v>218</v>
      </c>
      <c r="E40" s="6">
        <v>199</v>
      </c>
      <c r="F40" s="6">
        <v>199</v>
      </c>
      <c r="G40" s="6">
        <v>180</v>
      </c>
      <c r="H40" s="6">
        <v>149</v>
      </c>
      <c r="I40" s="6">
        <v>143.33000000000001</v>
      </c>
      <c r="J40" s="6">
        <v>138.6</v>
      </c>
      <c r="K40" s="6">
        <v>138.6</v>
      </c>
      <c r="L40" s="6">
        <v>124.03</v>
      </c>
      <c r="M40" s="6">
        <v>108.14</v>
      </c>
      <c r="N40" s="6">
        <v>103.29</v>
      </c>
      <c r="O40" s="6">
        <v>93.93</v>
      </c>
      <c r="P40" s="6">
        <v>93.93</v>
      </c>
      <c r="Q40" s="6">
        <v>155.19</v>
      </c>
      <c r="R40" s="6">
        <v>156.11000000000001</v>
      </c>
      <c r="S40" s="6">
        <v>155.22999999999999</v>
      </c>
      <c r="T40" s="6">
        <v>155.72</v>
      </c>
      <c r="U40" s="6">
        <v>87.54</v>
      </c>
      <c r="V40" s="7" t="s">
        <v>104</v>
      </c>
      <c r="W40" s="7" t="s">
        <v>104</v>
      </c>
      <c r="X40" s="7" t="s">
        <v>104</v>
      </c>
      <c r="Y40" s="7" t="s">
        <v>104</v>
      </c>
      <c r="Z40" s="6">
        <v>44.2</v>
      </c>
      <c r="AA40" s="7" t="s">
        <v>104</v>
      </c>
      <c r="AB40" s="7" t="s">
        <v>104</v>
      </c>
      <c r="AC40" s="7" t="s">
        <v>104</v>
      </c>
      <c r="AD40" s="7" t="s">
        <v>104</v>
      </c>
      <c r="AE40" s="6">
        <v>34.97</v>
      </c>
    </row>
    <row r="41" spans="1:31" x14ac:dyDescent="0.25">
      <c r="A41" t="s">
        <v>77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t="s">
        <v>302</v>
      </c>
      <c r="B42" s="6">
        <v>23576</v>
      </c>
      <c r="C42" s="6">
        <v>23608</v>
      </c>
      <c r="D42" s="6">
        <v>23843</v>
      </c>
      <c r="E42" s="6">
        <v>24149</v>
      </c>
      <c r="F42" s="6">
        <v>23576</v>
      </c>
      <c r="G42" s="6">
        <v>24680</v>
      </c>
      <c r="H42" s="6">
        <v>24103</v>
      </c>
      <c r="I42" s="6">
        <v>23428.28</v>
      </c>
      <c r="J42" s="6">
        <v>23444.94</v>
      </c>
      <c r="K42" s="6">
        <v>24554.2</v>
      </c>
      <c r="L42" s="6">
        <v>23465.05</v>
      </c>
      <c r="M42" s="6">
        <v>23191.78</v>
      </c>
      <c r="N42" s="6">
        <v>22747.55</v>
      </c>
      <c r="O42" s="6">
        <v>22881.32</v>
      </c>
      <c r="P42" s="6">
        <v>23675.49</v>
      </c>
      <c r="Q42" s="6">
        <v>22764.15</v>
      </c>
      <c r="R42" s="6">
        <v>22575.24</v>
      </c>
      <c r="S42" s="6">
        <v>22037.82</v>
      </c>
      <c r="T42" s="6">
        <v>22091.4</v>
      </c>
      <c r="U42" s="6">
        <v>23385.67</v>
      </c>
      <c r="V42" s="6">
        <v>22910.32</v>
      </c>
      <c r="W42" s="6">
        <v>22823.75</v>
      </c>
      <c r="X42" s="6">
        <v>22499.82</v>
      </c>
      <c r="Y42" s="6">
        <v>22578.37</v>
      </c>
      <c r="Z42" s="6">
        <v>23714.13</v>
      </c>
      <c r="AA42" s="6">
        <v>22899.27</v>
      </c>
      <c r="AB42" s="6">
        <v>22854.97</v>
      </c>
      <c r="AC42" s="6">
        <v>22568.43</v>
      </c>
      <c r="AD42" s="6">
        <v>22649.37</v>
      </c>
      <c r="AE42" s="6">
        <v>23874.79</v>
      </c>
    </row>
    <row r="43" spans="1:31" x14ac:dyDescent="0.25">
      <c r="A43" t="s">
        <v>303</v>
      </c>
      <c r="B43" s="6">
        <v>4023.77</v>
      </c>
      <c r="C43" s="6">
        <v>4277.83</v>
      </c>
      <c r="D43" s="6">
        <v>4402.12</v>
      </c>
      <c r="E43" s="6">
        <v>4779.12</v>
      </c>
      <c r="F43" s="6">
        <v>17482.830000000002</v>
      </c>
      <c r="G43" s="6">
        <v>3528.09</v>
      </c>
      <c r="H43" s="6">
        <v>3004.31</v>
      </c>
      <c r="I43" s="6">
        <v>3878.27</v>
      </c>
      <c r="J43" s="6">
        <v>4189.3500000000004</v>
      </c>
      <c r="K43" s="6">
        <v>14557.31</v>
      </c>
      <c r="L43" s="6">
        <v>3539.62</v>
      </c>
      <c r="M43" s="6">
        <v>3074.37</v>
      </c>
      <c r="N43" s="6">
        <v>3894.11</v>
      </c>
      <c r="O43" s="6">
        <v>4232.05</v>
      </c>
      <c r="P43" s="6">
        <v>14946.86</v>
      </c>
      <c r="Q43" s="6">
        <v>3572.6</v>
      </c>
      <c r="R43" s="6">
        <v>2883.56</v>
      </c>
      <c r="S43" s="6">
        <v>3717.36</v>
      </c>
      <c r="T43" s="6">
        <v>4016.62</v>
      </c>
      <c r="U43" s="6">
        <v>14851.07</v>
      </c>
      <c r="V43" s="6">
        <v>3779.25</v>
      </c>
      <c r="W43" s="6">
        <v>3189.04</v>
      </c>
      <c r="X43" s="6">
        <v>3870.17</v>
      </c>
      <c r="Y43" s="6">
        <v>4234.71</v>
      </c>
      <c r="Z43" s="6">
        <v>15266.77</v>
      </c>
      <c r="AA43" s="6">
        <v>3824.46</v>
      </c>
      <c r="AB43" s="6">
        <v>3231.15</v>
      </c>
      <c r="AC43" s="6">
        <v>3895.2</v>
      </c>
      <c r="AD43" s="6">
        <v>4258.82</v>
      </c>
      <c r="AE43" s="6">
        <v>15242.38</v>
      </c>
    </row>
    <row r="44" spans="1:31" x14ac:dyDescent="0.25">
      <c r="A44" t="s">
        <v>304</v>
      </c>
      <c r="B44" s="6">
        <v>3991.77</v>
      </c>
      <c r="C44" s="6">
        <v>4042.83</v>
      </c>
      <c r="D44" s="6">
        <v>4096.12</v>
      </c>
      <c r="E44" s="6">
        <v>4248.12</v>
      </c>
      <c r="F44" s="6">
        <v>16378.83</v>
      </c>
      <c r="G44" s="6">
        <v>4105.09</v>
      </c>
      <c r="H44" s="6">
        <v>3672.31</v>
      </c>
      <c r="I44" s="6">
        <v>3944.12</v>
      </c>
      <c r="J44" s="6">
        <v>4021.6</v>
      </c>
      <c r="K44" s="6">
        <v>15662.52</v>
      </c>
      <c r="L44" s="6">
        <v>3869.71</v>
      </c>
      <c r="M44" s="6">
        <v>3564.72</v>
      </c>
      <c r="N44" s="6">
        <v>3804.91</v>
      </c>
      <c r="O44" s="6">
        <v>3910.52</v>
      </c>
      <c r="P44" s="6">
        <v>15394.38</v>
      </c>
      <c r="Q44" s="6">
        <v>3766.42</v>
      </c>
      <c r="R44" s="6">
        <v>3405.25</v>
      </c>
      <c r="S44" s="6">
        <v>3722.46</v>
      </c>
      <c r="T44" s="6">
        <v>3814.27</v>
      </c>
      <c r="U44" s="6">
        <v>15058.24</v>
      </c>
      <c r="V44" s="6">
        <v>3798.87</v>
      </c>
      <c r="W44" s="6">
        <v>3491.4</v>
      </c>
      <c r="X44" s="6">
        <v>3811.92</v>
      </c>
      <c r="Y44" s="6">
        <v>3902.89</v>
      </c>
      <c r="Z44" s="6">
        <v>15140.34</v>
      </c>
      <c r="AA44" s="6">
        <v>3804.53</v>
      </c>
      <c r="AB44" s="6">
        <v>3502.15</v>
      </c>
      <c r="AC44" s="6">
        <v>3827.96</v>
      </c>
      <c r="AD44" s="6">
        <v>3920.53</v>
      </c>
      <c r="AE44" s="6">
        <v>15095.79</v>
      </c>
    </row>
    <row r="45" spans="1:31" x14ac:dyDescent="0.25">
      <c r="A45" t="s">
        <v>305</v>
      </c>
      <c r="B45" s="8">
        <v>5.6399999999999999E-2</v>
      </c>
      <c r="C45" s="8">
        <v>5.6800000000000003E-2</v>
      </c>
      <c r="D45" s="8">
        <v>5.6899999999999999E-2</v>
      </c>
      <c r="E45" s="8">
        <v>5.8000000000000003E-2</v>
      </c>
      <c r="F45" s="8">
        <v>5.7000000000000002E-2</v>
      </c>
      <c r="G45" s="8">
        <v>5.6099999999999997E-2</v>
      </c>
      <c r="H45" s="8">
        <v>5.1499999999999997E-2</v>
      </c>
      <c r="I45" s="8">
        <v>5.7200000000000001E-2</v>
      </c>
      <c r="J45" s="8">
        <v>5.8000000000000003E-2</v>
      </c>
      <c r="K45" s="8">
        <v>5.5E-2</v>
      </c>
      <c r="L45" s="8">
        <v>5.6500000000000002E-2</v>
      </c>
      <c r="M45" s="8">
        <v>5.3400000000000003E-2</v>
      </c>
      <c r="N45" s="8">
        <v>5.7000000000000002E-2</v>
      </c>
      <c r="O45" s="8">
        <v>5.79E-2</v>
      </c>
      <c r="P45" s="8">
        <v>5.5599999999999997E-2</v>
      </c>
      <c r="Q45" s="8">
        <v>5.5899999999999998E-2</v>
      </c>
      <c r="R45" s="8">
        <v>5.1299999999999998E-2</v>
      </c>
      <c r="S45" s="8">
        <v>5.67E-2</v>
      </c>
      <c r="T45" s="8">
        <v>5.7799999999999997E-2</v>
      </c>
      <c r="U45" s="8">
        <v>5.4399999999999997E-2</v>
      </c>
      <c r="V45" s="8">
        <v>5.57E-2</v>
      </c>
      <c r="W45" s="8">
        <v>5.11E-2</v>
      </c>
      <c r="X45" s="8">
        <v>5.6500000000000002E-2</v>
      </c>
      <c r="Y45" s="8">
        <v>5.7599999999999998E-2</v>
      </c>
      <c r="Z45" s="8">
        <v>5.3900000000000003E-2</v>
      </c>
      <c r="AA45" s="8">
        <v>5.5500000000000001E-2</v>
      </c>
      <c r="AB45" s="8">
        <v>5.0999999999999997E-2</v>
      </c>
      <c r="AC45" s="8">
        <v>5.6399999999999999E-2</v>
      </c>
      <c r="AD45" s="8">
        <v>5.7500000000000002E-2</v>
      </c>
      <c r="AE45" s="8">
        <v>5.3400000000000003E-2</v>
      </c>
    </row>
    <row r="46" spans="1:31" x14ac:dyDescent="0.25">
      <c r="A46" t="s">
        <v>306</v>
      </c>
      <c r="B46" s="6">
        <v>32</v>
      </c>
      <c r="C46" s="6">
        <v>235</v>
      </c>
      <c r="D46" s="6">
        <v>306</v>
      </c>
      <c r="E46" s="6">
        <v>531</v>
      </c>
      <c r="F46" s="6">
        <v>1104</v>
      </c>
      <c r="G46" s="6">
        <v>-577</v>
      </c>
      <c r="H46" s="6">
        <v>-668</v>
      </c>
      <c r="I46" s="6">
        <v>47.06</v>
      </c>
      <c r="J46" s="6">
        <v>264.48</v>
      </c>
      <c r="K46" s="6">
        <v>-807.3</v>
      </c>
      <c r="L46" s="6">
        <v>-303.72000000000003</v>
      </c>
      <c r="M46" s="6">
        <v>-440.57</v>
      </c>
      <c r="N46" s="6">
        <v>161.80000000000001</v>
      </c>
      <c r="O46" s="6">
        <v>395.53</v>
      </c>
      <c r="P46" s="6">
        <v>-151.41</v>
      </c>
      <c r="Q46" s="6">
        <v>-267.97000000000003</v>
      </c>
      <c r="R46" s="6">
        <v>-574.91999999999996</v>
      </c>
      <c r="S46" s="6">
        <v>66.319999999999993</v>
      </c>
      <c r="T46" s="6">
        <v>306.61</v>
      </c>
      <c r="U46" s="6">
        <v>-65.55</v>
      </c>
      <c r="V46" s="6">
        <v>-86.57</v>
      </c>
      <c r="W46" s="6">
        <v>-323.93</v>
      </c>
      <c r="X46" s="6">
        <v>78.55</v>
      </c>
      <c r="Y46" s="6">
        <v>320.89999999999998</v>
      </c>
      <c r="Z46" s="6">
        <v>160.66999999999999</v>
      </c>
      <c r="AA46" s="6">
        <v>-44.29</v>
      </c>
      <c r="AB46" s="6">
        <v>-286.54000000000002</v>
      </c>
      <c r="AC46" s="6">
        <v>80.94</v>
      </c>
      <c r="AD46" s="6">
        <v>317.76</v>
      </c>
      <c r="AE46" s="6">
        <v>-113.15</v>
      </c>
    </row>
    <row r="47" spans="1:31" x14ac:dyDescent="0.25">
      <c r="A47" t="s">
        <v>307</v>
      </c>
      <c r="B47" s="7" t="s">
        <v>104</v>
      </c>
      <c r="C47" s="7" t="s">
        <v>104</v>
      </c>
      <c r="D47" s="7" t="s">
        <v>104</v>
      </c>
      <c r="E47" s="7" t="s">
        <v>104</v>
      </c>
      <c r="F47" s="7" t="s">
        <v>104</v>
      </c>
      <c r="G47" s="7" t="s">
        <v>104</v>
      </c>
      <c r="H47" s="6">
        <v>20</v>
      </c>
      <c r="I47" s="7" t="s">
        <v>104</v>
      </c>
      <c r="J47" s="7" t="s">
        <v>104</v>
      </c>
      <c r="K47" s="6">
        <v>20</v>
      </c>
      <c r="L47" s="7" t="s">
        <v>104</v>
      </c>
      <c r="M47" s="7" t="s">
        <v>104</v>
      </c>
      <c r="N47" s="7" t="s">
        <v>104</v>
      </c>
      <c r="O47" s="7" t="s">
        <v>104</v>
      </c>
      <c r="P47" s="7" t="s">
        <v>104</v>
      </c>
      <c r="Q47" s="7" t="s">
        <v>104</v>
      </c>
      <c r="R47" s="7" t="s">
        <v>104</v>
      </c>
      <c r="S47" s="7" t="s">
        <v>104</v>
      </c>
      <c r="T47" s="7" t="s">
        <v>104</v>
      </c>
      <c r="U47" s="7" t="s">
        <v>104</v>
      </c>
      <c r="V47" s="7" t="s">
        <v>104</v>
      </c>
      <c r="W47" s="7" t="s">
        <v>104</v>
      </c>
      <c r="X47" s="7" t="s">
        <v>104</v>
      </c>
      <c r="Y47" s="7" t="s">
        <v>104</v>
      </c>
      <c r="Z47" s="7" t="s">
        <v>104</v>
      </c>
      <c r="AA47" s="7" t="s">
        <v>104</v>
      </c>
      <c r="AB47" s="7" t="s">
        <v>104</v>
      </c>
      <c r="AC47" s="7" t="s">
        <v>104</v>
      </c>
      <c r="AD47" s="7" t="s">
        <v>104</v>
      </c>
      <c r="AE47" s="7" t="s">
        <v>104</v>
      </c>
    </row>
    <row r="48" spans="1:31" x14ac:dyDescent="0.25">
      <c r="A48" t="s">
        <v>308</v>
      </c>
      <c r="B48" s="6">
        <v>23608</v>
      </c>
      <c r="C48" s="6">
        <v>23843</v>
      </c>
      <c r="D48" s="6">
        <v>24149</v>
      </c>
      <c r="E48" s="6">
        <v>24680</v>
      </c>
      <c r="F48" s="6">
        <v>24680</v>
      </c>
      <c r="G48" s="6">
        <v>24103</v>
      </c>
      <c r="H48" s="6">
        <v>23435</v>
      </c>
      <c r="I48" s="6">
        <v>23444.94</v>
      </c>
      <c r="J48" s="6">
        <v>23675.49</v>
      </c>
      <c r="K48" s="6">
        <v>23675.49</v>
      </c>
      <c r="L48" s="6">
        <v>23191.78</v>
      </c>
      <c r="M48" s="6">
        <v>22747.55</v>
      </c>
      <c r="N48" s="6">
        <v>22881.32</v>
      </c>
      <c r="O48" s="6">
        <v>23234.32</v>
      </c>
      <c r="P48" s="6">
        <v>23486.69</v>
      </c>
      <c r="Q48" s="6">
        <v>22575.24</v>
      </c>
      <c r="R48" s="6">
        <v>22037.82</v>
      </c>
      <c r="S48" s="6">
        <v>22091.4</v>
      </c>
      <c r="T48" s="6">
        <v>22356.17</v>
      </c>
      <c r="U48" s="6">
        <v>23322.22</v>
      </c>
      <c r="V48" s="6">
        <v>22823.75</v>
      </c>
      <c r="W48" s="6">
        <v>22499.82</v>
      </c>
      <c r="X48" s="6">
        <v>22578.37</v>
      </c>
      <c r="Y48" s="6">
        <v>22899.27</v>
      </c>
      <c r="Z48" s="6">
        <v>23874.79</v>
      </c>
      <c r="AA48" s="6">
        <v>22854.97</v>
      </c>
      <c r="AB48" s="6">
        <v>22568.43</v>
      </c>
      <c r="AC48" s="6">
        <v>22649.37</v>
      </c>
      <c r="AD48" s="6">
        <v>22967.13</v>
      </c>
      <c r="AE48" s="6">
        <v>23761.64</v>
      </c>
    </row>
    <row r="49" spans="1:31" x14ac:dyDescent="0.25">
      <c r="A49" t="s">
        <v>309</v>
      </c>
      <c r="B49" s="6">
        <v>23592</v>
      </c>
      <c r="C49" s="6">
        <v>23725.5</v>
      </c>
      <c r="D49" s="6">
        <v>23996</v>
      </c>
      <c r="E49" s="6">
        <v>24414.5</v>
      </c>
      <c r="F49" s="6">
        <v>24128</v>
      </c>
      <c r="G49" s="6">
        <v>24391.5</v>
      </c>
      <c r="H49" s="6">
        <v>23769</v>
      </c>
      <c r="I49" s="6">
        <v>23436.61</v>
      </c>
      <c r="J49" s="6">
        <v>23560.22</v>
      </c>
      <c r="K49" s="6">
        <v>23985.599999999999</v>
      </c>
      <c r="L49" s="6">
        <v>23328.42</v>
      </c>
      <c r="M49" s="6">
        <v>22969.67</v>
      </c>
      <c r="N49" s="6">
        <v>22814.44</v>
      </c>
      <c r="O49" s="6">
        <v>23057.82</v>
      </c>
      <c r="P49" s="6">
        <v>23510.62</v>
      </c>
      <c r="Q49" s="6">
        <v>22669.7</v>
      </c>
      <c r="R49" s="6">
        <v>22306.53</v>
      </c>
      <c r="S49" s="6">
        <v>22064.61</v>
      </c>
      <c r="T49" s="6">
        <v>22223.79</v>
      </c>
      <c r="U49" s="6">
        <v>23289.14</v>
      </c>
      <c r="V49" s="6">
        <v>22867.040000000001</v>
      </c>
      <c r="W49" s="6">
        <v>22661.79</v>
      </c>
      <c r="X49" s="6">
        <v>22539.09</v>
      </c>
      <c r="Y49" s="6">
        <v>22738.82</v>
      </c>
      <c r="Z49" s="6">
        <v>23725.29</v>
      </c>
      <c r="AA49" s="6">
        <v>22877.119999999999</v>
      </c>
      <c r="AB49" s="6">
        <v>22711.7</v>
      </c>
      <c r="AC49" s="6">
        <v>22608.9</v>
      </c>
      <c r="AD49" s="6">
        <v>22808.25</v>
      </c>
      <c r="AE49" s="6">
        <v>23753.61</v>
      </c>
    </row>
    <row r="50" spans="1:31" x14ac:dyDescent="0.25">
      <c r="A50" t="s">
        <v>310</v>
      </c>
      <c r="B50" s="6">
        <v>8.69</v>
      </c>
      <c r="C50" s="6">
        <v>9.3000000000000007</v>
      </c>
      <c r="D50" s="6">
        <v>9.67</v>
      </c>
      <c r="E50" s="6">
        <v>10.130000000000001</v>
      </c>
      <c r="F50" s="6">
        <v>9.3800000000000008</v>
      </c>
      <c r="G50" s="6">
        <v>10.29</v>
      </c>
      <c r="H50" s="6">
        <v>10.94</v>
      </c>
      <c r="I50" s="6">
        <v>10.16</v>
      </c>
      <c r="J50" s="6">
        <v>10.37</v>
      </c>
      <c r="K50" s="6">
        <v>10.33</v>
      </c>
      <c r="L50" s="6">
        <v>10.49</v>
      </c>
      <c r="M50" s="6">
        <v>10.86</v>
      </c>
      <c r="N50" s="6">
        <v>10.3</v>
      </c>
      <c r="O50" s="6">
        <v>10.52</v>
      </c>
      <c r="P50" s="6">
        <v>10.41</v>
      </c>
      <c r="Q50" s="6">
        <v>10.77</v>
      </c>
      <c r="R50" s="6">
        <v>11.34</v>
      </c>
      <c r="S50" s="6">
        <v>10.39</v>
      </c>
      <c r="T50" s="6">
        <v>10.77</v>
      </c>
      <c r="U50" s="6">
        <v>10.69</v>
      </c>
      <c r="V50" s="6">
        <v>10.9</v>
      </c>
      <c r="W50" s="6">
        <v>11.41</v>
      </c>
      <c r="X50" s="6">
        <v>10.4</v>
      </c>
      <c r="Y50" s="6">
        <v>10.77</v>
      </c>
      <c r="Z50" s="6">
        <v>10.76</v>
      </c>
      <c r="AA50" s="6">
        <v>11.1</v>
      </c>
      <c r="AB50" s="6">
        <v>11.59</v>
      </c>
      <c r="AC50" s="6">
        <v>10.49</v>
      </c>
      <c r="AD50" s="6">
        <v>10.86</v>
      </c>
      <c r="AE50" s="6">
        <v>10.86</v>
      </c>
    </row>
    <row r="51" spans="1:31" x14ac:dyDescent="0.25">
      <c r="A51" t="s">
        <v>311</v>
      </c>
      <c r="B51" s="6">
        <v>615</v>
      </c>
      <c r="C51" s="6">
        <v>662</v>
      </c>
      <c r="D51" s="6">
        <v>696</v>
      </c>
      <c r="E51" s="6">
        <v>742</v>
      </c>
      <c r="F51" s="6">
        <v>2715</v>
      </c>
      <c r="G51" s="6">
        <v>753</v>
      </c>
      <c r="H51" s="6">
        <v>780</v>
      </c>
      <c r="I51" s="6">
        <v>713.78</v>
      </c>
      <c r="J51" s="6">
        <v>732.21</v>
      </c>
      <c r="K51" s="6">
        <v>2968.51</v>
      </c>
      <c r="L51" s="6">
        <v>732.73</v>
      </c>
      <c r="M51" s="6">
        <v>747.95</v>
      </c>
      <c r="N51" s="6">
        <v>703.81</v>
      </c>
      <c r="O51" s="6">
        <v>725.43</v>
      </c>
      <c r="P51" s="6">
        <v>2930.77</v>
      </c>
      <c r="Q51" s="6">
        <v>730.95</v>
      </c>
      <c r="R51" s="6">
        <v>759.87</v>
      </c>
      <c r="S51" s="6">
        <v>687.77</v>
      </c>
      <c r="T51" s="6">
        <v>716.48</v>
      </c>
      <c r="U51" s="6">
        <v>2982.09</v>
      </c>
      <c r="V51" s="6">
        <v>746.61</v>
      </c>
      <c r="W51" s="6">
        <v>777.66</v>
      </c>
      <c r="X51" s="6">
        <v>702.78</v>
      </c>
      <c r="Y51" s="6">
        <v>732.7</v>
      </c>
      <c r="Z51" s="6">
        <v>3056.4</v>
      </c>
      <c r="AA51" s="6">
        <v>761.41</v>
      </c>
      <c r="AB51" s="6">
        <v>792.13</v>
      </c>
      <c r="AC51" s="6">
        <v>711.2</v>
      </c>
      <c r="AD51" s="6">
        <v>741.48</v>
      </c>
      <c r="AE51" s="6">
        <v>3089.88</v>
      </c>
    </row>
    <row r="52" spans="1:31" x14ac:dyDescent="0.25">
      <c r="A52" t="s">
        <v>77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x14ac:dyDescent="0.25">
      <c r="A53" t="s">
        <v>312</v>
      </c>
      <c r="B53" s="6">
        <v>4023.77</v>
      </c>
      <c r="C53" s="6">
        <v>4277.83</v>
      </c>
      <c r="D53" s="6">
        <v>4402.12</v>
      </c>
      <c r="E53" s="6">
        <v>4779.12</v>
      </c>
      <c r="F53" s="6">
        <v>17482.830000000002</v>
      </c>
      <c r="G53" s="6">
        <v>3528.09</v>
      </c>
      <c r="H53" s="6">
        <v>3004.31</v>
      </c>
      <c r="I53" s="6">
        <v>3878.27</v>
      </c>
      <c r="J53" s="6">
        <v>4189.3500000000004</v>
      </c>
      <c r="K53" s="6">
        <v>14557.31</v>
      </c>
      <c r="L53" s="6">
        <v>3539.62</v>
      </c>
      <c r="M53" s="6">
        <v>3074.37</v>
      </c>
      <c r="N53" s="6">
        <v>3894.11</v>
      </c>
      <c r="O53" s="6">
        <v>4232.05</v>
      </c>
      <c r="P53" s="6">
        <v>14946.86</v>
      </c>
      <c r="Q53" s="6">
        <v>3572.6</v>
      </c>
      <c r="R53" s="6">
        <v>2883.56</v>
      </c>
      <c r="S53" s="6">
        <v>3717.36</v>
      </c>
      <c r="T53" s="6">
        <v>4016.62</v>
      </c>
      <c r="U53" s="6">
        <v>14851.07</v>
      </c>
      <c r="V53" s="6">
        <v>3779.25</v>
      </c>
      <c r="W53" s="6">
        <v>3189.04</v>
      </c>
      <c r="X53" s="6">
        <v>3870.17</v>
      </c>
      <c r="Y53" s="6">
        <v>4234.71</v>
      </c>
      <c r="Z53" s="6">
        <v>15266.77</v>
      </c>
      <c r="AA53" s="6">
        <v>3824.46</v>
      </c>
      <c r="AB53" s="6">
        <v>3231.15</v>
      </c>
      <c r="AC53" s="6">
        <v>3895.2</v>
      </c>
      <c r="AD53" s="6">
        <v>4258.82</v>
      </c>
      <c r="AE53" s="6">
        <v>15242.38</v>
      </c>
    </row>
    <row r="54" spans="1:31" x14ac:dyDescent="0.25">
      <c r="A54" t="s">
        <v>313</v>
      </c>
      <c r="B54" s="6">
        <v>88.47</v>
      </c>
      <c r="C54" s="6">
        <v>91.64</v>
      </c>
      <c r="D54" s="6">
        <v>90.64</v>
      </c>
      <c r="E54" s="6">
        <v>108.18</v>
      </c>
      <c r="F54" s="6">
        <v>95.18</v>
      </c>
      <c r="G54" s="6">
        <v>119.04</v>
      </c>
      <c r="H54" s="6">
        <v>147.79</v>
      </c>
      <c r="I54" s="6">
        <v>110.63</v>
      </c>
      <c r="J54" s="6">
        <v>122.42</v>
      </c>
      <c r="K54" s="6">
        <v>123.58</v>
      </c>
      <c r="L54" s="6">
        <v>125.53</v>
      </c>
      <c r="M54" s="6">
        <v>147.47999999999999</v>
      </c>
      <c r="N54" s="6">
        <v>113.45</v>
      </c>
      <c r="O54" s="6">
        <v>126.97</v>
      </c>
      <c r="P54" s="6">
        <v>124.25</v>
      </c>
      <c r="Q54" s="6">
        <v>130.76</v>
      </c>
      <c r="R54" s="6">
        <v>158.46</v>
      </c>
      <c r="S54" s="6">
        <v>125.19</v>
      </c>
      <c r="T54" s="6">
        <v>142.84</v>
      </c>
      <c r="U54" s="6">
        <v>127.06</v>
      </c>
      <c r="V54" s="6">
        <v>124.69</v>
      </c>
      <c r="W54" s="6">
        <v>151.15</v>
      </c>
      <c r="X54" s="6">
        <v>115.09</v>
      </c>
      <c r="Y54" s="6">
        <v>131.79</v>
      </c>
      <c r="Z54" s="6">
        <v>122.37</v>
      </c>
      <c r="AA54" s="6">
        <v>125.74</v>
      </c>
      <c r="AB54" s="6">
        <v>152.37</v>
      </c>
      <c r="AC54" s="6">
        <v>115.99</v>
      </c>
      <c r="AD54" s="6">
        <v>132.82</v>
      </c>
      <c r="AE54" s="6">
        <v>124.16</v>
      </c>
    </row>
    <row r="55" spans="1:31" x14ac:dyDescent="0.25">
      <c r="A55" t="s">
        <v>314</v>
      </c>
      <c r="B55" s="6">
        <v>356</v>
      </c>
      <c r="C55" s="6">
        <v>392</v>
      </c>
      <c r="D55" s="6">
        <v>399</v>
      </c>
      <c r="E55" s="6">
        <v>517</v>
      </c>
      <c r="F55" s="6">
        <v>1664</v>
      </c>
      <c r="G55" s="6">
        <v>420</v>
      </c>
      <c r="H55" s="6">
        <v>444</v>
      </c>
      <c r="I55" s="6">
        <v>428.21</v>
      </c>
      <c r="J55" s="6">
        <v>506.49</v>
      </c>
      <c r="K55" s="6">
        <v>1797.77</v>
      </c>
      <c r="L55" s="6">
        <v>449.42</v>
      </c>
      <c r="M55" s="6">
        <v>464.62</v>
      </c>
      <c r="N55" s="6">
        <v>442.62</v>
      </c>
      <c r="O55" s="6">
        <v>535.67999999999995</v>
      </c>
      <c r="P55" s="6">
        <v>1864.14</v>
      </c>
      <c r="Q55" s="6">
        <v>449.27</v>
      </c>
      <c r="R55" s="6">
        <v>442.96</v>
      </c>
      <c r="S55" s="6">
        <v>451.08</v>
      </c>
      <c r="T55" s="6">
        <v>559.46</v>
      </c>
      <c r="U55" s="6">
        <v>1859.21</v>
      </c>
      <c r="V55" s="6">
        <v>451.68</v>
      </c>
      <c r="W55" s="6">
        <v>471.07</v>
      </c>
      <c r="X55" s="6">
        <v>432.47</v>
      </c>
      <c r="Y55" s="6">
        <v>545.71</v>
      </c>
      <c r="Z55" s="6">
        <v>1861.54</v>
      </c>
      <c r="AA55" s="6">
        <v>458.22</v>
      </c>
      <c r="AB55" s="6">
        <v>478.48</v>
      </c>
      <c r="AC55" s="6">
        <v>437.21</v>
      </c>
      <c r="AD55" s="6">
        <v>550.98</v>
      </c>
      <c r="AE55" s="6">
        <v>1877.42</v>
      </c>
    </row>
    <row r="56" spans="1:31" x14ac:dyDescent="0.25">
      <c r="A56" t="s">
        <v>315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x14ac:dyDescent="0.25">
      <c r="A57" t="s">
        <v>316</v>
      </c>
      <c r="B57" s="7" t="s">
        <v>104</v>
      </c>
      <c r="C57" s="7" t="s">
        <v>104</v>
      </c>
      <c r="D57" s="7" t="s">
        <v>104</v>
      </c>
      <c r="E57" s="7" t="s">
        <v>104</v>
      </c>
      <c r="F57" s="7" t="s">
        <v>104</v>
      </c>
      <c r="G57" s="7" t="s">
        <v>104</v>
      </c>
      <c r="H57" s="7" t="s">
        <v>104</v>
      </c>
      <c r="I57" s="7" t="s">
        <v>104</v>
      </c>
      <c r="J57" s="7" t="s">
        <v>104</v>
      </c>
      <c r="K57" s="7" t="s">
        <v>104</v>
      </c>
      <c r="L57" s="7" t="s">
        <v>104</v>
      </c>
      <c r="M57" s="7" t="s">
        <v>104</v>
      </c>
      <c r="N57" s="7" t="s">
        <v>104</v>
      </c>
      <c r="O57" s="7" t="s">
        <v>104</v>
      </c>
      <c r="P57" s="7" t="s">
        <v>104</v>
      </c>
      <c r="Q57" s="7" t="s">
        <v>104</v>
      </c>
      <c r="R57" s="7" t="s">
        <v>104</v>
      </c>
      <c r="S57" s="7" t="s">
        <v>104</v>
      </c>
      <c r="T57" s="7" t="s">
        <v>104</v>
      </c>
      <c r="U57" s="7" t="s">
        <v>104</v>
      </c>
      <c r="V57" s="7" t="s">
        <v>104</v>
      </c>
      <c r="W57" s="7" t="s">
        <v>104</v>
      </c>
      <c r="X57" s="7" t="s">
        <v>104</v>
      </c>
      <c r="Y57" s="7" t="s">
        <v>104</v>
      </c>
      <c r="Z57" s="7" t="s">
        <v>104</v>
      </c>
      <c r="AA57" s="7" t="s">
        <v>104</v>
      </c>
      <c r="AB57" s="7" t="s">
        <v>104</v>
      </c>
      <c r="AC57" s="7" t="s">
        <v>104</v>
      </c>
      <c r="AD57" s="7" t="s">
        <v>104</v>
      </c>
      <c r="AE57" s="7" t="s">
        <v>104</v>
      </c>
    </row>
    <row r="58" spans="1:31" x14ac:dyDescent="0.25">
      <c r="A58" t="s">
        <v>317</v>
      </c>
      <c r="B58" s="7" t="s">
        <v>104</v>
      </c>
      <c r="C58" s="7" t="s">
        <v>104</v>
      </c>
      <c r="D58" s="7" t="s">
        <v>104</v>
      </c>
      <c r="E58" s="7" t="s">
        <v>104</v>
      </c>
      <c r="F58" s="7" t="s">
        <v>104</v>
      </c>
      <c r="G58" s="7" t="s">
        <v>104</v>
      </c>
      <c r="H58" s="7" t="s">
        <v>104</v>
      </c>
      <c r="I58" s="7" t="s">
        <v>104</v>
      </c>
      <c r="J58" s="7" t="s">
        <v>104</v>
      </c>
      <c r="K58" s="7" t="s">
        <v>104</v>
      </c>
      <c r="L58" s="7" t="s">
        <v>104</v>
      </c>
      <c r="M58" s="7" t="s">
        <v>104</v>
      </c>
      <c r="N58" s="7" t="s">
        <v>104</v>
      </c>
      <c r="O58" s="7" t="s">
        <v>104</v>
      </c>
      <c r="P58" s="7" t="s">
        <v>104</v>
      </c>
      <c r="Q58" s="7" t="s">
        <v>104</v>
      </c>
      <c r="R58" s="7" t="s">
        <v>104</v>
      </c>
      <c r="S58" s="7" t="s">
        <v>104</v>
      </c>
      <c r="T58" s="7" t="s">
        <v>104</v>
      </c>
      <c r="U58" s="7" t="s">
        <v>104</v>
      </c>
      <c r="V58" s="7" t="s">
        <v>104</v>
      </c>
      <c r="W58" s="7" t="s">
        <v>104</v>
      </c>
      <c r="X58" s="7" t="s">
        <v>104</v>
      </c>
      <c r="Y58" s="7" t="s">
        <v>104</v>
      </c>
      <c r="Z58" s="7" t="s">
        <v>104</v>
      </c>
      <c r="AA58" s="7" t="s">
        <v>104</v>
      </c>
      <c r="AB58" s="7" t="s">
        <v>104</v>
      </c>
      <c r="AC58" s="7" t="s">
        <v>104</v>
      </c>
      <c r="AD58" s="7" t="s">
        <v>104</v>
      </c>
      <c r="AE58" s="7" t="s">
        <v>104</v>
      </c>
    </row>
    <row r="59" spans="1:31" x14ac:dyDescent="0.25">
      <c r="A59" t="s">
        <v>318</v>
      </c>
      <c r="B59" s="7" t="s">
        <v>104</v>
      </c>
      <c r="C59" s="7" t="s">
        <v>104</v>
      </c>
      <c r="D59" s="7" t="s">
        <v>104</v>
      </c>
      <c r="E59" s="7" t="s">
        <v>104</v>
      </c>
      <c r="F59" s="7" t="s">
        <v>104</v>
      </c>
      <c r="G59" s="7" t="s">
        <v>104</v>
      </c>
      <c r="H59" s="7" t="s">
        <v>104</v>
      </c>
      <c r="I59" s="7" t="s">
        <v>104</v>
      </c>
      <c r="J59" s="7" t="s">
        <v>104</v>
      </c>
      <c r="K59" s="7" t="s">
        <v>104</v>
      </c>
      <c r="L59" s="7" t="s">
        <v>104</v>
      </c>
      <c r="M59" s="7" t="s">
        <v>104</v>
      </c>
      <c r="N59" s="7" t="s">
        <v>104</v>
      </c>
      <c r="O59" s="7" t="s">
        <v>104</v>
      </c>
      <c r="P59" s="7" t="s">
        <v>104</v>
      </c>
      <c r="Q59" s="7" t="s">
        <v>104</v>
      </c>
      <c r="R59" s="7" t="s">
        <v>104</v>
      </c>
      <c r="S59" s="7" t="s">
        <v>104</v>
      </c>
      <c r="T59" s="7" t="s">
        <v>104</v>
      </c>
      <c r="U59" s="7" t="s">
        <v>104</v>
      </c>
      <c r="V59" s="7" t="s">
        <v>104</v>
      </c>
      <c r="W59" s="7" t="s">
        <v>104</v>
      </c>
      <c r="X59" s="7" t="s">
        <v>104</v>
      </c>
      <c r="Y59" s="7" t="s">
        <v>104</v>
      </c>
      <c r="Z59" s="7" t="s">
        <v>104</v>
      </c>
      <c r="AA59" s="7" t="s">
        <v>104</v>
      </c>
      <c r="AB59" s="7" t="s">
        <v>104</v>
      </c>
      <c r="AC59" s="7" t="s">
        <v>104</v>
      </c>
      <c r="AD59" s="7" t="s">
        <v>104</v>
      </c>
      <c r="AE59" s="7" t="s">
        <v>104</v>
      </c>
    </row>
    <row r="60" spans="1:31" x14ac:dyDescent="0.25">
      <c r="A60" t="s">
        <v>319</v>
      </c>
      <c r="B60" s="7" t="s">
        <v>104</v>
      </c>
      <c r="C60" s="7" t="s">
        <v>104</v>
      </c>
      <c r="D60" s="7" t="s">
        <v>104</v>
      </c>
      <c r="E60" s="7" t="s">
        <v>104</v>
      </c>
      <c r="F60" s="7" t="s">
        <v>104</v>
      </c>
      <c r="G60" s="7" t="s">
        <v>104</v>
      </c>
      <c r="H60" s="7" t="s">
        <v>104</v>
      </c>
      <c r="I60" s="7" t="s">
        <v>104</v>
      </c>
      <c r="J60" s="7" t="s">
        <v>104</v>
      </c>
      <c r="K60" s="7" t="s">
        <v>104</v>
      </c>
      <c r="L60" s="7" t="s">
        <v>104</v>
      </c>
      <c r="M60" s="7" t="s">
        <v>104</v>
      </c>
      <c r="N60" s="7" t="s">
        <v>104</v>
      </c>
      <c r="O60" s="7" t="s">
        <v>104</v>
      </c>
      <c r="P60" s="7" t="s">
        <v>104</v>
      </c>
      <c r="Q60" s="7" t="s">
        <v>104</v>
      </c>
      <c r="R60" s="7" t="s">
        <v>104</v>
      </c>
      <c r="S60" s="7" t="s">
        <v>104</v>
      </c>
      <c r="T60" s="7" t="s">
        <v>104</v>
      </c>
      <c r="U60" s="7" t="s">
        <v>104</v>
      </c>
      <c r="V60" s="7" t="s">
        <v>104</v>
      </c>
      <c r="W60" s="7" t="s">
        <v>104</v>
      </c>
      <c r="X60" s="7" t="s">
        <v>104</v>
      </c>
      <c r="Y60" s="7" t="s">
        <v>104</v>
      </c>
      <c r="Z60" s="7" t="s">
        <v>104</v>
      </c>
      <c r="AA60" s="7" t="s">
        <v>104</v>
      </c>
      <c r="AB60" s="7" t="s">
        <v>104</v>
      </c>
      <c r="AC60" s="7" t="s">
        <v>104</v>
      </c>
      <c r="AD60" s="7" t="s">
        <v>104</v>
      </c>
      <c r="AE60" s="7" t="s">
        <v>104</v>
      </c>
    </row>
    <row r="61" spans="1:31" x14ac:dyDescent="0.25">
      <c r="A61" t="s">
        <v>320</v>
      </c>
      <c r="B61" s="7" t="s">
        <v>104</v>
      </c>
      <c r="C61" s="7" t="s">
        <v>104</v>
      </c>
      <c r="D61" s="7" t="s">
        <v>104</v>
      </c>
      <c r="E61" s="7" t="s">
        <v>104</v>
      </c>
      <c r="F61" s="7" t="s">
        <v>104</v>
      </c>
      <c r="G61" s="7" t="s">
        <v>104</v>
      </c>
      <c r="H61" s="7" t="s">
        <v>104</v>
      </c>
      <c r="I61" s="7" t="s">
        <v>104</v>
      </c>
      <c r="J61" s="7" t="s">
        <v>104</v>
      </c>
      <c r="K61" s="7" t="s">
        <v>104</v>
      </c>
      <c r="L61" s="7" t="s">
        <v>104</v>
      </c>
      <c r="M61" s="7" t="s">
        <v>104</v>
      </c>
      <c r="N61" s="7" t="s">
        <v>104</v>
      </c>
      <c r="O61" s="7" t="s">
        <v>104</v>
      </c>
      <c r="P61" s="7" t="s">
        <v>104</v>
      </c>
      <c r="Q61" s="7" t="s">
        <v>104</v>
      </c>
      <c r="R61" s="7" t="s">
        <v>104</v>
      </c>
      <c r="S61" s="7" t="s">
        <v>104</v>
      </c>
      <c r="T61" s="7" t="s">
        <v>104</v>
      </c>
      <c r="U61" s="7" t="s">
        <v>104</v>
      </c>
      <c r="V61" s="7" t="s">
        <v>104</v>
      </c>
      <c r="W61" s="7" t="s">
        <v>104</v>
      </c>
      <c r="X61" s="7" t="s">
        <v>104</v>
      </c>
      <c r="Y61" s="7" t="s">
        <v>104</v>
      </c>
      <c r="Z61" s="7" t="s">
        <v>104</v>
      </c>
      <c r="AA61" s="7" t="s">
        <v>104</v>
      </c>
      <c r="AB61" s="7" t="s">
        <v>104</v>
      </c>
      <c r="AC61" s="7" t="s">
        <v>104</v>
      </c>
      <c r="AD61" s="7" t="s">
        <v>104</v>
      </c>
      <c r="AE61" s="7" t="s">
        <v>104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79BF-F2A6-4B56-8731-5A9C00535DD8}">
  <dimension ref="A1:AE86"/>
  <sheetViews>
    <sheetView workbookViewId="0">
      <selection sqref="A1:D1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321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322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t="s">
        <v>323</v>
      </c>
      <c r="B17" s="6">
        <v>261</v>
      </c>
      <c r="C17" s="6">
        <v>243</v>
      </c>
      <c r="D17" s="6">
        <v>288</v>
      </c>
      <c r="E17" s="6">
        <v>283</v>
      </c>
      <c r="F17" s="6">
        <v>1075</v>
      </c>
      <c r="G17" s="6">
        <v>1394</v>
      </c>
      <c r="H17" s="6">
        <v>344</v>
      </c>
      <c r="I17" s="6">
        <v>364.28</v>
      </c>
      <c r="J17" s="6">
        <v>351.84</v>
      </c>
      <c r="K17" s="6">
        <v>2313.9899999999998</v>
      </c>
      <c r="L17" s="6">
        <v>326.27</v>
      </c>
      <c r="M17" s="6">
        <v>361.43</v>
      </c>
      <c r="N17" s="6">
        <v>388.7</v>
      </c>
      <c r="O17" s="6">
        <v>374.43</v>
      </c>
      <c r="P17" s="6">
        <v>1426.52</v>
      </c>
      <c r="Q17" s="6">
        <v>370.76</v>
      </c>
      <c r="R17" s="6">
        <v>398.71</v>
      </c>
      <c r="S17" s="6">
        <v>416.39</v>
      </c>
      <c r="T17" s="6">
        <v>404.08</v>
      </c>
      <c r="U17" s="6">
        <v>1514.26</v>
      </c>
      <c r="V17" s="6">
        <v>393.01</v>
      </c>
      <c r="W17" s="6">
        <v>415.15</v>
      </c>
      <c r="X17" s="6">
        <v>438.05</v>
      </c>
      <c r="Y17" s="6">
        <v>433.08</v>
      </c>
      <c r="Z17" s="6">
        <v>1515.4</v>
      </c>
      <c r="AA17" s="6">
        <v>394.1</v>
      </c>
      <c r="AB17" s="6">
        <v>415.84</v>
      </c>
      <c r="AC17" s="6">
        <v>439.81</v>
      </c>
      <c r="AD17" s="6">
        <v>434.06</v>
      </c>
      <c r="AE17" s="6">
        <v>1479.98</v>
      </c>
    </row>
    <row r="18" spans="1:31" x14ac:dyDescent="0.25">
      <c r="A18" t="s">
        <v>324</v>
      </c>
      <c r="B18" s="6">
        <v>9592</v>
      </c>
      <c r="C18" s="6">
        <v>9835</v>
      </c>
      <c r="D18" s="6">
        <v>10123</v>
      </c>
      <c r="E18" s="6">
        <v>10406</v>
      </c>
      <c r="F18" s="6">
        <v>10406</v>
      </c>
      <c r="G18" s="6">
        <v>11800</v>
      </c>
      <c r="H18" s="6">
        <v>12144</v>
      </c>
      <c r="I18" s="6">
        <v>12508.28</v>
      </c>
      <c r="J18" s="6">
        <v>12860.12</v>
      </c>
      <c r="K18" s="6">
        <v>12860.12</v>
      </c>
      <c r="L18" s="6">
        <v>13193.69</v>
      </c>
      <c r="M18" s="6">
        <v>13555.12</v>
      </c>
      <c r="N18" s="6">
        <v>13943.81</v>
      </c>
      <c r="O18" s="6">
        <v>14318.24</v>
      </c>
      <c r="P18" s="6">
        <v>14292.38</v>
      </c>
      <c r="Q18" s="6">
        <v>14697.09</v>
      </c>
      <c r="R18" s="6">
        <v>15095.8</v>
      </c>
      <c r="S18" s="6">
        <v>15512.19</v>
      </c>
      <c r="T18" s="6">
        <v>15916.27</v>
      </c>
      <c r="U18" s="6">
        <v>15813.32</v>
      </c>
      <c r="V18" s="6">
        <v>16394.439999999999</v>
      </c>
      <c r="W18" s="6">
        <v>16809.59</v>
      </c>
      <c r="X18" s="6">
        <v>17247.64</v>
      </c>
      <c r="Y18" s="6">
        <v>17680.72</v>
      </c>
      <c r="Z18" s="6">
        <v>17347.04</v>
      </c>
      <c r="AA18" s="6">
        <v>18074.82</v>
      </c>
      <c r="AB18" s="6">
        <v>18490.66</v>
      </c>
      <c r="AC18" s="6">
        <v>18930.47</v>
      </c>
      <c r="AD18" s="6">
        <v>19364.53</v>
      </c>
      <c r="AE18" s="6">
        <v>18827.02</v>
      </c>
    </row>
    <row r="19" spans="1:31" x14ac:dyDescent="0.25">
      <c r="A19" t="s">
        <v>325</v>
      </c>
      <c r="B19" s="6">
        <v>9461.5</v>
      </c>
      <c r="C19" s="6">
        <v>9713.5</v>
      </c>
      <c r="D19" s="6">
        <v>9979</v>
      </c>
      <c r="E19" s="6">
        <v>10264.5</v>
      </c>
      <c r="F19" s="6">
        <v>9868.5</v>
      </c>
      <c r="G19" s="6">
        <v>11103</v>
      </c>
      <c r="H19" s="6">
        <v>11972</v>
      </c>
      <c r="I19" s="6">
        <v>12326.14</v>
      </c>
      <c r="J19" s="6">
        <v>12684.2</v>
      </c>
      <c r="K19" s="6">
        <v>11729.66</v>
      </c>
      <c r="L19" s="6">
        <v>13030.55</v>
      </c>
      <c r="M19" s="6">
        <v>13374.4</v>
      </c>
      <c r="N19" s="6">
        <v>13749.46</v>
      </c>
      <c r="O19" s="6">
        <v>14131.02</v>
      </c>
      <c r="P19" s="6">
        <v>13574.85</v>
      </c>
      <c r="Q19" s="6">
        <v>14511.71</v>
      </c>
      <c r="R19" s="6">
        <v>14896.45</v>
      </c>
      <c r="S19" s="6">
        <v>15304</v>
      </c>
      <c r="T19" s="6">
        <v>15714.23</v>
      </c>
      <c r="U19" s="6">
        <v>15051.34</v>
      </c>
      <c r="V19" s="6">
        <v>16197.94</v>
      </c>
      <c r="W19" s="6">
        <v>16602.02</v>
      </c>
      <c r="X19" s="6">
        <v>17028.61</v>
      </c>
      <c r="Y19" s="6">
        <v>17464.18</v>
      </c>
      <c r="Z19" s="6">
        <v>16583.599999999999</v>
      </c>
      <c r="AA19" s="6">
        <v>17877.77</v>
      </c>
      <c r="AB19" s="6">
        <v>18282.740000000002</v>
      </c>
      <c r="AC19" s="6">
        <v>18710.560000000001</v>
      </c>
      <c r="AD19" s="6">
        <v>19147.5</v>
      </c>
      <c r="AE19" s="6">
        <v>18081.25</v>
      </c>
    </row>
    <row r="20" spans="1:31" x14ac:dyDescent="0.25">
      <c r="A20" t="s">
        <v>326</v>
      </c>
      <c r="B20" s="6">
        <v>72.849999999999994</v>
      </c>
      <c r="C20" s="6">
        <v>73.260000000000005</v>
      </c>
      <c r="D20" s="6">
        <v>73.48</v>
      </c>
      <c r="E20" s="6">
        <v>72.87</v>
      </c>
      <c r="F20" s="6">
        <v>73.12</v>
      </c>
      <c r="G20" s="6">
        <v>74.09</v>
      </c>
      <c r="H20" s="6">
        <v>72.290000000000006</v>
      </c>
      <c r="I20" s="6">
        <v>73.05</v>
      </c>
      <c r="J20" s="6">
        <v>72.760000000000005</v>
      </c>
      <c r="K20" s="6">
        <v>73.819999999999993</v>
      </c>
      <c r="L20" s="6">
        <v>74.19</v>
      </c>
      <c r="M20" s="6">
        <v>73.66</v>
      </c>
      <c r="N20" s="6">
        <v>73.87</v>
      </c>
      <c r="O20" s="6">
        <v>73.569999999999993</v>
      </c>
      <c r="P20" s="6">
        <v>74.06</v>
      </c>
      <c r="Q20" s="6">
        <v>76.260000000000005</v>
      </c>
      <c r="R20" s="6">
        <v>75.75</v>
      </c>
      <c r="S20" s="6">
        <v>76.13</v>
      </c>
      <c r="T20" s="6">
        <v>75.680000000000007</v>
      </c>
      <c r="U20" s="6">
        <v>75.540000000000006</v>
      </c>
      <c r="V20" s="6">
        <v>77.16</v>
      </c>
      <c r="W20" s="6">
        <v>76.69</v>
      </c>
      <c r="X20" s="6">
        <v>77.17</v>
      </c>
      <c r="Y20" s="6">
        <v>77.099999999999994</v>
      </c>
      <c r="Z20" s="6">
        <v>76.36</v>
      </c>
      <c r="AA20" s="6">
        <v>78.89</v>
      </c>
      <c r="AB20" s="6">
        <v>78.400000000000006</v>
      </c>
      <c r="AC20" s="6">
        <v>78.87</v>
      </c>
      <c r="AD20" s="6">
        <v>78.77</v>
      </c>
      <c r="AE20" s="6">
        <v>77.790000000000006</v>
      </c>
    </row>
    <row r="21" spans="1:31" x14ac:dyDescent="0.25">
      <c r="A21" t="s">
        <v>327</v>
      </c>
      <c r="B21" s="6">
        <v>2066</v>
      </c>
      <c r="C21" s="6">
        <v>2136</v>
      </c>
      <c r="D21" s="6">
        <v>2198</v>
      </c>
      <c r="E21" s="6">
        <v>2245</v>
      </c>
      <c r="F21" s="6">
        <v>8645</v>
      </c>
      <c r="G21" s="6">
        <v>2505</v>
      </c>
      <c r="H21" s="6">
        <v>2593</v>
      </c>
      <c r="I21" s="6">
        <v>2667.53</v>
      </c>
      <c r="J21" s="6">
        <v>2733.45</v>
      </c>
      <c r="K21" s="6">
        <v>10498.26</v>
      </c>
      <c r="L21" s="6">
        <v>2872.55</v>
      </c>
      <c r="M21" s="6">
        <v>2926.28</v>
      </c>
      <c r="N21" s="6">
        <v>3016.16</v>
      </c>
      <c r="O21" s="6">
        <v>3087.23</v>
      </c>
      <c r="P21" s="6">
        <v>11955.67</v>
      </c>
      <c r="Q21" s="6">
        <v>3260.63</v>
      </c>
      <c r="R21" s="6">
        <v>3322.67</v>
      </c>
      <c r="S21" s="6">
        <v>3429.64</v>
      </c>
      <c r="T21" s="6">
        <v>3501.33</v>
      </c>
      <c r="U21" s="6">
        <v>13493.42</v>
      </c>
      <c r="V21" s="6">
        <v>3745.84</v>
      </c>
      <c r="W21" s="6">
        <v>3815.16</v>
      </c>
      <c r="X21" s="6">
        <v>3936.65</v>
      </c>
      <c r="Y21" s="6">
        <v>4032.36</v>
      </c>
      <c r="Z21" s="6">
        <v>15207.68</v>
      </c>
      <c r="AA21" s="6">
        <v>4224.6000000000004</v>
      </c>
      <c r="AB21" s="6">
        <v>4292.53</v>
      </c>
      <c r="AC21" s="6">
        <v>4417.96</v>
      </c>
      <c r="AD21" s="6">
        <v>4514.3599999999997</v>
      </c>
      <c r="AE21" s="6">
        <v>16897.84</v>
      </c>
    </row>
    <row r="22" spans="1:31" x14ac:dyDescent="0.25">
      <c r="A22" t="s">
        <v>77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t="s">
        <v>328</v>
      </c>
      <c r="B23" s="6">
        <v>169</v>
      </c>
      <c r="C23" s="6">
        <v>203</v>
      </c>
      <c r="D23" s="6">
        <v>270</v>
      </c>
      <c r="E23" s="6">
        <v>221</v>
      </c>
      <c r="F23" s="6">
        <v>875</v>
      </c>
      <c r="G23" s="6">
        <v>239</v>
      </c>
      <c r="H23" s="6">
        <v>215</v>
      </c>
      <c r="I23" s="6">
        <v>245.41</v>
      </c>
      <c r="J23" s="6">
        <v>227.44</v>
      </c>
      <c r="K23" s="6">
        <v>926.84</v>
      </c>
      <c r="L23" s="6">
        <v>226.09</v>
      </c>
      <c r="M23" s="6">
        <v>211.19</v>
      </c>
      <c r="N23" s="6">
        <v>243.83</v>
      </c>
      <c r="O23" s="6">
        <v>214.23</v>
      </c>
      <c r="P23" s="6">
        <v>886.13</v>
      </c>
      <c r="Q23" s="6">
        <v>190.31</v>
      </c>
      <c r="R23" s="6">
        <v>173.72</v>
      </c>
      <c r="S23" s="6">
        <v>201.89</v>
      </c>
      <c r="T23" s="6">
        <v>175.57</v>
      </c>
      <c r="U23" s="6">
        <v>766.14</v>
      </c>
      <c r="V23" s="6">
        <v>159.58000000000001</v>
      </c>
      <c r="W23" s="6">
        <v>145.87</v>
      </c>
      <c r="X23" s="6">
        <v>162.15</v>
      </c>
      <c r="Y23" s="6">
        <v>145.58000000000001</v>
      </c>
      <c r="Z23" s="6">
        <v>625.77</v>
      </c>
      <c r="AA23" s="6">
        <v>145.43</v>
      </c>
      <c r="AB23" s="6">
        <v>131.91999999999999</v>
      </c>
      <c r="AC23" s="6">
        <v>148</v>
      </c>
      <c r="AD23" s="6">
        <v>131.55000000000001</v>
      </c>
      <c r="AE23" s="6">
        <v>552.16999999999996</v>
      </c>
    </row>
    <row r="24" spans="1:31" x14ac:dyDescent="0.25">
      <c r="A24" t="s">
        <v>329</v>
      </c>
      <c r="B24" s="6">
        <v>803</v>
      </c>
      <c r="C24" s="6">
        <v>1006</v>
      </c>
      <c r="D24" s="6">
        <v>1276</v>
      </c>
      <c r="E24" s="6">
        <v>1497</v>
      </c>
      <c r="F24" s="6">
        <v>1497</v>
      </c>
      <c r="G24" s="6">
        <v>1736</v>
      </c>
      <c r="H24" s="6">
        <v>1951</v>
      </c>
      <c r="I24" s="6">
        <v>2196.41</v>
      </c>
      <c r="J24" s="6">
        <v>2423.84</v>
      </c>
      <c r="K24" s="6">
        <v>2423.84</v>
      </c>
      <c r="L24" s="6">
        <v>2646.4</v>
      </c>
      <c r="M24" s="6">
        <v>2857.59</v>
      </c>
      <c r="N24" s="6">
        <v>3101.42</v>
      </c>
      <c r="O24" s="6">
        <v>3315.65</v>
      </c>
      <c r="P24" s="6">
        <v>3306.16</v>
      </c>
      <c r="Q24" s="6">
        <v>3432.67</v>
      </c>
      <c r="R24" s="6">
        <v>3606.4</v>
      </c>
      <c r="S24" s="6">
        <v>3808.28</v>
      </c>
      <c r="T24" s="6">
        <v>3983.86</v>
      </c>
      <c r="U24" s="6">
        <v>4044.74</v>
      </c>
      <c r="V24" s="6">
        <v>4012.27</v>
      </c>
      <c r="W24" s="6">
        <v>4158.1400000000003</v>
      </c>
      <c r="X24" s="6">
        <v>4320.29</v>
      </c>
      <c r="Y24" s="6">
        <v>4465.88</v>
      </c>
      <c r="Z24" s="6">
        <v>4626.01</v>
      </c>
      <c r="AA24" s="6">
        <v>4611.3100000000004</v>
      </c>
      <c r="AB24" s="6">
        <v>4743.2299999999996</v>
      </c>
      <c r="AC24" s="6">
        <v>4891.2299999999996</v>
      </c>
      <c r="AD24" s="6">
        <v>5022.78</v>
      </c>
      <c r="AE24" s="6">
        <v>5178.17</v>
      </c>
    </row>
    <row r="25" spans="1:31" x14ac:dyDescent="0.25">
      <c r="A25" t="s">
        <v>330</v>
      </c>
      <c r="B25" s="6">
        <v>718.5</v>
      </c>
      <c r="C25" s="6">
        <v>904.5</v>
      </c>
      <c r="D25" s="6">
        <v>1141</v>
      </c>
      <c r="E25" s="6">
        <v>1386.5</v>
      </c>
      <c r="F25" s="6">
        <v>1065.5</v>
      </c>
      <c r="G25" s="6">
        <v>1616.5</v>
      </c>
      <c r="H25" s="6">
        <v>1843.5</v>
      </c>
      <c r="I25" s="6">
        <v>2073.6999999999998</v>
      </c>
      <c r="J25" s="6">
        <v>2310.12</v>
      </c>
      <c r="K25" s="6">
        <v>1961.18</v>
      </c>
      <c r="L25" s="6">
        <v>2533.35</v>
      </c>
      <c r="M25" s="6">
        <v>2751.99</v>
      </c>
      <c r="N25" s="6">
        <v>2979.5</v>
      </c>
      <c r="O25" s="6">
        <v>3208.53</v>
      </c>
      <c r="P25" s="6">
        <v>2863.66</v>
      </c>
      <c r="Q25" s="6">
        <v>3337.51</v>
      </c>
      <c r="R25" s="6">
        <v>3519.53</v>
      </c>
      <c r="S25" s="6">
        <v>3707.34</v>
      </c>
      <c r="T25" s="6">
        <v>3896.07</v>
      </c>
      <c r="U25" s="6">
        <v>3662.27</v>
      </c>
      <c r="V25" s="6">
        <v>3932.48</v>
      </c>
      <c r="W25" s="6">
        <v>4085.21</v>
      </c>
      <c r="X25" s="6">
        <v>4239.22</v>
      </c>
      <c r="Y25" s="6">
        <v>4393.08</v>
      </c>
      <c r="Z25" s="6">
        <v>4313.8100000000004</v>
      </c>
      <c r="AA25" s="6">
        <v>4538.59</v>
      </c>
      <c r="AB25" s="6">
        <v>4677.2700000000004</v>
      </c>
      <c r="AC25" s="6">
        <v>4817.2299999999996</v>
      </c>
      <c r="AD25" s="6">
        <v>4957</v>
      </c>
      <c r="AE25" s="6">
        <v>4902.78</v>
      </c>
    </row>
    <row r="26" spans="1:31" x14ac:dyDescent="0.25">
      <c r="A26" t="s">
        <v>331</v>
      </c>
      <c r="B26" s="6">
        <v>61.74</v>
      </c>
      <c r="C26" s="6">
        <v>60.57</v>
      </c>
      <c r="D26" s="6">
        <v>62.28</v>
      </c>
      <c r="E26" s="6">
        <v>61.8</v>
      </c>
      <c r="F26" s="6">
        <v>61.65</v>
      </c>
      <c r="G26" s="6">
        <v>61.01</v>
      </c>
      <c r="H26" s="6">
        <v>60.09</v>
      </c>
      <c r="I26" s="6">
        <v>61.61</v>
      </c>
      <c r="J26" s="6">
        <v>61.62</v>
      </c>
      <c r="K26" s="6">
        <v>61.1</v>
      </c>
      <c r="L26" s="6">
        <v>61.11</v>
      </c>
      <c r="M26" s="6">
        <v>60.52</v>
      </c>
      <c r="N26" s="6">
        <v>62.04</v>
      </c>
      <c r="O26" s="6">
        <v>62.03</v>
      </c>
      <c r="P26" s="6">
        <v>61.43</v>
      </c>
      <c r="Q26" s="6">
        <v>61.94</v>
      </c>
      <c r="R26" s="6">
        <v>61.19</v>
      </c>
      <c r="S26" s="6">
        <v>63.26</v>
      </c>
      <c r="T26" s="6">
        <v>63.36</v>
      </c>
      <c r="U26" s="6">
        <v>61.92</v>
      </c>
      <c r="V26" s="6">
        <v>64.13</v>
      </c>
      <c r="W26" s="6">
        <v>63.41</v>
      </c>
      <c r="X26" s="6">
        <v>65.95</v>
      </c>
      <c r="Y26" s="6">
        <v>66.150000000000006</v>
      </c>
      <c r="Z26" s="6">
        <v>63.02</v>
      </c>
      <c r="AA26" s="6">
        <v>65.39</v>
      </c>
      <c r="AB26" s="6">
        <v>64.63</v>
      </c>
      <c r="AC26" s="6">
        <v>67.22</v>
      </c>
      <c r="AD26" s="6">
        <v>67.41</v>
      </c>
      <c r="AE26" s="6">
        <v>63.7</v>
      </c>
    </row>
    <row r="27" spans="1:31" x14ac:dyDescent="0.25">
      <c r="A27" t="s">
        <v>332</v>
      </c>
      <c r="B27" s="6">
        <v>132</v>
      </c>
      <c r="C27" s="6">
        <v>163</v>
      </c>
      <c r="D27" s="6">
        <v>213</v>
      </c>
      <c r="E27" s="6">
        <v>257</v>
      </c>
      <c r="F27" s="6">
        <v>765</v>
      </c>
      <c r="G27" s="6">
        <v>294</v>
      </c>
      <c r="H27" s="6">
        <v>333</v>
      </c>
      <c r="I27" s="6">
        <v>383.24</v>
      </c>
      <c r="J27" s="6">
        <v>426.95</v>
      </c>
      <c r="K27" s="6">
        <v>1437.27</v>
      </c>
      <c r="L27" s="6">
        <v>464.32</v>
      </c>
      <c r="M27" s="6">
        <v>499.52</v>
      </c>
      <c r="N27" s="6">
        <v>553.99</v>
      </c>
      <c r="O27" s="6">
        <v>596.25</v>
      </c>
      <c r="P27" s="6">
        <v>2109.42</v>
      </c>
      <c r="Q27" s="6">
        <v>618.99</v>
      </c>
      <c r="R27" s="6">
        <v>644.6</v>
      </c>
      <c r="S27" s="6">
        <v>700.88</v>
      </c>
      <c r="T27" s="6">
        <v>736.82</v>
      </c>
      <c r="U27" s="6">
        <v>2717.44</v>
      </c>
      <c r="V27" s="6">
        <v>754.5</v>
      </c>
      <c r="W27" s="6">
        <v>774.89</v>
      </c>
      <c r="X27" s="6">
        <v>835.48</v>
      </c>
      <c r="Y27" s="6">
        <v>867.05</v>
      </c>
      <c r="Z27" s="6">
        <v>3255.19</v>
      </c>
      <c r="AA27" s="6">
        <v>886.28</v>
      </c>
      <c r="AB27" s="6">
        <v>902.73</v>
      </c>
      <c r="AC27" s="6">
        <v>965.38</v>
      </c>
      <c r="AD27" s="6">
        <v>994.24</v>
      </c>
      <c r="AE27" s="6">
        <v>3734.21</v>
      </c>
    </row>
    <row r="28" spans="1:31" x14ac:dyDescent="0.25">
      <c r="A28" t="s">
        <v>77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t="s">
        <v>333</v>
      </c>
      <c r="B29" s="6">
        <v>442</v>
      </c>
      <c r="C29" s="6">
        <v>446</v>
      </c>
      <c r="D29" s="6">
        <v>558</v>
      </c>
      <c r="E29" s="6">
        <v>504</v>
      </c>
      <c r="F29" s="6">
        <v>1950</v>
      </c>
      <c r="G29" s="6">
        <v>512</v>
      </c>
      <c r="H29" s="6">
        <v>559</v>
      </c>
      <c r="I29" s="6">
        <v>613.67999999999995</v>
      </c>
      <c r="J29" s="6">
        <v>584.39</v>
      </c>
      <c r="K29" s="6">
        <v>2269.0700000000002</v>
      </c>
      <c r="L29" s="6">
        <v>553.72</v>
      </c>
      <c r="M29" s="6">
        <v>568.76</v>
      </c>
      <c r="N29" s="6">
        <v>648.15</v>
      </c>
      <c r="O29" s="6">
        <v>585.20000000000005</v>
      </c>
      <c r="P29" s="6">
        <v>2377.87</v>
      </c>
      <c r="Q29" s="6">
        <v>558.5</v>
      </c>
      <c r="R29" s="6">
        <v>557</v>
      </c>
      <c r="S29" s="6">
        <v>610</v>
      </c>
      <c r="T29" s="6">
        <v>552.5</v>
      </c>
      <c r="U29" s="6">
        <v>2374.04</v>
      </c>
      <c r="V29" s="6">
        <v>542</v>
      </c>
      <c r="W29" s="6">
        <v>559</v>
      </c>
      <c r="X29" s="6">
        <v>600</v>
      </c>
      <c r="Y29" s="6">
        <v>560</v>
      </c>
      <c r="Z29" s="6">
        <v>2252.2600000000002</v>
      </c>
      <c r="AA29" s="6">
        <v>502</v>
      </c>
      <c r="AB29" s="6">
        <v>519</v>
      </c>
      <c r="AC29" s="6">
        <v>560</v>
      </c>
      <c r="AD29" s="6">
        <v>520</v>
      </c>
      <c r="AE29" s="6">
        <v>2122.9899999999998</v>
      </c>
    </row>
    <row r="30" spans="1:31" x14ac:dyDescent="0.25">
      <c r="A30" t="s">
        <v>334</v>
      </c>
      <c r="B30" s="6">
        <v>-12</v>
      </c>
      <c r="C30" s="7" t="s">
        <v>104</v>
      </c>
      <c r="D30" s="7" t="s">
        <v>104</v>
      </c>
      <c r="E30" s="7" t="s">
        <v>104</v>
      </c>
      <c r="F30" s="6">
        <v>-12</v>
      </c>
      <c r="G30" s="6">
        <v>1121</v>
      </c>
      <c r="H30" s="7" t="s">
        <v>104</v>
      </c>
      <c r="I30" s="7" t="s">
        <v>104</v>
      </c>
      <c r="J30" s="7" t="s">
        <v>104</v>
      </c>
      <c r="K30" s="6">
        <v>1121</v>
      </c>
      <c r="L30" s="7" t="s">
        <v>104</v>
      </c>
      <c r="M30" s="7" t="s">
        <v>104</v>
      </c>
      <c r="N30" s="7" t="s">
        <v>104</v>
      </c>
      <c r="O30" s="7" t="s">
        <v>104</v>
      </c>
      <c r="P30" s="7" t="s">
        <v>104</v>
      </c>
      <c r="Q30" s="7" t="s">
        <v>104</v>
      </c>
      <c r="R30" s="7" t="s">
        <v>104</v>
      </c>
      <c r="S30" s="7" t="s">
        <v>104</v>
      </c>
      <c r="T30" s="7" t="s">
        <v>104</v>
      </c>
      <c r="U30" s="7" t="s">
        <v>104</v>
      </c>
      <c r="V30" s="7" t="s">
        <v>104</v>
      </c>
      <c r="W30" s="7" t="s">
        <v>104</v>
      </c>
      <c r="X30" s="7" t="s">
        <v>104</v>
      </c>
      <c r="Y30" s="7" t="s">
        <v>104</v>
      </c>
      <c r="Z30" s="7" t="s">
        <v>104</v>
      </c>
      <c r="AA30" s="7" t="s">
        <v>104</v>
      </c>
      <c r="AB30" s="7" t="s">
        <v>104</v>
      </c>
      <c r="AC30" s="7" t="s">
        <v>104</v>
      </c>
      <c r="AD30" s="7" t="s">
        <v>104</v>
      </c>
      <c r="AE30" s="7" t="s">
        <v>104</v>
      </c>
    </row>
    <row r="31" spans="1:31" x14ac:dyDescent="0.25">
      <c r="A31" t="s">
        <v>335</v>
      </c>
      <c r="B31" s="6">
        <v>430</v>
      </c>
      <c r="C31" s="6">
        <v>446</v>
      </c>
      <c r="D31" s="6">
        <v>558</v>
      </c>
      <c r="E31" s="6">
        <v>504</v>
      </c>
      <c r="F31" s="6">
        <v>1938</v>
      </c>
      <c r="G31" s="6">
        <v>1633</v>
      </c>
      <c r="H31" s="6">
        <v>559</v>
      </c>
      <c r="I31" s="6">
        <v>609.69000000000005</v>
      </c>
      <c r="J31" s="6">
        <v>579.27</v>
      </c>
      <c r="K31" s="6">
        <v>3380.96</v>
      </c>
      <c r="L31" s="6">
        <v>552.35</v>
      </c>
      <c r="M31" s="6">
        <v>572.62</v>
      </c>
      <c r="N31" s="6">
        <v>632.53</v>
      </c>
      <c r="O31" s="6">
        <v>588.66</v>
      </c>
      <c r="P31" s="6">
        <v>2312.65</v>
      </c>
      <c r="Q31" s="6">
        <v>561.07000000000005</v>
      </c>
      <c r="R31" s="6">
        <v>572.42999999999995</v>
      </c>
      <c r="S31" s="6">
        <v>618.28</v>
      </c>
      <c r="T31" s="6">
        <v>579.65</v>
      </c>
      <c r="U31" s="6">
        <v>2280.41</v>
      </c>
      <c r="V31" s="6">
        <v>552.59</v>
      </c>
      <c r="W31" s="6">
        <v>561.01</v>
      </c>
      <c r="X31" s="6">
        <v>600.20000000000005</v>
      </c>
      <c r="Y31" s="6">
        <v>578.66</v>
      </c>
      <c r="Z31" s="6">
        <v>2141.17</v>
      </c>
      <c r="AA31" s="6">
        <v>539.53</v>
      </c>
      <c r="AB31" s="6">
        <v>547.76</v>
      </c>
      <c r="AC31" s="6">
        <v>587.80999999999995</v>
      </c>
      <c r="AD31" s="6">
        <v>565.61</v>
      </c>
      <c r="AE31" s="6">
        <v>2032.15</v>
      </c>
    </row>
    <row r="32" spans="1:31" x14ac:dyDescent="0.25">
      <c r="A32" t="s">
        <v>336</v>
      </c>
      <c r="B32" s="6">
        <v>10395</v>
      </c>
      <c r="C32" s="6">
        <v>10841</v>
      </c>
      <c r="D32" s="6">
        <v>11399</v>
      </c>
      <c r="E32" s="6">
        <v>11903</v>
      </c>
      <c r="F32" s="6">
        <v>11903</v>
      </c>
      <c r="G32" s="6">
        <v>13536</v>
      </c>
      <c r="H32" s="6">
        <v>14095</v>
      </c>
      <c r="I32" s="6">
        <v>14704.69</v>
      </c>
      <c r="J32" s="6">
        <v>15283.96</v>
      </c>
      <c r="K32" s="6">
        <v>15283.96</v>
      </c>
      <c r="L32" s="6">
        <v>15840.09</v>
      </c>
      <c r="M32" s="6">
        <v>16412.7</v>
      </c>
      <c r="N32" s="6">
        <v>17045.23</v>
      </c>
      <c r="O32" s="6">
        <v>17633.89</v>
      </c>
      <c r="P32" s="6">
        <v>17598.54</v>
      </c>
      <c r="Q32" s="6">
        <v>18129.759999999998</v>
      </c>
      <c r="R32" s="6">
        <v>18702.189999999999</v>
      </c>
      <c r="S32" s="6">
        <v>19320.47</v>
      </c>
      <c r="T32" s="6">
        <v>19900.12</v>
      </c>
      <c r="U32" s="6">
        <v>19858.060000000001</v>
      </c>
      <c r="V32" s="6">
        <v>20406.72</v>
      </c>
      <c r="W32" s="6">
        <v>20967.73</v>
      </c>
      <c r="X32" s="6">
        <v>21567.93</v>
      </c>
      <c r="Y32" s="6">
        <v>22146.59</v>
      </c>
      <c r="Z32" s="6">
        <v>21973.05</v>
      </c>
      <c r="AA32" s="6">
        <v>22686.13</v>
      </c>
      <c r="AB32" s="6">
        <v>23233.89</v>
      </c>
      <c r="AC32" s="6">
        <v>23821.7</v>
      </c>
      <c r="AD32" s="6">
        <v>24387.31</v>
      </c>
      <c r="AE32" s="6">
        <v>24005.19</v>
      </c>
    </row>
    <row r="33" spans="1:31" x14ac:dyDescent="0.25">
      <c r="A33" t="s">
        <v>337</v>
      </c>
      <c r="B33" s="6">
        <v>10180</v>
      </c>
      <c r="C33" s="6">
        <v>10618</v>
      </c>
      <c r="D33" s="6">
        <v>11120</v>
      </c>
      <c r="E33" s="6">
        <v>11651</v>
      </c>
      <c r="F33" s="6">
        <v>10934</v>
      </c>
      <c r="G33" s="6">
        <v>12719.5</v>
      </c>
      <c r="H33" s="6">
        <v>13815.5</v>
      </c>
      <c r="I33" s="6">
        <v>14399.84</v>
      </c>
      <c r="J33" s="6">
        <v>14994.32</v>
      </c>
      <c r="K33" s="6">
        <v>13616.96</v>
      </c>
      <c r="L33" s="6">
        <v>15563.91</v>
      </c>
      <c r="M33" s="6">
        <v>16126.39</v>
      </c>
      <c r="N33" s="6">
        <v>16728.97</v>
      </c>
      <c r="O33" s="6">
        <v>17339.560000000001</v>
      </c>
      <c r="P33" s="6">
        <v>16442.22</v>
      </c>
      <c r="Q33" s="6">
        <v>17849.23</v>
      </c>
      <c r="R33" s="6">
        <v>18415.98</v>
      </c>
      <c r="S33" s="6">
        <v>19011.330000000002</v>
      </c>
      <c r="T33" s="6">
        <v>19610.3</v>
      </c>
      <c r="U33" s="6">
        <v>18717.849999999999</v>
      </c>
      <c r="V33" s="6">
        <v>20130.419999999998</v>
      </c>
      <c r="W33" s="6">
        <v>20687.22</v>
      </c>
      <c r="X33" s="6">
        <v>21267.83</v>
      </c>
      <c r="Y33" s="6">
        <v>21857.26</v>
      </c>
      <c r="Z33" s="6">
        <v>20902.46</v>
      </c>
      <c r="AA33" s="6">
        <v>22416.36</v>
      </c>
      <c r="AB33" s="6">
        <v>22960.01</v>
      </c>
      <c r="AC33" s="6">
        <v>23527.79</v>
      </c>
      <c r="AD33" s="6">
        <v>24104.5</v>
      </c>
      <c r="AE33" s="6">
        <v>22989.119999999999</v>
      </c>
    </row>
    <row r="34" spans="1:31" x14ac:dyDescent="0.25">
      <c r="A34" t="s">
        <v>338</v>
      </c>
      <c r="B34" s="6">
        <v>72.069999999999993</v>
      </c>
      <c r="C34" s="6">
        <v>72.19</v>
      </c>
      <c r="D34" s="6">
        <v>72.33</v>
      </c>
      <c r="E34" s="6">
        <v>71.56</v>
      </c>
      <c r="F34" s="6">
        <v>72.03</v>
      </c>
      <c r="G34" s="6">
        <v>72.459999999999994</v>
      </c>
      <c r="H34" s="6">
        <v>70.66</v>
      </c>
      <c r="I34" s="6">
        <v>70.87</v>
      </c>
      <c r="J34" s="6">
        <v>70.64</v>
      </c>
      <c r="K34" s="6">
        <v>72.430000000000007</v>
      </c>
      <c r="L34" s="6">
        <v>71.64</v>
      </c>
      <c r="M34" s="6">
        <v>70.84</v>
      </c>
      <c r="N34" s="6">
        <v>71.25</v>
      </c>
      <c r="O34" s="6">
        <v>71.06</v>
      </c>
      <c r="P34" s="6">
        <v>71.569999999999993</v>
      </c>
      <c r="Q34" s="6">
        <v>72.900000000000006</v>
      </c>
      <c r="R34" s="6">
        <v>72.03</v>
      </c>
      <c r="S34" s="6">
        <v>72.790000000000006</v>
      </c>
      <c r="T34" s="6">
        <v>72.63</v>
      </c>
      <c r="U34" s="6">
        <v>72.48</v>
      </c>
      <c r="V34" s="6">
        <v>74.61</v>
      </c>
      <c r="W34" s="6">
        <v>74.069999999999993</v>
      </c>
      <c r="X34" s="6">
        <v>74.92</v>
      </c>
      <c r="Y34" s="6">
        <v>74.88</v>
      </c>
      <c r="Z34" s="6">
        <v>73.77</v>
      </c>
      <c r="AA34" s="6">
        <v>76.16</v>
      </c>
      <c r="AB34" s="6">
        <v>75.599999999999994</v>
      </c>
      <c r="AC34" s="6">
        <v>76.459999999999994</v>
      </c>
      <c r="AD34" s="6">
        <v>76.400000000000006</v>
      </c>
      <c r="AE34" s="6">
        <v>74.94</v>
      </c>
    </row>
    <row r="35" spans="1:31" x14ac:dyDescent="0.25">
      <c r="A35" t="s">
        <v>339</v>
      </c>
      <c r="B35" s="6">
        <v>2198</v>
      </c>
      <c r="C35" s="6">
        <v>2299</v>
      </c>
      <c r="D35" s="6">
        <v>2411</v>
      </c>
      <c r="E35" s="6">
        <v>2502</v>
      </c>
      <c r="F35" s="6">
        <v>9410</v>
      </c>
      <c r="G35" s="6">
        <v>2799</v>
      </c>
      <c r="H35" s="6">
        <v>2926</v>
      </c>
      <c r="I35" s="6">
        <v>3065.8</v>
      </c>
      <c r="J35" s="6">
        <v>3181.73</v>
      </c>
      <c r="K35" s="6">
        <v>11993.31</v>
      </c>
      <c r="L35" s="6">
        <v>3349.99</v>
      </c>
      <c r="M35" s="6">
        <v>3432.08</v>
      </c>
      <c r="N35" s="6">
        <v>3580.82</v>
      </c>
      <c r="O35" s="6">
        <v>3701.07</v>
      </c>
      <c r="P35" s="6">
        <v>14128.13</v>
      </c>
      <c r="Q35" s="6">
        <v>3902.26</v>
      </c>
      <c r="R35" s="6">
        <v>3977</v>
      </c>
      <c r="S35" s="6">
        <v>4148.0200000000004</v>
      </c>
      <c r="T35" s="6">
        <v>4268.25</v>
      </c>
      <c r="U35" s="6">
        <v>16264.78</v>
      </c>
      <c r="V35" s="6">
        <v>4500.34</v>
      </c>
      <c r="W35" s="6">
        <v>4590.05</v>
      </c>
      <c r="X35" s="6">
        <v>4772.13</v>
      </c>
      <c r="Y35" s="6">
        <v>4899.41</v>
      </c>
      <c r="Z35" s="6">
        <v>18469.22</v>
      </c>
      <c r="AA35" s="6">
        <v>5110.8900000000003</v>
      </c>
      <c r="AB35" s="6">
        <v>5195.26</v>
      </c>
      <c r="AC35" s="6">
        <v>5383.34</v>
      </c>
      <c r="AD35" s="6">
        <v>5508.6</v>
      </c>
      <c r="AE35" s="6">
        <v>20618.099999999999</v>
      </c>
    </row>
    <row r="36" spans="1:31" x14ac:dyDescent="0.25">
      <c r="A36" t="s">
        <v>77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t="s">
        <v>340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t="s">
        <v>323</v>
      </c>
      <c r="B38" s="6">
        <v>261</v>
      </c>
      <c r="C38" s="6">
        <v>243</v>
      </c>
      <c r="D38" s="6">
        <v>288</v>
      </c>
      <c r="E38" s="6">
        <v>283</v>
      </c>
      <c r="F38" s="6">
        <v>1075</v>
      </c>
      <c r="G38" s="6">
        <v>1394</v>
      </c>
      <c r="H38" s="6">
        <v>344</v>
      </c>
      <c r="I38" s="6">
        <v>364.28</v>
      </c>
      <c r="J38" s="6">
        <v>351.84</v>
      </c>
      <c r="K38" s="6">
        <v>2313.9899999999998</v>
      </c>
      <c r="L38" s="6">
        <v>326.27</v>
      </c>
      <c r="M38" s="6">
        <v>361.43</v>
      </c>
      <c r="N38" s="6">
        <v>388.7</v>
      </c>
      <c r="O38" s="6">
        <v>374.43</v>
      </c>
      <c r="P38" s="6">
        <v>1426.52</v>
      </c>
      <c r="Q38" s="6">
        <v>370.76</v>
      </c>
      <c r="R38" s="6">
        <v>398.71</v>
      </c>
      <c r="S38" s="6">
        <v>416.39</v>
      </c>
      <c r="T38" s="6">
        <v>404.08</v>
      </c>
      <c r="U38" s="6">
        <v>1514.26</v>
      </c>
      <c r="V38" s="6">
        <v>393.01</v>
      </c>
      <c r="W38" s="6">
        <v>415.15</v>
      </c>
      <c r="X38" s="6">
        <v>438.05</v>
      </c>
      <c r="Y38" s="6">
        <v>433.08</v>
      </c>
      <c r="Z38" s="6">
        <v>1515.4</v>
      </c>
      <c r="AA38" s="6">
        <v>394.1</v>
      </c>
      <c r="AB38" s="6">
        <v>415.84</v>
      </c>
      <c r="AC38" s="6">
        <v>439.81</v>
      </c>
      <c r="AD38" s="6">
        <v>434.06</v>
      </c>
      <c r="AE38" s="6">
        <v>1479.98</v>
      </c>
    </row>
    <row r="39" spans="1:31" x14ac:dyDescent="0.25">
      <c r="A39" t="s">
        <v>341</v>
      </c>
      <c r="B39" s="6">
        <v>22</v>
      </c>
      <c r="C39" s="6">
        <v>26</v>
      </c>
      <c r="D39" s="6">
        <v>21</v>
      </c>
      <c r="E39" s="6">
        <v>16</v>
      </c>
      <c r="F39" s="6">
        <v>85</v>
      </c>
      <c r="G39" s="6">
        <v>19</v>
      </c>
      <c r="H39" s="6">
        <v>23</v>
      </c>
      <c r="I39" s="6">
        <v>20.7</v>
      </c>
      <c r="J39" s="6">
        <v>18.2</v>
      </c>
      <c r="K39" s="6">
        <v>80.900000000000006</v>
      </c>
      <c r="L39" s="6">
        <v>22.29</v>
      </c>
      <c r="M39" s="6">
        <v>26.54</v>
      </c>
      <c r="N39" s="6">
        <v>23.83</v>
      </c>
      <c r="O39" s="6">
        <v>21.48</v>
      </c>
      <c r="P39" s="6">
        <v>91.06</v>
      </c>
      <c r="Q39" s="6">
        <v>24.27</v>
      </c>
      <c r="R39" s="6">
        <v>29.16</v>
      </c>
      <c r="S39" s="6">
        <v>26.88</v>
      </c>
      <c r="T39" s="6">
        <v>23.96</v>
      </c>
      <c r="U39" s="6">
        <v>93.09</v>
      </c>
      <c r="V39" s="6">
        <v>27.2</v>
      </c>
      <c r="W39" s="6">
        <v>32.450000000000003</v>
      </c>
      <c r="X39" s="6">
        <v>31.02</v>
      </c>
      <c r="Y39" s="6">
        <v>25.64</v>
      </c>
      <c r="Z39" s="6">
        <v>97.17</v>
      </c>
      <c r="AA39" s="6">
        <v>28.16</v>
      </c>
      <c r="AB39" s="6">
        <v>33.880000000000003</v>
      </c>
      <c r="AC39" s="6">
        <v>32.65</v>
      </c>
      <c r="AD39" s="6">
        <v>26.69</v>
      </c>
      <c r="AE39" s="6">
        <v>100.19</v>
      </c>
    </row>
    <row r="40" spans="1:31" x14ac:dyDescent="0.25">
      <c r="A40" t="s">
        <v>342</v>
      </c>
      <c r="B40" s="6">
        <v>283</v>
      </c>
      <c r="C40" s="6">
        <v>269</v>
      </c>
      <c r="D40" s="6">
        <v>309</v>
      </c>
      <c r="E40" s="6">
        <v>299</v>
      </c>
      <c r="F40" s="6">
        <v>1160</v>
      </c>
      <c r="G40" s="6">
        <v>292</v>
      </c>
      <c r="H40" s="6">
        <v>367</v>
      </c>
      <c r="I40" s="6">
        <v>391.46</v>
      </c>
      <c r="J40" s="6">
        <v>366.83</v>
      </c>
      <c r="K40" s="6">
        <v>1417.29</v>
      </c>
      <c r="L40" s="6">
        <v>329.61</v>
      </c>
      <c r="M40" s="6">
        <v>383.7</v>
      </c>
      <c r="N40" s="6">
        <v>405.99</v>
      </c>
      <c r="O40" s="6">
        <v>383.61</v>
      </c>
      <c r="P40" s="6">
        <v>1502.9</v>
      </c>
      <c r="Q40" s="6">
        <v>381</v>
      </c>
      <c r="R40" s="6">
        <v>419.33</v>
      </c>
      <c r="S40" s="6">
        <v>431.33</v>
      </c>
      <c r="T40" s="6">
        <v>416.33</v>
      </c>
      <c r="U40" s="6">
        <v>1623.59</v>
      </c>
      <c r="V40" s="6">
        <v>406.5</v>
      </c>
      <c r="W40" s="6">
        <v>461.5</v>
      </c>
      <c r="X40" s="6">
        <v>472</v>
      </c>
      <c r="Y40" s="6">
        <v>462</v>
      </c>
      <c r="Z40" s="6">
        <v>1606.88</v>
      </c>
      <c r="AA40" s="6">
        <v>416.5</v>
      </c>
      <c r="AB40" s="6">
        <v>471.5</v>
      </c>
      <c r="AC40" s="6">
        <v>482</v>
      </c>
      <c r="AD40" s="6">
        <v>472</v>
      </c>
      <c r="AE40" s="6">
        <v>1599.51</v>
      </c>
    </row>
    <row r="41" spans="1:31" x14ac:dyDescent="0.25">
      <c r="A41" t="s">
        <v>343</v>
      </c>
      <c r="B41" s="7" t="s">
        <v>104</v>
      </c>
      <c r="C41" s="7" t="s">
        <v>104</v>
      </c>
      <c r="D41" s="7" t="s">
        <v>104</v>
      </c>
      <c r="E41" s="7" t="s">
        <v>104</v>
      </c>
      <c r="F41" s="7" t="s">
        <v>104</v>
      </c>
      <c r="G41" s="6">
        <v>1121</v>
      </c>
      <c r="H41" s="7" t="s">
        <v>104</v>
      </c>
      <c r="I41" s="7" t="s">
        <v>104</v>
      </c>
      <c r="J41" s="7" t="s">
        <v>104</v>
      </c>
      <c r="K41" s="6">
        <v>1121</v>
      </c>
      <c r="L41" s="7" t="s">
        <v>104</v>
      </c>
      <c r="M41" s="7" t="s">
        <v>104</v>
      </c>
      <c r="N41" s="7" t="s">
        <v>104</v>
      </c>
      <c r="O41" s="7" t="s">
        <v>104</v>
      </c>
      <c r="P41" s="7" t="s">
        <v>104</v>
      </c>
      <c r="Q41" s="7" t="s">
        <v>104</v>
      </c>
      <c r="R41" s="7" t="s">
        <v>104</v>
      </c>
      <c r="S41" s="7" t="s">
        <v>104</v>
      </c>
      <c r="T41" s="7" t="s">
        <v>104</v>
      </c>
      <c r="U41" s="7" t="s">
        <v>104</v>
      </c>
      <c r="V41" s="7" t="s">
        <v>104</v>
      </c>
      <c r="W41" s="7" t="s">
        <v>104</v>
      </c>
      <c r="X41" s="7" t="s">
        <v>104</v>
      </c>
      <c r="Y41" s="7" t="s">
        <v>104</v>
      </c>
      <c r="Z41" s="7" t="s">
        <v>104</v>
      </c>
      <c r="AA41" s="7" t="s">
        <v>104</v>
      </c>
      <c r="AB41" s="7" t="s">
        <v>104</v>
      </c>
      <c r="AC41" s="7" t="s">
        <v>104</v>
      </c>
      <c r="AD41" s="7" t="s">
        <v>104</v>
      </c>
      <c r="AE41" s="7" t="s">
        <v>104</v>
      </c>
    </row>
    <row r="42" spans="1:31" x14ac:dyDescent="0.25">
      <c r="A42" t="s">
        <v>344</v>
      </c>
      <c r="B42" s="6">
        <v>283</v>
      </c>
      <c r="C42" s="6">
        <v>269</v>
      </c>
      <c r="D42" s="6">
        <v>309</v>
      </c>
      <c r="E42" s="6">
        <v>299</v>
      </c>
      <c r="F42" s="6">
        <v>1160</v>
      </c>
      <c r="G42" s="6">
        <v>1413</v>
      </c>
      <c r="H42" s="6">
        <v>367</v>
      </c>
      <c r="I42" s="6">
        <v>385.16</v>
      </c>
      <c r="J42" s="6">
        <v>371.03</v>
      </c>
      <c r="K42" s="6">
        <v>2363.73</v>
      </c>
      <c r="L42" s="6">
        <v>349.86</v>
      </c>
      <c r="M42" s="6">
        <v>384.9</v>
      </c>
      <c r="N42" s="6">
        <v>406.63</v>
      </c>
      <c r="O42" s="6">
        <v>391.43</v>
      </c>
      <c r="P42" s="6">
        <v>1502.42</v>
      </c>
      <c r="Q42" s="6">
        <v>411.62</v>
      </c>
      <c r="R42" s="6">
        <v>438.81</v>
      </c>
      <c r="S42" s="6">
        <v>462.11</v>
      </c>
      <c r="T42" s="6">
        <v>448.76</v>
      </c>
      <c r="U42" s="6">
        <v>1591.79</v>
      </c>
      <c r="V42" s="6">
        <v>436.31</v>
      </c>
      <c r="W42" s="6">
        <v>469.07</v>
      </c>
      <c r="X42" s="6">
        <v>496.09</v>
      </c>
      <c r="Y42" s="6">
        <v>484.32</v>
      </c>
      <c r="Z42" s="6">
        <v>1591.84</v>
      </c>
      <c r="AA42" s="6">
        <v>437.94</v>
      </c>
      <c r="AB42" s="6">
        <v>470.65</v>
      </c>
      <c r="AC42" s="6">
        <v>499.22</v>
      </c>
      <c r="AD42" s="6">
        <v>485.89</v>
      </c>
      <c r="AE42" s="6">
        <v>1567.35</v>
      </c>
    </row>
    <row r="43" spans="1:31" x14ac:dyDescent="0.25">
      <c r="A43" t="s">
        <v>328</v>
      </c>
      <c r="B43" s="6">
        <v>169</v>
      </c>
      <c r="C43" s="6">
        <v>203</v>
      </c>
      <c r="D43" s="6">
        <v>270</v>
      </c>
      <c r="E43" s="6">
        <v>221</v>
      </c>
      <c r="F43" s="6">
        <v>875</v>
      </c>
      <c r="G43" s="6">
        <v>239</v>
      </c>
      <c r="H43" s="6">
        <v>215</v>
      </c>
      <c r="I43" s="6">
        <v>245.41</v>
      </c>
      <c r="J43" s="6">
        <v>227.44</v>
      </c>
      <c r="K43" s="6">
        <v>926.84</v>
      </c>
      <c r="L43" s="6">
        <v>226.09</v>
      </c>
      <c r="M43" s="6">
        <v>211.19</v>
      </c>
      <c r="N43" s="6">
        <v>243.83</v>
      </c>
      <c r="O43" s="6">
        <v>214.23</v>
      </c>
      <c r="P43" s="6">
        <v>886.13</v>
      </c>
      <c r="Q43" s="6">
        <v>190.31</v>
      </c>
      <c r="R43" s="6">
        <v>173.72</v>
      </c>
      <c r="S43" s="6">
        <v>201.89</v>
      </c>
      <c r="T43" s="6">
        <v>175.57</v>
      </c>
      <c r="U43" s="6">
        <v>766.14</v>
      </c>
      <c r="V43" s="6">
        <v>159.58000000000001</v>
      </c>
      <c r="W43" s="6">
        <v>145.87</v>
      </c>
      <c r="X43" s="6">
        <v>162.15</v>
      </c>
      <c r="Y43" s="6">
        <v>145.58000000000001</v>
      </c>
      <c r="Z43" s="6">
        <v>625.77</v>
      </c>
      <c r="AA43" s="6">
        <v>145.43</v>
      </c>
      <c r="AB43" s="6">
        <v>131.91999999999999</v>
      </c>
      <c r="AC43" s="6">
        <v>148</v>
      </c>
      <c r="AD43" s="6">
        <v>131.55000000000001</v>
      </c>
      <c r="AE43" s="6">
        <v>552.16999999999996</v>
      </c>
    </row>
    <row r="44" spans="1:31" x14ac:dyDescent="0.25">
      <c r="A44" t="s">
        <v>345</v>
      </c>
      <c r="B44" s="6">
        <v>52</v>
      </c>
      <c r="C44" s="6">
        <v>37</v>
      </c>
      <c r="D44" s="6">
        <v>34</v>
      </c>
      <c r="E44" s="6">
        <v>43</v>
      </c>
      <c r="F44" s="6">
        <v>166</v>
      </c>
      <c r="G44" s="6">
        <v>53</v>
      </c>
      <c r="H44" s="6">
        <v>64</v>
      </c>
      <c r="I44" s="6">
        <v>55.39</v>
      </c>
      <c r="J44" s="6">
        <v>53.88</v>
      </c>
      <c r="K44" s="6">
        <v>226.27</v>
      </c>
      <c r="L44" s="6">
        <v>58.56</v>
      </c>
      <c r="M44" s="6">
        <v>60.67</v>
      </c>
      <c r="N44" s="6">
        <v>53.11</v>
      </c>
      <c r="O44" s="6">
        <v>57</v>
      </c>
      <c r="P44" s="6">
        <v>225.79</v>
      </c>
      <c r="Q44" s="6">
        <v>55.4</v>
      </c>
      <c r="R44" s="6">
        <v>61</v>
      </c>
      <c r="S44" s="6">
        <v>49.4</v>
      </c>
      <c r="T44" s="6">
        <v>52.6</v>
      </c>
      <c r="U44" s="6">
        <v>209.83</v>
      </c>
      <c r="V44" s="6">
        <v>50.17</v>
      </c>
      <c r="W44" s="6">
        <v>57.17</v>
      </c>
      <c r="X44" s="6">
        <v>42.67</v>
      </c>
      <c r="Y44" s="6">
        <v>46.67</v>
      </c>
      <c r="Z44" s="6">
        <v>186.25</v>
      </c>
      <c r="AA44" s="6">
        <v>45.01</v>
      </c>
      <c r="AB44" s="6">
        <v>52.01</v>
      </c>
      <c r="AC44" s="6">
        <v>37.51</v>
      </c>
      <c r="AD44" s="6">
        <v>41.51</v>
      </c>
      <c r="AE44" s="6">
        <v>173.44</v>
      </c>
    </row>
    <row r="45" spans="1:31" x14ac:dyDescent="0.25">
      <c r="A45" t="s">
        <v>346</v>
      </c>
      <c r="B45" s="6">
        <v>221</v>
      </c>
      <c r="C45" s="6">
        <v>240</v>
      </c>
      <c r="D45" s="6">
        <v>304</v>
      </c>
      <c r="E45" s="6">
        <v>264</v>
      </c>
      <c r="F45" s="6">
        <v>1029</v>
      </c>
      <c r="G45" s="6">
        <v>292</v>
      </c>
      <c r="H45" s="6">
        <v>279</v>
      </c>
      <c r="I45" s="6">
        <v>296.77</v>
      </c>
      <c r="J45" s="6">
        <v>284.07</v>
      </c>
      <c r="K45" s="6">
        <v>1151.8399999999999</v>
      </c>
      <c r="L45" s="6">
        <v>287.68</v>
      </c>
      <c r="M45" s="6">
        <v>275.5</v>
      </c>
      <c r="N45" s="6">
        <v>298.56</v>
      </c>
      <c r="O45" s="6">
        <v>277.19</v>
      </c>
      <c r="P45" s="6">
        <v>1120.31</v>
      </c>
      <c r="Q45" s="6">
        <v>249.14</v>
      </c>
      <c r="R45" s="6">
        <v>236.81</v>
      </c>
      <c r="S45" s="6">
        <v>250.72</v>
      </c>
      <c r="T45" s="6">
        <v>228.21</v>
      </c>
      <c r="U45" s="6">
        <v>974.64</v>
      </c>
      <c r="V45" s="6">
        <v>230.9</v>
      </c>
      <c r="W45" s="6">
        <v>220.76</v>
      </c>
      <c r="X45" s="6">
        <v>226.62</v>
      </c>
      <c r="Y45" s="6">
        <v>209.9</v>
      </c>
      <c r="Z45" s="6">
        <v>830.22</v>
      </c>
      <c r="AA45" s="6">
        <v>208.05</v>
      </c>
      <c r="AB45" s="6">
        <v>198.16</v>
      </c>
      <c r="AC45" s="6">
        <v>203.75</v>
      </c>
      <c r="AD45" s="6">
        <v>187.2</v>
      </c>
      <c r="AE45" s="6">
        <v>736.79</v>
      </c>
    </row>
    <row r="46" spans="1:31" x14ac:dyDescent="0.25">
      <c r="A46" t="s">
        <v>347</v>
      </c>
      <c r="B46" s="6">
        <v>516</v>
      </c>
      <c r="C46" s="6">
        <v>509</v>
      </c>
      <c r="D46" s="6">
        <v>613</v>
      </c>
      <c r="E46" s="6">
        <v>563</v>
      </c>
      <c r="F46" s="6">
        <v>2201</v>
      </c>
      <c r="G46" s="6">
        <v>584</v>
      </c>
      <c r="H46" s="6">
        <v>646</v>
      </c>
      <c r="I46" s="6">
        <v>688.02</v>
      </c>
      <c r="J46" s="6">
        <v>653.61</v>
      </c>
      <c r="K46" s="6">
        <v>2571.63</v>
      </c>
      <c r="L46" s="6">
        <v>636.45000000000005</v>
      </c>
      <c r="M46" s="6">
        <v>656.48</v>
      </c>
      <c r="N46" s="6">
        <v>711.05</v>
      </c>
      <c r="O46" s="6">
        <v>663.72</v>
      </c>
      <c r="P46" s="6">
        <v>2705.87</v>
      </c>
      <c r="Q46" s="6">
        <v>664.16</v>
      </c>
      <c r="R46" s="6">
        <v>680.92</v>
      </c>
      <c r="S46" s="6">
        <v>726.54</v>
      </c>
      <c r="T46" s="6">
        <v>683.97</v>
      </c>
      <c r="U46" s="6">
        <v>2770.7</v>
      </c>
      <c r="V46" s="6">
        <v>678.71</v>
      </c>
      <c r="W46" s="6">
        <v>705.97</v>
      </c>
      <c r="X46" s="6">
        <v>748.38</v>
      </c>
      <c r="Y46" s="6">
        <v>714</v>
      </c>
      <c r="Z46" s="6">
        <v>2686.96</v>
      </c>
      <c r="AA46" s="6">
        <v>663.06</v>
      </c>
      <c r="AB46" s="6">
        <v>690.04</v>
      </c>
      <c r="AC46" s="6">
        <v>733.86</v>
      </c>
      <c r="AD46" s="6">
        <v>698.33</v>
      </c>
      <c r="AE46" s="6">
        <v>2606.08</v>
      </c>
    </row>
    <row r="47" spans="1:31" x14ac:dyDescent="0.25">
      <c r="A47" t="s">
        <v>348</v>
      </c>
      <c r="B47" s="6">
        <v>-12</v>
      </c>
      <c r="C47" s="7" t="s">
        <v>104</v>
      </c>
      <c r="D47" s="7" t="s">
        <v>104</v>
      </c>
      <c r="E47" s="7" t="s">
        <v>104</v>
      </c>
      <c r="F47" s="6">
        <v>-12</v>
      </c>
      <c r="G47" s="6">
        <v>1121</v>
      </c>
      <c r="H47" s="7" t="s">
        <v>104</v>
      </c>
      <c r="I47" s="7" t="s">
        <v>104</v>
      </c>
      <c r="J47" s="7" t="s">
        <v>104</v>
      </c>
      <c r="K47" s="6">
        <v>1121</v>
      </c>
      <c r="L47" s="7" t="s">
        <v>104</v>
      </c>
      <c r="M47" s="7" t="s">
        <v>104</v>
      </c>
      <c r="N47" s="7" t="s">
        <v>104</v>
      </c>
      <c r="O47" s="7" t="s">
        <v>104</v>
      </c>
      <c r="P47" s="7" t="s">
        <v>104</v>
      </c>
      <c r="Q47" s="7" t="s">
        <v>104</v>
      </c>
      <c r="R47" s="7" t="s">
        <v>104</v>
      </c>
      <c r="S47" s="7" t="s">
        <v>104</v>
      </c>
      <c r="T47" s="7" t="s">
        <v>104</v>
      </c>
      <c r="U47" s="7" t="s">
        <v>104</v>
      </c>
      <c r="V47" s="7" t="s">
        <v>104</v>
      </c>
      <c r="W47" s="7" t="s">
        <v>104</v>
      </c>
      <c r="X47" s="7" t="s">
        <v>104</v>
      </c>
      <c r="Y47" s="7" t="s">
        <v>104</v>
      </c>
      <c r="Z47" s="7" t="s">
        <v>104</v>
      </c>
      <c r="AA47" s="7" t="s">
        <v>104</v>
      </c>
      <c r="AB47" s="7" t="s">
        <v>104</v>
      </c>
      <c r="AC47" s="7" t="s">
        <v>104</v>
      </c>
      <c r="AD47" s="7" t="s">
        <v>104</v>
      </c>
      <c r="AE47" s="7" t="s">
        <v>104</v>
      </c>
    </row>
    <row r="48" spans="1:31" x14ac:dyDescent="0.25">
      <c r="A48" t="s">
        <v>349</v>
      </c>
      <c r="B48" s="6">
        <v>504</v>
      </c>
      <c r="C48" s="6">
        <v>509</v>
      </c>
      <c r="D48" s="6">
        <v>613</v>
      </c>
      <c r="E48" s="6">
        <v>563</v>
      </c>
      <c r="F48" s="6">
        <v>2189</v>
      </c>
      <c r="G48" s="6">
        <v>1705</v>
      </c>
      <c r="H48" s="6">
        <v>646</v>
      </c>
      <c r="I48" s="6">
        <v>686.26</v>
      </c>
      <c r="J48" s="6">
        <v>656.36</v>
      </c>
      <c r="K48" s="6">
        <v>3693.62</v>
      </c>
      <c r="L48" s="6">
        <v>637.54</v>
      </c>
      <c r="M48" s="6">
        <v>660.4</v>
      </c>
      <c r="N48" s="6">
        <v>705.19</v>
      </c>
      <c r="O48" s="6">
        <v>668.63</v>
      </c>
      <c r="P48" s="6">
        <v>2622.72</v>
      </c>
      <c r="Q48" s="6">
        <v>660.76</v>
      </c>
      <c r="R48" s="6">
        <v>675.61</v>
      </c>
      <c r="S48" s="6">
        <v>712.83</v>
      </c>
      <c r="T48" s="6">
        <v>676.97</v>
      </c>
      <c r="U48" s="6">
        <v>2566.4299999999998</v>
      </c>
      <c r="V48" s="6">
        <v>667.22</v>
      </c>
      <c r="W48" s="6">
        <v>689.82</v>
      </c>
      <c r="X48" s="6">
        <v>722.71</v>
      </c>
      <c r="Y48" s="6">
        <v>694.22</v>
      </c>
      <c r="Z48" s="6">
        <v>2422.06</v>
      </c>
      <c r="AA48" s="6">
        <v>645.99</v>
      </c>
      <c r="AB48" s="6">
        <v>668.82</v>
      </c>
      <c r="AC48" s="6">
        <v>702.97</v>
      </c>
      <c r="AD48" s="6">
        <v>673.09</v>
      </c>
      <c r="AE48" s="6">
        <v>2304.14</v>
      </c>
    </row>
    <row r="49" spans="1:31" x14ac:dyDescent="0.25">
      <c r="A49" t="s">
        <v>77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25">
      <c r="A50" t="s">
        <v>350</v>
      </c>
      <c r="B50" s="6">
        <v>9592</v>
      </c>
      <c r="C50" s="6">
        <v>9835</v>
      </c>
      <c r="D50" s="6">
        <v>10123</v>
      </c>
      <c r="E50" s="6">
        <v>10406</v>
      </c>
      <c r="F50" s="6">
        <v>10406</v>
      </c>
      <c r="G50" s="6">
        <v>11800</v>
      </c>
      <c r="H50" s="6">
        <v>12144</v>
      </c>
      <c r="I50" s="6">
        <v>12508.28</v>
      </c>
      <c r="J50" s="6">
        <v>12860.12</v>
      </c>
      <c r="K50" s="6">
        <v>12860.12</v>
      </c>
      <c r="L50" s="6">
        <v>13193.69</v>
      </c>
      <c r="M50" s="6">
        <v>13555.12</v>
      </c>
      <c r="N50" s="6">
        <v>13943.81</v>
      </c>
      <c r="O50" s="6">
        <v>14318.24</v>
      </c>
      <c r="P50" s="6">
        <v>14292.38</v>
      </c>
      <c r="Q50" s="6">
        <v>14697.09</v>
      </c>
      <c r="R50" s="6">
        <v>15095.8</v>
      </c>
      <c r="S50" s="6">
        <v>15512.19</v>
      </c>
      <c r="T50" s="6">
        <v>15916.27</v>
      </c>
      <c r="U50" s="6">
        <v>15813.32</v>
      </c>
      <c r="V50" s="6">
        <v>16394.439999999999</v>
      </c>
      <c r="W50" s="6">
        <v>16809.59</v>
      </c>
      <c r="X50" s="6">
        <v>17247.64</v>
      </c>
      <c r="Y50" s="6">
        <v>17680.72</v>
      </c>
      <c r="Z50" s="6">
        <v>17347.04</v>
      </c>
      <c r="AA50" s="6">
        <v>18074.82</v>
      </c>
      <c r="AB50" s="6">
        <v>18490.66</v>
      </c>
      <c r="AC50" s="6">
        <v>18930.47</v>
      </c>
      <c r="AD50" s="6">
        <v>19364.53</v>
      </c>
      <c r="AE50" s="6">
        <v>18827.02</v>
      </c>
    </row>
    <row r="51" spans="1:31" x14ac:dyDescent="0.25">
      <c r="A51" t="s">
        <v>351</v>
      </c>
      <c r="B51" s="6">
        <v>619</v>
      </c>
      <c r="C51" s="6">
        <v>645</v>
      </c>
      <c r="D51" s="6">
        <v>666</v>
      </c>
      <c r="E51" s="6">
        <v>682</v>
      </c>
      <c r="F51" s="6">
        <v>682</v>
      </c>
      <c r="G51" s="6">
        <v>701</v>
      </c>
      <c r="H51" s="6">
        <v>724</v>
      </c>
      <c r="I51" s="6">
        <v>744.76</v>
      </c>
      <c r="J51" s="6">
        <v>762.81</v>
      </c>
      <c r="K51" s="6">
        <v>762.81</v>
      </c>
      <c r="L51" s="6">
        <v>788.29</v>
      </c>
      <c r="M51" s="6">
        <v>814.83</v>
      </c>
      <c r="N51" s="6">
        <v>838.66</v>
      </c>
      <c r="O51" s="6">
        <v>860.14</v>
      </c>
      <c r="P51" s="6">
        <v>853.87</v>
      </c>
      <c r="Q51" s="6">
        <v>885.6</v>
      </c>
      <c r="R51" s="6">
        <v>914.76</v>
      </c>
      <c r="S51" s="6">
        <v>941.64</v>
      </c>
      <c r="T51" s="6">
        <v>965.6</v>
      </c>
      <c r="U51" s="6">
        <v>945.94</v>
      </c>
      <c r="V51" s="6">
        <v>997.45</v>
      </c>
      <c r="W51" s="6">
        <v>1029.9000000000001</v>
      </c>
      <c r="X51" s="6">
        <v>1060.93</v>
      </c>
      <c r="Y51" s="6">
        <v>1086.57</v>
      </c>
      <c r="Z51" s="6">
        <v>1043.01</v>
      </c>
      <c r="AA51" s="6">
        <v>1114.72</v>
      </c>
      <c r="AB51" s="6">
        <v>1148.5999999999999</v>
      </c>
      <c r="AC51" s="6">
        <v>1181.25</v>
      </c>
      <c r="AD51" s="6">
        <v>1207.94</v>
      </c>
      <c r="AE51" s="6">
        <v>1143.2</v>
      </c>
    </row>
    <row r="52" spans="1:31" x14ac:dyDescent="0.25">
      <c r="A52" t="s">
        <v>352</v>
      </c>
      <c r="B52" s="6">
        <v>10211</v>
      </c>
      <c r="C52" s="6">
        <v>10480</v>
      </c>
      <c r="D52" s="6">
        <v>10789</v>
      </c>
      <c r="E52" s="6">
        <v>11088</v>
      </c>
      <c r="F52" s="6">
        <v>11088</v>
      </c>
      <c r="G52" s="6">
        <v>12501</v>
      </c>
      <c r="H52" s="6">
        <v>12868</v>
      </c>
      <c r="I52" s="6">
        <v>13257.75</v>
      </c>
      <c r="J52" s="6">
        <v>13631.37</v>
      </c>
      <c r="K52" s="6">
        <v>13631.37</v>
      </c>
      <c r="L52" s="6">
        <v>13987.4</v>
      </c>
      <c r="M52" s="6">
        <v>14372.31</v>
      </c>
      <c r="N52" s="6">
        <v>14778.94</v>
      </c>
      <c r="O52" s="6">
        <v>15170.37</v>
      </c>
      <c r="P52" s="6">
        <v>15133.79</v>
      </c>
      <c r="Q52" s="6">
        <v>15671.5</v>
      </c>
      <c r="R52" s="6">
        <v>16110.3</v>
      </c>
      <c r="S52" s="6">
        <v>16572.419999999998</v>
      </c>
      <c r="T52" s="6">
        <v>17021.18</v>
      </c>
      <c r="U52" s="6">
        <v>16731.919999999998</v>
      </c>
      <c r="V52" s="6">
        <v>17556.78</v>
      </c>
      <c r="W52" s="6">
        <v>18025.849999999999</v>
      </c>
      <c r="X52" s="6">
        <v>18521.939999999999</v>
      </c>
      <c r="Y52" s="6">
        <v>19006.259999999998</v>
      </c>
      <c r="Z52" s="6">
        <v>18334.55</v>
      </c>
      <c r="AA52" s="6">
        <v>19444.2</v>
      </c>
      <c r="AB52" s="6">
        <v>19914.849999999999</v>
      </c>
      <c r="AC52" s="6">
        <v>20414.07</v>
      </c>
      <c r="AD52" s="6">
        <v>20899.97</v>
      </c>
      <c r="AE52" s="6">
        <v>19901.900000000001</v>
      </c>
    </row>
    <row r="53" spans="1:31" x14ac:dyDescent="0.25">
      <c r="A53" t="s">
        <v>353</v>
      </c>
      <c r="B53" s="6">
        <v>803</v>
      </c>
      <c r="C53" s="6">
        <v>1006</v>
      </c>
      <c r="D53" s="6">
        <v>1276</v>
      </c>
      <c r="E53" s="6">
        <v>1497</v>
      </c>
      <c r="F53" s="6">
        <v>1497</v>
      </c>
      <c r="G53" s="6">
        <v>1736</v>
      </c>
      <c r="H53" s="6">
        <v>1951</v>
      </c>
      <c r="I53" s="6">
        <v>2196.41</v>
      </c>
      <c r="J53" s="6">
        <v>2423.84</v>
      </c>
      <c r="K53" s="6">
        <v>2423.84</v>
      </c>
      <c r="L53" s="6">
        <v>2646.4</v>
      </c>
      <c r="M53" s="6">
        <v>2857.59</v>
      </c>
      <c r="N53" s="6">
        <v>3101.42</v>
      </c>
      <c r="O53" s="6">
        <v>3315.65</v>
      </c>
      <c r="P53" s="6">
        <v>3306.16</v>
      </c>
      <c r="Q53" s="6">
        <v>3432.67</v>
      </c>
      <c r="R53" s="6">
        <v>3606.4</v>
      </c>
      <c r="S53" s="6">
        <v>3808.28</v>
      </c>
      <c r="T53" s="6">
        <v>3983.86</v>
      </c>
      <c r="U53" s="6">
        <v>4044.74</v>
      </c>
      <c r="V53" s="6">
        <v>4012.27</v>
      </c>
      <c r="W53" s="6">
        <v>4158.1400000000003</v>
      </c>
      <c r="X53" s="6">
        <v>4320.29</v>
      </c>
      <c r="Y53" s="6">
        <v>4465.88</v>
      </c>
      <c r="Z53" s="6">
        <v>4626.01</v>
      </c>
      <c r="AA53" s="6">
        <v>4611.3100000000004</v>
      </c>
      <c r="AB53" s="6">
        <v>4743.2299999999996</v>
      </c>
      <c r="AC53" s="6">
        <v>4891.2299999999996</v>
      </c>
      <c r="AD53" s="6">
        <v>5022.78</v>
      </c>
      <c r="AE53" s="6">
        <v>5178.17</v>
      </c>
    </row>
    <row r="54" spans="1:31" x14ac:dyDescent="0.25">
      <c r="A54" t="s">
        <v>354</v>
      </c>
      <c r="B54" s="6">
        <v>429</v>
      </c>
      <c r="C54" s="6">
        <v>466</v>
      </c>
      <c r="D54" s="6">
        <v>500</v>
      </c>
      <c r="E54" s="6">
        <v>543</v>
      </c>
      <c r="F54" s="6">
        <v>543</v>
      </c>
      <c r="G54" s="6">
        <v>596</v>
      </c>
      <c r="H54" s="6">
        <v>660</v>
      </c>
      <c r="I54" s="6">
        <v>715.39</v>
      </c>
      <c r="J54" s="6">
        <v>769.27</v>
      </c>
      <c r="K54" s="6">
        <v>769.27</v>
      </c>
      <c r="L54" s="6">
        <v>829.22</v>
      </c>
      <c r="M54" s="6">
        <v>889.89</v>
      </c>
      <c r="N54" s="6">
        <v>943</v>
      </c>
      <c r="O54" s="6">
        <v>1000</v>
      </c>
      <c r="P54" s="6">
        <v>995.06</v>
      </c>
      <c r="Q54" s="6">
        <v>1060.2</v>
      </c>
      <c r="R54" s="6">
        <v>1121.2</v>
      </c>
      <c r="S54" s="6">
        <v>1170.5999999999999</v>
      </c>
      <c r="T54" s="6">
        <v>1223.2</v>
      </c>
      <c r="U54" s="6">
        <v>1202.6199999999999</v>
      </c>
      <c r="V54" s="6">
        <v>1270.42</v>
      </c>
      <c r="W54" s="6">
        <v>1327.6</v>
      </c>
      <c r="X54" s="6">
        <v>1370.28</v>
      </c>
      <c r="Y54" s="6">
        <v>1416.95</v>
      </c>
      <c r="Z54" s="6">
        <v>1385.64</v>
      </c>
      <c r="AA54" s="6">
        <v>1461.96</v>
      </c>
      <c r="AB54" s="6">
        <v>1513.96</v>
      </c>
      <c r="AC54" s="6">
        <v>1551.47</v>
      </c>
      <c r="AD54" s="6">
        <v>1592.98</v>
      </c>
      <c r="AE54" s="6">
        <v>1559.08</v>
      </c>
    </row>
    <row r="55" spans="1:31" x14ac:dyDescent="0.25">
      <c r="A55" t="s">
        <v>355</v>
      </c>
      <c r="B55" s="6">
        <v>1232</v>
      </c>
      <c r="C55" s="6">
        <v>1472</v>
      </c>
      <c r="D55" s="6">
        <v>1776</v>
      </c>
      <c r="E55" s="6">
        <v>2040</v>
      </c>
      <c r="F55" s="6">
        <v>2040</v>
      </c>
      <c r="G55" s="6">
        <v>2332</v>
      </c>
      <c r="H55" s="6">
        <v>2611</v>
      </c>
      <c r="I55" s="6">
        <v>2907.5</v>
      </c>
      <c r="J55" s="6">
        <v>3190.25</v>
      </c>
      <c r="K55" s="6">
        <v>3190.25</v>
      </c>
      <c r="L55" s="6">
        <v>3480.01</v>
      </c>
      <c r="M55" s="6">
        <v>3755.51</v>
      </c>
      <c r="N55" s="6">
        <v>4054.07</v>
      </c>
      <c r="O55" s="6">
        <v>4331.26</v>
      </c>
      <c r="P55" s="6">
        <v>4310.5600000000004</v>
      </c>
      <c r="Q55" s="6">
        <v>4502.1499999999996</v>
      </c>
      <c r="R55" s="6">
        <v>4738.96</v>
      </c>
      <c r="S55" s="6">
        <v>4989.68</v>
      </c>
      <c r="T55" s="6">
        <v>5217.8900000000003</v>
      </c>
      <c r="U55" s="6">
        <v>5248.7</v>
      </c>
      <c r="V55" s="6">
        <v>5419.27</v>
      </c>
      <c r="W55" s="6">
        <v>5640.02</v>
      </c>
      <c r="X55" s="6">
        <v>5866.64</v>
      </c>
      <c r="Y55" s="6">
        <v>6076.54</v>
      </c>
      <c r="Z55" s="6">
        <v>6070.19</v>
      </c>
      <c r="AA55" s="6">
        <v>6284.59</v>
      </c>
      <c r="AB55" s="6">
        <v>6482.76</v>
      </c>
      <c r="AC55" s="6">
        <v>6686.51</v>
      </c>
      <c r="AD55" s="6">
        <v>6873.71</v>
      </c>
      <c r="AE55" s="6">
        <v>6806.99</v>
      </c>
    </row>
    <row r="56" spans="1:31" x14ac:dyDescent="0.25">
      <c r="A56" t="s">
        <v>356</v>
      </c>
      <c r="B56" s="6">
        <v>11443</v>
      </c>
      <c r="C56" s="6">
        <v>11952</v>
      </c>
      <c r="D56" s="6">
        <v>12565</v>
      </c>
      <c r="E56" s="6">
        <v>13128</v>
      </c>
      <c r="F56" s="6">
        <v>13128</v>
      </c>
      <c r="G56" s="6">
        <v>14833</v>
      </c>
      <c r="H56" s="6">
        <v>15479</v>
      </c>
      <c r="I56" s="6">
        <v>16165.26</v>
      </c>
      <c r="J56" s="6">
        <v>16821.62</v>
      </c>
      <c r="K56" s="6">
        <v>16821.62</v>
      </c>
      <c r="L56" s="6">
        <v>17467.41</v>
      </c>
      <c r="M56" s="6">
        <v>18127.82</v>
      </c>
      <c r="N56" s="6">
        <v>18833.009999999998</v>
      </c>
      <c r="O56" s="6">
        <v>19501.63</v>
      </c>
      <c r="P56" s="6">
        <v>19444.34</v>
      </c>
      <c r="Q56" s="6">
        <v>20173.650000000001</v>
      </c>
      <c r="R56" s="6">
        <v>20849.259999999998</v>
      </c>
      <c r="S56" s="6">
        <v>21562.09</v>
      </c>
      <c r="T56" s="6">
        <v>22239.07</v>
      </c>
      <c r="U56" s="6">
        <v>21980.62</v>
      </c>
      <c r="V56" s="6">
        <v>22976.05</v>
      </c>
      <c r="W56" s="6">
        <v>23665.87</v>
      </c>
      <c r="X56" s="6">
        <v>24388.58</v>
      </c>
      <c r="Y56" s="6">
        <v>25082.799999999999</v>
      </c>
      <c r="Z56" s="6">
        <v>24404.74</v>
      </c>
      <c r="AA56" s="6">
        <v>25728.79</v>
      </c>
      <c r="AB56" s="6">
        <v>26397.61</v>
      </c>
      <c r="AC56" s="6">
        <v>27100.58</v>
      </c>
      <c r="AD56" s="6">
        <v>27773.67</v>
      </c>
      <c r="AE56" s="6">
        <v>26708.880000000001</v>
      </c>
    </row>
    <row r="57" spans="1:31" x14ac:dyDescent="0.25">
      <c r="A57" t="s">
        <v>77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x14ac:dyDescent="0.25">
      <c r="A58" t="s">
        <v>351</v>
      </c>
      <c r="B58" s="6">
        <v>619</v>
      </c>
      <c r="C58" s="6">
        <v>645</v>
      </c>
      <c r="D58" s="6">
        <v>666</v>
      </c>
      <c r="E58" s="6">
        <v>682</v>
      </c>
      <c r="F58" s="6">
        <v>682</v>
      </c>
      <c r="G58" s="6">
        <v>701</v>
      </c>
      <c r="H58" s="6">
        <v>724</v>
      </c>
      <c r="I58" s="6">
        <v>744.76</v>
      </c>
      <c r="J58" s="6">
        <v>762.81</v>
      </c>
      <c r="K58" s="6">
        <v>762.81</v>
      </c>
      <c r="L58" s="6">
        <v>788.29</v>
      </c>
      <c r="M58" s="6">
        <v>814.83</v>
      </c>
      <c r="N58" s="6">
        <v>838.66</v>
      </c>
      <c r="O58" s="6">
        <v>860.14</v>
      </c>
      <c r="P58" s="6">
        <v>853.87</v>
      </c>
      <c r="Q58" s="6">
        <v>885.6</v>
      </c>
      <c r="R58" s="6">
        <v>914.76</v>
      </c>
      <c r="S58" s="6">
        <v>941.64</v>
      </c>
      <c r="T58" s="6">
        <v>965.6</v>
      </c>
      <c r="U58" s="6">
        <v>945.94</v>
      </c>
      <c r="V58" s="6">
        <v>997.45</v>
      </c>
      <c r="W58" s="6">
        <v>1029.9000000000001</v>
      </c>
      <c r="X58" s="6">
        <v>1060.93</v>
      </c>
      <c r="Y58" s="6">
        <v>1086.57</v>
      </c>
      <c r="Z58" s="6">
        <v>1043.01</v>
      </c>
      <c r="AA58" s="6">
        <v>1114.72</v>
      </c>
      <c r="AB58" s="6">
        <v>1148.5999999999999</v>
      </c>
      <c r="AC58" s="6">
        <v>1181.25</v>
      </c>
      <c r="AD58" s="6">
        <v>1207.94</v>
      </c>
      <c r="AE58" s="6">
        <v>1143.2</v>
      </c>
    </row>
    <row r="59" spans="1:31" x14ac:dyDescent="0.25">
      <c r="A59" t="s">
        <v>354</v>
      </c>
      <c r="B59" s="6">
        <v>429</v>
      </c>
      <c r="C59" s="6">
        <v>466</v>
      </c>
      <c r="D59" s="6">
        <v>500</v>
      </c>
      <c r="E59" s="6">
        <v>543</v>
      </c>
      <c r="F59" s="6">
        <v>543</v>
      </c>
      <c r="G59" s="6">
        <v>596</v>
      </c>
      <c r="H59" s="6">
        <v>660</v>
      </c>
      <c r="I59" s="6">
        <v>715.39</v>
      </c>
      <c r="J59" s="6">
        <v>769.27</v>
      </c>
      <c r="K59" s="6">
        <v>769.27</v>
      </c>
      <c r="L59" s="6">
        <v>829.22</v>
      </c>
      <c r="M59" s="6">
        <v>889.89</v>
      </c>
      <c r="N59" s="6">
        <v>943</v>
      </c>
      <c r="O59" s="6">
        <v>1000</v>
      </c>
      <c r="P59" s="6">
        <v>995.06</v>
      </c>
      <c r="Q59" s="6">
        <v>1060.2</v>
      </c>
      <c r="R59" s="6">
        <v>1121.2</v>
      </c>
      <c r="S59" s="6">
        <v>1170.5999999999999</v>
      </c>
      <c r="T59" s="6">
        <v>1223.2</v>
      </c>
      <c r="U59" s="6">
        <v>1202.6199999999999</v>
      </c>
      <c r="V59" s="6">
        <v>1270.42</v>
      </c>
      <c r="W59" s="6">
        <v>1327.6</v>
      </c>
      <c r="X59" s="6">
        <v>1370.28</v>
      </c>
      <c r="Y59" s="6">
        <v>1416.95</v>
      </c>
      <c r="Z59" s="6">
        <v>1385.64</v>
      </c>
      <c r="AA59" s="6">
        <v>1461.96</v>
      </c>
      <c r="AB59" s="6">
        <v>1513.96</v>
      </c>
      <c r="AC59" s="6">
        <v>1551.47</v>
      </c>
      <c r="AD59" s="6">
        <v>1592.98</v>
      </c>
      <c r="AE59" s="6">
        <v>1559.08</v>
      </c>
    </row>
    <row r="60" spans="1:31" x14ac:dyDescent="0.25">
      <c r="A60" t="s">
        <v>357</v>
      </c>
      <c r="B60" s="6">
        <v>1048</v>
      </c>
      <c r="C60" s="6">
        <v>1111</v>
      </c>
      <c r="D60" s="6">
        <v>1166</v>
      </c>
      <c r="E60" s="6">
        <v>1225</v>
      </c>
      <c r="F60" s="6">
        <v>1225</v>
      </c>
      <c r="G60" s="6">
        <v>1297</v>
      </c>
      <c r="H60" s="6">
        <v>1384</v>
      </c>
      <c r="I60" s="6">
        <v>1460.15</v>
      </c>
      <c r="J60" s="6">
        <v>1532.08</v>
      </c>
      <c r="K60" s="6">
        <v>1532.08</v>
      </c>
      <c r="L60" s="6">
        <v>1617.51</v>
      </c>
      <c r="M60" s="6">
        <v>1704.72</v>
      </c>
      <c r="N60" s="6">
        <v>1781.66</v>
      </c>
      <c r="O60" s="6">
        <v>1860.14</v>
      </c>
      <c r="P60" s="6">
        <v>1848.93</v>
      </c>
      <c r="Q60" s="6">
        <v>1945.8</v>
      </c>
      <c r="R60" s="6">
        <v>2035.96</v>
      </c>
      <c r="S60" s="6">
        <v>2112.2399999999998</v>
      </c>
      <c r="T60" s="6">
        <v>2188.8000000000002</v>
      </c>
      <c r="U60" s="6">
        <v>2148.5700000000002</v>
      </c>
      <c r="V60" s="6">
        <v>2267.88</v>
      </c>
      <c r="W60" s="6">
        <v>2357.5</v>
      </c>
      <c r="X60" s="6">
        <v>2431.1999999999998</v>
      </c>
      <c r="Y60" s="6">
        <v>2503.52</v>
      </c>
      <c r="Z60" s="6">
        <v>2428.64</v>
      </c>
      <c r="AA60" s="6">
        <v>2576.6799999999998</v>
      </c>
      <c r="AB60" s="6">
        <v>2662.57</v>
      </c>
      <c r="AC60" s="6">
        <v>2732.73</v>
      </c>
      <c r="AD60" s="6">
        <v>2800.92</v>
      </c>
      <c r="AE60" s="6">
        <v>2702.28</v>
      </c>
    </row>
    <row r="61" spans="1:31" x14ac:dyDescent="0.25">
      <c r="A61" t="s">
        <v>358</v>
      </c>
      <c r="B61" s="6">
        <v>578.64</v>
      </c>
      <c r="C61" s="6">
        <v>546.24</v>
      </c>
      <c r="D61" s="6">
        <v>536.38</v>
      </c>
      <c r="E61" s="6">
        <v>526.14</v>
      </c>
      <c r="F61" s="6">
        <v>548.96</v>
      </c>
      <c r="G61" s="6">
        <v>497.49</v>
      </c>
      <c r="H61" s="6">
        <v>483.9</v>
      </c>
      <c r="I61" s="6">
        <v>467.61</v>
      </c>
      <c r="J61" s="6">
        <v>457.32</v>
      </c>
      <c r="K61" s="6">
        <v>475.63</v>
      </c>
      <c r="L61" s="6">
        <v>431.57</v>
      </c>
      <c r="M61" s="6">
        <v>424.39</v>
      </c>
      <c r="N61" s="6">
        <v>413.16</v>
      </c>
      <c r="O61" s="6">
        <v>405.3</v>
      </c>
      <c r="P61" s="6">
        <v>419.25</v>
      </c>
      <c r="Q61" s="6">
        <v>388.99</v>
      </c>
      <c r="R61" s="6">
        <v>382.35</v>
      </c>
      <c r="S61" s="6">
        <v>372.73</v>
      </c>
      <c r="T61" s="6">
        <v>367.23</v>
      </c>
      <c r="U61" s="6">
        <v>379.71</v>
      </c>
      <c r="V61" s="6">
        <v>356.89</v>
      </c>
      <c r="W61" s="6">
        <v>353.31</v>
      </c>
      <c r="X61" s="6">
        <v>346.28</v>
      </c>
      <c r="Y61" s="6">
        <v>342.81</v>
      </c>
      <c r="Z61" s="6">
        <v>353.44</v>
      </c>
      <c r="AA61" s="6">
        <v>336.87</v>
      </c>
      <c r="AB61" s="6">
        <v>334.78</v>
      </c>
      <c r="AC61" s="6">
        <v>329.34</v>
      </c>
      <c r="AD61" s="6">
        <v>327.13</v>
      </c>
      <c r="AE61" s="6">
        <v>336.1</v>
      </c>
    </row>
    <row r="62" spans="1:31" x14ac:dyDescent="0.25">
      <c r="A62" t="s">
        <v>359</v>
      </c>
      <c r="B62" s="6">
        <v>1755</v>
      </c>
      <c r="C62" s="6">
        <v>1769</v>
      </c>
      <c r="D62" s="6">
        <v>1832</v>
      </c>
      <c r="E62" s="6">
        <v>1887</v>
      </c>
      <c r="F62" s="6">
        <v>7243</v>
      </c>
      <c r="G62" s="6">
        <v>1882</v>
      </c>
      <c r="H62" s="6">
        <v>1946</v>
      </c>
      <c r="I62" s="6">
        <v>1992</v>
      </c>
      <c r="J62" s="6">
        <v>2046.85</v>
      </c>
      <c r="K62" s="6">
        <v>7866.85</v>
      </c>
      <c r="L62" s="6">
        <v>2037</v>
      </c>
      <c r="M62" s="6">
        <v>2106.48</v>
      </c>
      <c r="N62" s="6">
        <v>2146.61</v>
      </c>
      <c r="O62" s="6">
        <v>2196.75</v>
      </c>
      <c r="P62" s="6">
        <v>8495</v>
      </c>
      <c r="Q62" s="6">
        <v>2177.4</v>
      </c>
      <c r="R62" s="6">
        <v>2237.25</v>
      </c>
      <c r="S62" s="6">
        <v>2261.04</v>
      </c>
      <c r="T62" s="6">
        <v>2304.39</v>
      </c>
      <c r="U62" s="6">
        <v>9092.5</v>
      </c>
      <c r="V62" s="6">
        <v>2376.1799999999998</v>
      </c>
      <c r="W62" s="6">
        <v>2438.7199999999998</v>
      </c>
      <c r="X62" s="6">
        <v>2476.61</v>
      </c>
      <c r="Y62" s="6">
        <v>2524.98</v>
      </c>
      <c r="Z62" s="6">
        <v>9847.16</v>
      </c>
      <c r="AA62" s="6">
        <v>2545.2600000000002</v>
      </c>
      <c r="AB62" s="6">
        <v>2606.66</v>
      </c>
      <c r="AC62" s="6">
        <v>2642.05</v>
      </c>
      <c r="AD62" s="6">
        <v>2689.49</v>
      </c>
      <c r="AE62" s="6">
        <v>10498.97</v>
      </c>
    </row>
    <row r="63" spans="1:31" x14ac:dyDescent="0.25">
      <c r="A63" t="s">
        <v>77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x14ac:dyDescent="0.25">
      <c r="A64" t="s">
        <v>360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25">
      <c r="A65" t="s">
        <v>361</v>
      </c>
      <c r="B65" s="6">
        <v>3859</v>
      </c>
      <c r="C65" s="6">
        <v>4022</v>
      </c>
      <c r="D65" s="6">
        <v>4205</v>
      </c>
      <c r="E65" s="6">
        <v>4374</v>
      </c>
      <c r="F65" s="6">
        <v>4374</v>
      </c>
      <c r="G65" s="6">
        <v>4742</v>
      </c>
      <c r="H65" s="6">
        <v>4920</v>
      </c>
      <c r="I65" s="6">
        <v>5097.37</v>
      </c>
      <c r="J65" s="6">
        <v>5354.2</v>
      </c>
      <c r="K65" s="6">
        <v>5354.2</v>
      </c>
      <c r="L65" s="6">
        <v>5523.23</v>
      </c>
      <c r="M65" s="6">
        <v>5721.05</v>
      </c>
      <c r="N65" s="6">
        <v>5953.53</v>
      </c>
      <c r="O65" s="6">
        <v>6174.14</v>
      </c>
      <c r="P65" s="6">
        <v>6146.11</v>
      </c>
      <c r="Q65" s="6">
        <v>6310.9</v>
      </c>
      <c r="R65" s="6">
        <v>6504.01</v>
      </c>
      <c r="S65" s="6">
        <v>6707.68</v>
      </c>
      <c r="T65" s="6">
        <v>6900.05</v>
      </c>
      <c r="U65" s="6">
        <v>7174.9</v>
      </c>
      <c r="V65" s="7" t="s">
        <v>104</v>
      </c>
      <c r="W65" s="7" t="s">
        <v>104</v>
      </c>
      <c r="X65" s="7" t="s">
        <v>104</v>
      </c>
      <c r="Y65" s="7" t="s">
        <v>104</v>
      </c>
      <c r="Z65" s="6">
        <v>8118.09</v>
      </c>
      <c r="AA65" s="7" t="s">
        <v>104</v>
      </c>
      <c r="AB65" s="7" t="s">
        <v>104</v>
      </c>
      <c r="AC65" s="7" t="s">
        <v>104</v>
      </c>
      <c r="AD65" s="7" t="s">
        <v>104</v>
      </c>
      <c r="AE65" s="6">
        <v>8940.0400000000009</v>
      </c>
    </row>
    <row r="66" spans="1:31" x14ac:dyDescent="0.25">
      <c r="A66" t="s">
        <v>362</v>
      </c>
      <c r="B66" s="6">
        <v>396</v>
      </c>
      <c r="C66" s="6">
        <v>512</v>
      </c>
      <c r="D66" s="6">
        <v>658</v>
      </c>
      <c r="E66" s="6">
        <v>790</v>
      </c>
      <c r="F66" s="6">
        <v>790</v>
      </c>
      <c r="G66" s="6">
        <v>942</v>
      </c>
      <c r="H66" s="6">
        <v>1066</v>
      </c>
      <c r="I66" s="6">
        <v>1208.08</v>
      </c>
      <c r="J66" s="6">
        <v>1335.2</v>
      </c>
      <c r="K66" s="6">
        <v>1335.2</v>
      </c>
      <c r="L66" s="6">
        <v>1490.54</v>
      </c>
      <c r="M66" s="6">
        <v>1620.32</v>
      </c>
      <c r="N66" s="6">
        <v>1778.62</v>
      </c>
      <c r="O66" s="6">
        <v>1904.63</v>
      </c>
      <c r="P66" s="6">
        <v>1885.09</v>
      </c>
      <c r="Q66" s="6">
        <v>2044.15</v>
      </c>
      <c r="R66" s="6">
        <v>2167.2800000000002</v>
      </c>
      <c r="S66" s="6">
        <v>2318.83</v>
      </c>
      <c r="T66" s="6">
        <v>2445.7800000000002</v>
      </c>
      <c r="U66" s="6">
        <v>2408.17</v>
      </c>
      <c r="V66" s="7" t="s">
        <v>104</v>
      </c>
      <c r="W66" s="7" t="s">
        <v>104</v>
      </c>
      <c r="X66" s="7" t="s">
        <v>104</v>
      </c>
      <c r="Y66" s="7" t="s">
        <v>104</v>
      </c>
      <c r="Z66" s="6">
        <v>2884.47</v>
      </c>
      <c r="AA66" s="7" t="s">
        <v>104</v>
      </c>
      <c r="AB66" s="7" t="s">
        <v>104</v>
      </c>
      <c r="AC66" s="7" t="s">
        <v>104</v>
      </c>
      <c r="AD66" s="7" t="s">
        <v>104</v>
      </c>
      <c r="AE66" s="6">
        <v>3359.41</v>
      </c>
    </row>
    <row r="67" spans="1:31" x14ac:dyDescent="0.25">
      <c r="A67" t="s">
        <v>363</v>
      </c>
      <c r="B67" s="6">
        <v>4255</v>
      </c>
      <c r="C67" s="6">
        <v>4534</v>
      </c>
      <c r="D67" s="6">
        <v>4863</v>
      </c>
      <c r="E67" s="6">
        <v>5164</v>
      </c>
      <c r="F67" s="6">
        <v>5164</v>
      </c>
      <c r="G67" s="6">
        <v>5684</v>
      </c>
      <c r="H67" s="6">
        <v>5986</v>
      </c>
      <c r="I67" s="6">
        <v>6250.27</v>
      </c>
      <c r="J67" s="6">
        <v>6668.75</v>
      </c>
      <c r="K67" s="6">
        <v>6668.75</v>
      </c>
      <c r="L67" s="6">
        <v>6997.42</v>
      </c>
      <c r="M67" s="6">
        <v>7337.54</v>
      </c>
      <c r="N67" s="6">
        <v>7747.15</v>
      </c>
      <c r="O67" s="6">
        <v>8117.74</v>
      </c>
      <c r="P67" s="6">
        <v>8047.83</v>
      </c>
      <c r="Q67" s="6">
        <v>8355.0499999999993</v>
      </c>
      <c r="R67" s="6">
        <v>8671.2999999999993</v>
      </c>
      <c r="S67" s="6">
        <v>9026.51</v>
      </c>
      <c r="T67" s="6">
        <v>9345.83</v>
      </c>
      <c r="U67" s="6">
        <v>9698.02</v>
      </c>
      <c r="V67" s="7" t="s">
        <v>104</v>
      </c>
      <c r="W67" s="7" t="s">
        <v>104</v>
      </c>
      <c r="X67" s="7" t="s">
        <v>104</v>
      </c>
      <c r="Y67" s="7" t="s">
        <v>104</v>
      </c>
      <c r="Z67" s="6">
        <v>11294.98</v>
      </c>
      <c r="AA67" s="7" t="s">
        <v>104</v>
      </c>
      <c r="AB67" s="7" t="s">
        <v>104</v>
      </c>
      <c r="AC67" s="7" t="s">
        <v>104</v>
      </c>
      <c r="AD67" s="7" t="s">
        <v>104</v>
      </c>
      <c r="AE67" s="6">
        <v>12647.37</v>
      </c>
    </row>
    <row r="68" spans="1:31" x14ac:dyDescent="0.25">
      <c r="A68" t="s">
        <v>77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x14ac:dyDescent="0.25">
      <c r="A69" t="s">
        <v>364</v>
      </c>
      <c r="B69" s="8">
        <v>0.40200000000000002</v>
      </c>
      <c r="C69" s="8">
        <v>0.40899999999999997</v>
      </c>
      <c r="D69" s="8">
        <v>0.41499999999999998</v>
      </c>
      <c r="E69" s="8">
        <v>0.42</v>
      </c>
      <c r="F69" s="8">
        <v>0.42</v>
      </c>
      <c r="G69" s="8">
        <v>0.40200000000000002</v>
      </c>
      <c r="H69" s="8">
        <v>0.40500000000000003</v>
      </c>
      <c r="I69" s="8">
        <v>0.40810000000000002</v>
      </c>
      <c r="J69" s="8">
        <v>0.4128</v>
      </c>
      <c r="K69" s="8">
        <v>0.42859999999999998</v>
      </c>
      <c r="L69" s="8">
        <v>0.4163</v>
      </c>
      <c r="M69" s="8">
        <v>0.42009999999999997</v>
      </c>
      <c r="N69" s="8">
        <v>0.42459999999999998</v>
      </c>
      <c r="O69" s="8">
        <v>0.42909999999999998</v>
      </c>
      <c r="P69" s="8">
        <v>0.4415</v>
      </c>
      <c r="Q69" s="8">
        <v>0.43259999999999998</v>
      </c>
      <c r="R69" s="8">
        <v>0.43509999999999999</v>
      </c>
      <c r="S69" s="8">
        <v>0.43759999999999999</v>
      </c>
      <c r="T69" s="8">
        <v>0.44009999999999999</v>
      </c>
      <c r="U69" s="8">
        <v>0.44919999999999999</v>
      </c>
      <c r="V69" s="7" t="s">
        <v>104</v>
      </c>
      <c r="W69" s="7" t="s">
        <v>104</v>
      </c>
      <c r="X69" s="7" t="s">
        <v>104</v>
      </c>
      <c r="Y69" s="7" t="s">
        <v>104</v>
      </c>
      <c r="Z69" s="8">
        <v>0.45679999999999998</v>
      </c>
      <c r="AA69" s="7" t="s">
        <v>104</v>
      </c>
      <c r="AB69" s="7" t="s">
        <v>104</v>
      </c>
      <c r="AC69" s="7" t="s">
        <v>104</v>
      </c>
      <c r="AD69" s="7" t="s">
        <v>104</v>
      </c>
      <c r="AE69" s="8">
        <v>0.45910000000000001</v>
      </c>
    </row>
    <row r="70" spans="1:31" x14ac:dyDescent="0.25">
      <c r="A70" t="s">
        <v>365</v>
      </c>
      <c r="B70" s="8">
        <v>0.49320000000000003</v>
      </c>
      <c r="C70" s="8">
        <v>0.50890000000000002</v>
      </c>
      <c r="D70" s="8">
        <v>0.51570000000000005</v>
      </c>
      <c r="E70" s="8">
        <v>0.52769999999999995</v>
      </c>
      <c r="F70" s="8">
        <v>0.52769999999999995</v>
      </c>
      <c r="G70" s="8">
        <v>0.54259999999999997</v>
      </c>
      <c r="H70" s="8">
        <v>0.5464</v>
      </c>
      <c r="I70" s="8">
        <v>0.55049999999999999</v>
      </c>
      <c r="J70" s="8">
        <v>0.55449999999999999</v>
      </c>
      <c r="K70" s="8">
        <v>0.55449999999999999</v>
      </c>
      <c r="L70" s="8">
        <v>0.56010000000000004</v>
      </c>
      <c r="M70" s="8">
        <v>0.56389999999999996</v>
      </c>
      <c r="N70" s="8">
        <v>0.56759999999999999</v>
      </c>
      <c r="O70" s="8">
        <v>0.57140000000000002</v>
      </c>
      <c r="P70" s="8">
        <v>0.56899999999999995</v>
      </c>
      <c r="Q70" s="8">
        <v>0.58140000000000003</v>
      </c>
      <c r="R70" s="8">
        <v>0.58640000000000003</v>
      </c>
      <c r="S70" s="8">
        <v>0.59140000000000004</v>
      </c>
      <c r="T70" s="8">
        <v>0.59640000000000004</v>
      </c>
      <c r="U70" s="8">
        <v>0.57909999999999995</v>
      </c>
      <c r="V70" s="7" t="s">
        <v>104</v>
      </c>
      <c r="W70" s="7" t="s">
        <v>104</v>
      </c>
      <c r="X70" s="7" t="s">
        <v>104</v>
      </c>
      <c r="Y70" s="7" t="s">
        <v>104</v>
      </c>
      <c r="Z70" s="8">
        <v>0.57420000000000004</v>
      </c>
      <c r="AA70" s="7" t="s">
        <v>104</v>
      </c>
      <c r="AB70" s="7" t="s">
        <v>104</v>
      </c>
      <c r="AC70" s="7" t="s">
        <v>104</v>
      </c>
      <c r="AD70" s="7" t="s">
        <v>104</v>
      </c>
      <c r="AE70" s="8">
        <v>0.57720000000000005</v>
      </c>
    </row>
    <row r="71" spans="1:31" x14ac:dyDescent="0.25">
      <c r="A71" t="s">
        <v>366</v>
      </c>
      <c r="B71" s="8">
        <v>0.40899999999999997</v>
      </c>
      <c r="C71" s="8">
        <v>0.41799999999999998</v>
      </c>
      <c r="D71" s="8">
        <v>0.42699999999999999</v>
      </c>
      <c r="E71" s="8">
        <v>0.434</v>
      </c>
      <c r="F71" s="8">
        <v>0.434</v>
      </c>
      <c r="G71" s="8">
        <v>0.42</v>
      </c>
      <c r="H71" s="8">
        <v>0.42499999999999999</v>
      </c>
      <c r="I71" s="8">
        <v>0.4289</v>
      </c>
      <c r="J71" s="8">
        <v>0.43509999999999999</v>
      </c>
      <c r="K71" s="8">
        <v>0.43509999999999999</v>
      </c>
      <c r="L71" s="8">
        <v>0.44040000000000001</v>
      </c>
      <c r="M71" s="8">
        <v>0.4451</v>
      </c>
      <c r="N71" s="8">
        <v>0.45069999999999999</v>
      </c>
      <c r="O71" s="8">
        <v>0.45569999999999999</v>
      </c>
      <c r="P71" s="8">
        <v>0.45119999999999999</v>
      </c>
      <c r="Q71" s="8">
        <v>0.46150000000000002</v>
      </c>
      <c r="R71" s="8">
        <v>0.46510000000000001</v>
      </c>
      <c r="S71" s="8">
        <v>0.46899999999999997</v>
      </c>
      <c r="T71" s="8">
        <v>0.47249999999999998</v>
      </c>
      <c r="U71" s="8">
        <v>0.4758</v>
      </c>
      <c r="V71" s="7" t="s">
        <v>104</v>
      </c>
      <c r="W71" s="7" t="s">
        <v>104</v>
      </c>
      <c r="X71" s="7" t="s">
        <v>104</v>
      </c>
      <c r="Y71" s="7" t="s">
        <v>104</v>
      </c>
      <c r="Z71" s="8">
        <v>0.48220000000000002</v>
      </c>
      <c r="AA71" s="7" t="s">
        <v>104</v>
      </c>
      <c r="AB71" s="7" t="s">
        <v>104</v>
      </c>
      <c r="AC71" s="7" t="s">
        <v>104</v>
      </c>
      <c r="AD71" s="7" t="s">
        <v>104</v>
      </c>
      <c r="AE71" s="8">
        <v>0.48570000000000002</v>
      </c>
    </row>
    <row r="72" spans="1:31" x14ac:dyDescent="0.25">
      <c r="A72" t="s">
        <v>77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x14ac:dyDescent="0.25">
      <c r="A73" t="s">
        <v>367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x14ac:dyDescent="0.25">
      <c r="A74" t="s">
        <v>368</v>
      </c>
      <c r="B74" s="6">
        <v>700</v>
      </c>
      <c r="C74" s="6">
        <v>600</v>
      </c>
      <c r="D74" s="6">
        <v>740</v>
      </c>
      <c r="E74" s="6">
        <v>716.67</v>
      </c>
      <c r="F74" s="6">
        <v>2660</v>
      </c>
      <c r="G74" s="6">
        <v>-725</v>
      </c>
      <c r="H74" s="6">
        <v>-1700</v>
      </c>
      <c r="I74" s="6">
        <v>-419.27</v>
      </c>
      <c r="J74" s="6">
        <v>-425.52</v>
      </c>
      <c r="K74" s="6">
        <v>453.96</v>
      </c>
      <c r="L74" s="6">
        <v>-870.16</v>
      </c>
      <c r="M74" s="6">
        <v>-911.83</v>
      </c>
      <c r="N74" s="6">
        <v>-953.5</v>
      </c>
      <c r="O74" s="6">
        <v>-995.16</v>
      </c>
      <c r="P74" s="6">
        <v>1861.01</v>
      </c>
      <c r="Q74" s="6">
        <v>-1036.83</v>
      </c>
      <c r="R74" s="6">
        <v>-1078.5</v>
      </c>
      <c r="S74" s="6">
        <v>-1120.1600000000001</v>
      </c>
      <c r="T74" s="6">
        <v>-1161.83</v>
      </c>
      <c r="U74" s="6">
        <v>1727.68</v>
      </c>
      <c r="V74" s="6">
        <v>-2330.25</v>
      </c>
      <c r="W74" s="6">
        <v>-2392.75</v>
      </c>
      <c r="X74" s="6">
        <v>-2455.25</v>
      </c>
      <c r="Y74" s="6">
        <v>-2517.75</v>
      </c>
      <c r="Z74" s="6">
        <v>241.52</v>
      </c>
      <c r="AA74" s="6">
        <v>-2580.25</v>
      </c>
      <c r="AB74" s="6">
        <v>-2642.75</v>
      </c>
      <c r="AC74" s="6">
        <v>-2705.25</v>
      </c>
      <c r="AD74" s="6">
        <v>-2767.75</v>
      </c>
      <c r="AE74" s="6">
        <v>-8.48</v>
      </c>
    </row>
    <row r="75" spans="1:31" x14ac:dyDescent="0.25">
      <c r="A75" t="s">
        <v>369</v>
      </c>
      <c r="B75" s="7" t="s">
        <v>104</v>
      </c>
      <c r="C75" s="7" t="s">
        <v>104</v>
      </c>
      <c r="D75" s="7" t="s">
        <v>104</v>
      </c>
      <c r="E75" s="7" t="s">
        <v>104</v>
      </c>
      <c r="F75" s="7" t="s">
        <v>104</v>
      </c>
      <c r="G75" s="6">
        <v>4725</v>
      </c>
      <c r="H75" s="6">
        <v>3300</v>
      </c>
      <c r="I75" s="6">
        <v>2593</v>
      </c>
      <c r="J75" s="6">
        <v>2632.5</v>
      </c>
      <c r="K75" s="6">
        <v>6550</v>
      </c>
      <c r="L75" s="6">
        <v>2748.88</v>
      </c>
      <c r="M75" s="6">
        <v>2811.38</v>
      </c>
      <c r="N75" s="6">
        <v>2873.88</v>
      </c>
      <c r="O75" s="6">
        <v>2936.38</v>
      </c>
      <c r="P75" s="6">
        <v>5775</v>
      </c>
      <c r="Q75" s="6">
        <v>2991.54</v>
      </c>
      <c r="R75" s="6">
        <v>3054.04</v>
      </c>
      <c r="S75" s="6">
        <v>3116.54</v>
      </c>
      <c r="T75" s="6">
        <v>3179.04</v>
      </c>
      <c r="U75" s="6">
        <v>6275</v>
      </c>
      <c r="V75" s="6">
        <v>3235.31</v>
      </c>
      <c r="W75" s="6">
        <v>3297.81</v>
      </c>
      <c r="X75" s="6">
        <v>3360.31</v>
      </c>
      <c r="Y75" s="6">
        <v>3422.81</v>
      </c>
      <c r="Z75" s="6">
        <v>6775</v>
      </c>
      <c r="AA75" s="6">
        <v>3480.02</v>
      </c>
      <c r="AB75" s="6">
        <v>3542.52</v>
      </c>
      <c r="AC75" s="6">
        <v>3605.02</v>
      </c>
      <c r="AD75" s="6">
        <v>3667.52</v>
      </c>
      <c r="AE75" s="6">
        <v>7275</v>
      </c>
    </row>
    <row r="76" spans="1:31" x14ac:dyDescent="0.25">
      <c r="A76" t="s">
        <v>370</v>
      </c>
      <c r="B76" s="6">
        <v>500</v>
      </c>
      <c r="C76" s="6">
        <v>600</v>
      </c>
      <c r="D76" s="6">
        <v>700</v>
      </c>
      <c r="E76" s="6">
        <v>700</v>
      </c>
      <c r="F76" s="6">
        <v>2800</v>
      </c>
      <c r="G76" s="6">
        <v>5200</v>
      </c>
      <c r="H76" s="6">
        <v>800</v>
      </c>
      <c r="I76" s="6">
        <v>924.35</v>
      </c>
      <c r="J76" s="6">
        <v>931.1</v>
      </c>
      <c r="K76" s="6">
        <v>7634.03</v>
      </c>
      <c r="L76" s="6">
        <v>867.39</v>
      </c>
      <c r="M76" s="6">
        <v>982.03</v>
      </c>
      <c r="N76" s="6">
        <v>977.66</v>
      </c>
      <c r="O76" s="6">
        <v>1135.99</v>
      </c>
      <c r="P76" s="6">
        <v>4067.81</v>
      </c>
      <c r="Q76" s="6">
        <v>1000.27</v>
      </c>
      <c r="R76" s="6">
        <v>1000.27</v>
      </c>
      <c r="S76" s="6">
        <v>1000.27</v>
      </c>
      <c r="T76" s="6">
        <v>1166.93</v>
      </c>
      <c r="U76" s="6">
        <v>4174.34</v>
      </c>
      <c r="V76" s="6">
        <v>987.83</v>
      </c>
      <c r="W76" s="6">
        <v>987.83</v>
      </c>
      <c r="X76" s="6">
        <v>987.83</v>
      </c>
      <c r="Y76" s="6">
        <v>1187.83</v>
      </c>
      <c r="Z76" s="6">
        <v>4190.16</v>
      </c>
      <c r="AA76" s="6">
        <v>985.71</v>
      </c>
      <c r="AB76" s="6">
        <v>985.71</v>
      </c>
      <c r="AC76" s="6">
        <v>985.71</v>
      </c>
      <c r="AD76" s="6">
        <v>1185.71</v>
      </c>
      <c r="AE76" s="6">
        <v>4031.64</v>
      </c>
    </row>
    <row r="77" spans="1:31" x14ac:dyDescent="0.25">
      <c r="A77" t="s">
        <v>371</v>
      </c>
      <c r="B77" s="6">
        <v>24000</v>
      </c>
      <c r="C77" s="6">
        <v>24600</v>
      </c>
      <c r="D77" s="6">
        <v>25400</v>
      </c>
      <c r="E77" s="6">
        <v>26100</v>
      </c>
      <c r="F77" s="6">
        <v>26100</v>
      </c>
      <c r="G77" s="6">
        <v>31300</v>
      </c>
      <c r="H77" s="6">
        <v>32100</v>
      </c>
      <c r="I77" s="6">
        <v>33024.35</v>
      </c>
      <c r="J77" s="6">
        <v>33955.449999999997</v>
      </c>
      <c r="K77" s="6">
        <v>33955.449999999997</v>
      </c>
      <c r="L77" s="6">
        <v>34851.94</v>
      </c>
      <c r="M77" s="6">
        <v>35833.980000000003</v>
      </c>
      <c r="N77" s="6">
        <v>36811.629999999997</v>
      </c>
      <c r="O77" s="6">
        <v>37947.620000000003</v>
      </c>
      <c r="P77" s="6">
        <v>38023.26</v>
      </c>
      <c r="Q77" s="6">
        <v>39051.83</v>
      </c>
      <c r="R77" s="6">
        <v>40052.1</v>
      </c>
      <c r="S77" s="6">
        <v>41052.36</v>
      </c>
      <c r="T77" s="6">
        <v>42219.29</v>
      </c>
      <c r="U77" s="6">
        <v>42306.31</v>
      </c>
      <c r="V77" s="6">
        <v>43150.98</v>
      </c>
      <c r="W77" s="6">
        <v>44138.81</v>
      </c>
      <c r="X77" s="6">
        <v>45126.63</v>
      </c>
      <c r="Y77" s="6">
        <v>46314.46</v>
      </c>
      <c r="Z77" s="6">
        <v>46480.33</v>
      </c>
      <c r="AA77" s="6">
        <v>47300.17</v>
      </c>
      <c r="AB77" s="6">
        <v>48285.87</v>
      </c>
      <c r="AC77" s="6">
        <v>49271.58</v>
      </c>
      <c r="AD77" s="6">
        <v>50457.29</v>
      </c>
      <c r="AE77" s="6">
        <v>50511.97</v>
      </c>
    </row>
    <row r="78" spans="1:31" x14ac:dyDescent="0.25">
      <c r="A78" t="s">
        <v>77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x14ac:dyDescent="0.25">
      <c r="A79" t="s">
        <v>372</v>
      </c>
      <c r="B79" s="6">
        <v>100</v>
      </c>
      <c r="C79" s="6">
        <v>200</v>
      </c>
      <c r="D79" s="6">
        <v>200</v>
      </c>
      <c r="E79" s="6">
        <v>100</v>
      </c>
      <c r="F79" s="6">
        <v>300</v>
      </c>
      <c r="G79" s="6">
        <v>300</v>
      </c>
      <c r="H79" s="6">
        <v>300</v>
      </c>
      <c r="I79" s="6">
        <v>320.72000000000003</v>
      </c>
      <c r="J79" s="6">
        <v>198.37</v>
      </c>
      <c r="K79" s="6">
        <v>894.26</v>
      </c>
      <c r="L79" s="6">
        <v>359.75</v>
      </c>
      <c r="M79" s="6">
        <v>227.09</v>
      </c>
      <c r="N79" s="6">
        <v>229.97</v>
      </c>
      <c r="O79" s="6">
        <v>202.87</v>
      </c>
      <c r="P79" s="6">
        <v>891.08</v>
      </c>
      <c r="Q79" s="6">
        <v>226.3</v>
      </c>
      <c r="R79" s="6">
        <v>226.3</v>
      </c>
      <c r="S79" s="6">
        <v>186.3</v>
      </c>
      <c r="T79" s="6">
        <v>186.3</v>
      </c>
      <c r="U79" s="6">
        <v>834.99</v>
      </c>
      <c r="V79" s="6">
        <v>232.87</v>
      </c>
      <c r="W79" s="6">
        <v>232.87</v>
      </c>
      <c r="X79" s="6">
        <v>182.87</v>
      </c>
      <c r="Y79" s="6">
        <v>182.87</v>
      </c>
      <c r="Z79" s="6">
        <v>803.6</v>
      </c>
      <c r="AA79" s="6">
        <v>232.87</v>
      </c>
      <c r="AB79" s="6">
        <v>232.87</v>
      </c>
      <c r="AC79" s="6">
        <v>182.87</v>
      </c>
      <c r="AD79" s="6">
        <v>182.87</v>
      </c>
      <c r="AE79" s="6">
        <v>826.69</v>
      </c>
    </row>
    <row r="80" spans="1:31" x14ac:dyDescent="0.25">
      <c r="A80" t="s">
        <v>373</v>
      </c>
      <c r="B80" s="6">
        <v>5700</v>
      </c>
      <c r="C80" s="6">
        <v>5900</v>
      </c>
      <c r="D80" s="6">
        <v>6100</v>
      </c>
      <c r="E80" s="6">
        <v>5900</v>
      </c>
      <c r="F80" s="6">
        <v>5900</v>
      </c>
      <c r="G80" s="6">
        <v>6200</v>
      </c>
      <c r="H80" s="6">
        <v>6500</v>
      </c>
      <c r="I80" s="6">
        <v>6771.1</v>
      </c>
      <c r="J80" s="6">
        <v>6936.41</v>
      </c>
      <c r="K80" s="6">
        <v>6936.41</v>
      </c>
      <c r="L80" s="6">
        <v>7159.57</v>
      </c>
      <c r="M80" s="6">
        <v>7361.43</v>
      </c>
      <c r="N80" s="6">
        <v>7565.85</v>
      </c>
      <c r="O80" s="6">
        <v>7746.18</v>
      </c>
      <c r="P80" s="6">
        <v>7753.23</v>
      </c>
      <c r="Q80" s="6">
        <v>7648.18</v>
      </c>
      <c r="R80" s="6">
        <v>7836.77</v>
      </c>
      <c r="S80" s="6">
        <v>7992.02</v>
      </c>
      <c r="T80" s="6">
        <v>8147.26</v>
      </c>
      <c r="U80" s="6">
        <v>8536.43</v>
      </c>
      <c r="V80" s="6">
        <v>8263.02</v>
      </c>
      <c r="W80" s="6">
        <v>8449.31</v>
      </c>
      <c r="X80" s="6">
        <v>8595.61</v>
      </c>
      <c r="Y80" s="6">
        <v>8741.91</v>
      </c>
      <c r="Z80" s="6">
        <v>9263.31</v>
      </c>
      <c r="AA80" s="6">
        <v>8928.2099999999991</v>
      </c>
      <c r="AB80" s="6">
        <v>9114.51</v>
      </c>
      <c r="AC80" s="6">
        <v>9260.81</v>
      </c>
      <c r="AD80" s="6">
        <v>9407.1</v>
      </c>
      <c r="AE80" s="6">
        <v>10007.33</v>
      </c>
    </row>
    <row r="81" spans="1:31" x14ac:dyDescent="0.25">
      <c r="A81" t="s">
        <v>77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x14ac:dyDescent="0.25">
      <c r="A82" t="s">
        <v>374</v>
      </c>
      <c r="B82" s="6">
        <v>564.16</v>
      </c>
      <c r="C82" s="6">
        <v>701.98</v>
      </c>
      <c r="D82" s="6">
        <v>785.77</v>
      </c>
      <c r="E82" s="6">
        <v>720.13</v>
      </c>
      <c r="F82" s="6">
        <v>2772.05</v>
      </c>
      <c r="G82" s="6">
        <v>728.28</v>
      </c>
      <c r="H82" s="6">
        <v>-969.38</v>
      </c>
      <c r="I82" s="6">
        <v>990.73</v>
      </c>
      <c r="J82" s="6">
        <v>1048.0999999999999</v>
      </c>
      <c r="K82" s="6">
        <v>2545.25</v>
      </c>
      <c r="L82" s="6">
        <v>1250</v>
      </c>
      <c r="M82" s="6">
        <v>1250</v>
      </c>
      <c r="N82" s="6">
        <v>1250</v>
      </c>
      <c r="O82" s="6">
        <v>1250</v>
      </c>
      <c r="P82" s="6">
        <v>4552.53</v>
      </c>
      <c r="Q82" s="6">
        <v>1275</v>
      </c>
      <c r="R82" s="6">
        <v>1275</v>
      </c>
      <c r="S82" s="6">
        <v>1275</v>
      </c>
      <c r="T82" s="6">
        <v>1275</v>
      </c>
      <c r="U82" s="6">
        <v>4580.62</v>
      </c>
      <c r="V82" s="6">
        <v>1300</v>
      </c>
      <c r="W82" s="6">
        <v>1300</v>
      </c>
      <c r="X82" s="6">
        <v>1300</v>
      </c>
      <c r="Y82" s="6">
        <v>1300</v>
      </c>
      <c r="Z82" s="6">
        <v>4587.1899999999996</v>
      </c>
      <c r="AA82" s="6">
        <v>1300</v>
      </c>
      <c r="AB82" s="6">
        <v>1300</v>
      </c>
      <c r="AC82" s="6">
        <v>1300</v>
      </c>
      <c r="AD82" s="6">
        <v>1300</v>
      </c>
      <c r="AE82" s="6">
        <v>4809.84</v>
      </c>
    </row>
    <row r="83" spans="1:31" x14ac:dyDescent="0.25">
      <c r="A83" t="s">
        <v>375</v>
      </c>
      <c r="B83" s="6">
        <v>353.75</v>
      </c>
      <c r="C83" s="6">
        <v>547.03</v>
      </c>
      <c r="D83" s="6">
        <v>621.34</v>
      </c>
      <c r="E83" s="6">
        <v>519.80999999999995</v>
      </c>
      <c r="F83" s="6">
        <v>983.86</v>
      </c>
      <c r="G83" s="6">
        <v>4159.76</v>
      </c>
      <c r="H83" s="6">
        <v>2836.72</v>
      </c>
      <c r="I83" s="6">
        <v>757.66</v>
      </c>
      <c r="J83" s="6">
        <v>771.61</v>
      </c>
      <c r="K83" s="6">
        <v>5291</v>
      </c>
      <c r="L83" s="6">
        <v>1250</v>
      </c>
      <c r="M83" s="6">
        <v>1250</v>
      </c>
      <c r="N83" s="6">
        <v>1250</v>
      </c>
      <c r="O83" s="6">
        <v>1250</v>
      </c>
      <c r="P83" s="6">
        <v>1877.88</v>
      </c>
      <c r="Q83" s="6">
        <v>1250</v>
      </c>
      <c r="R83" s="6">
        <v>1250</v>
      </c>
      <c r="S83" s="6">
        <v>1250</v>
      </c>
      <c r="T83" s="6">
        <v>1250</v>
      </c>
      <c r="U83" s="6">
        <v>1458.13</v>
      </c>
      <c r="V83" s="6">
        <v>1250</v>
      </c>
      <c r="W83" s="6">
        <v>1250</v>
      </c>
      <c r="X83" s="6">
        <v>1250</v>
      </c>
      <c r="Y83" s="6">
        <v>1250</v>
      </c>
      <c r="Z83" s="6">
        <v>1025.6199999999999</v>
      </c>
      <c r="AA83" s="6">
        <v>1250</v>
      </c>
      <c r="AB83" s="6">
        <v>1250</v>
      </c>
      <c r="AC83" s="6">
        <v>1250</v>
      </c>
      <c r="AD83" s="6">
        <v>1250</v>
      </c>
      <c r="AE83" s="6">
        <v>580.33000000000004</v>
      </c>
    </row>
    <row r="84" spans="1:31" x14ac:dyDescent="0.25">
      <c r="A84" t="s">
        <v>376</v>
      </c>
      <c r="B84" s="6">
        <v>600</v>
      </c>
      <c r="C84" s="6">
        <v>800</v>
      </c>
      <c r="D84" s="6">
        <v>900</v>
      </c>
      <c r="E84" s="6">
        <v>800</v>
      </c>
      <c r="F84" s="6">
        <v>3100</v>
      </c>
      <c r="G84" s="6">
        <v>5500</v>
      </c>
      <c r="H84" s="6">
        <v>1100</v>
      </c>
      <c r="I84" s="6">
        <v>1063.3499999999999</v>
      </c>
      <c r="J84" s="6">
        <v>1080.3499999999999</v>
      </c>
      <c r="K84" s="6">
        <v>8401.08</v>
      </c>
      <c r="L84" s="6">
        <v>1144.47</v>
      </c>
      <c r="M84" s="6">
        <v>1164.47</v>
      </c>
      <c r="N84" s="6">
        <v>1161.97</v>
      </c>
      <c r="O84" s="6">
        <v>1314.47</v>
      </c>
      <c r="P84" s="6">
        <v>4834.92</v>
      </c>
      <c r="Q84" s="6">
        <v>1188.8499999999999</v>
      </c>
      <c r="R84" s="6">
        <v>1188.8499999999999</v>
      </c>
      <c r="S84" s="6">
        <v>1155.51</v>
      </c>
      <c r="T84" s="6">
        <v>1322.18</v>
      </c>
      <c r="U84" s="6">
        <v>4935.03</v>
      </c>
      <c r="V84" s="6">
        <v>1174.1199999999999</v>
      </c>
      <c r="W84" s="6">
        <v>1174.1199999999999</v>
      </c>
      <c r="X84" s="6">
        <v>1134.1199999999999</v>
      </c>
      <c r="Y84" s="6">
        <v>1334.12</v>
      </c>
      <c r="Z84" s="6">
        <v>4920.05</v>
      </c>
      <c r="AA84" s="6">
        <v>1172.01</v>
      </c>
      <c r="AB84" s="6">
        <v>1172.01</v>
      </c>
      <c r="AC84" s="6">
        <v>1132.01</v>
      </c>
      <c r="AD84" s="6">
        <v>1332.01</v>
      </c>
      <c r="AE84" s="6">
        <v>4902.5600000000004</v>
      </c>
    </row>
    <row r="85" spans="1:31" x14ac:dyDescent="0.25">
      <c r="A85" t="s">
        <v>377</v>
      </c>
      <c r="B85" s="6">
        <v>29500</v>
      </c>
      <c r="C85" s="6">
        <v>30300</v>
      </c>
      <c r="D85" s="6">
        <v>31200</v>
      </c>
      <c r="E85" s="6">
        <v>32000</v>
      </c>
      <c r="F85" s="6">
        <v>32000</v>
      </c>
      <c r="G85" s="6">
        <v>37500</v>
      </c>
      <c r="H85" s="6">
        <v>38600</v>
      </c>
      <c r="I85" s="6">
        <v>39666.879999999997</v>
      </c>
      <c r="J85" s="6">
        <v>40747.230000000003</v>
      </c>
      <c r="K85" s="6">
        <v>40747.230000000003</v>
      </c>
      <c r="L85" s="6">
        <v>41793.379999999997</v>
      </c>
      <c r="M85" s="6">
        <v>42957.85</v>
      </c>
      <c r="N85" s="6">
        <v>44119.82</v>
      </c>
      <c r="O85" s="6">
        <v>45434.3</v>
      </c>
      <c r="P85" s="6">
        <v>45582.15</v>
      </c>
      <c r="Q85" s="6">
        <v>46700.01</v>
      </c>
      <c r="R85" s="6">
        <v>47888.86</v>
      </c>
      <c r="S85" s="6">
        <v>49044.38</v>
      </c>
      <c r="T85" s="6">
        <v>50366.559999999998</v>
      </c>
      <c r="U85" s="6">
        <v>50640.86</v>
      </c>
      <c r="V85" s="6">
        <v>51413.99</v>
      </c>
      <c r="W85" s="6">
        <v>52588.12</v>
      </c>
      <c r="X85" s="6">
        <v>53722.239999999998</v>
      </c>
      <c r="Y85" s="6">
        <v>55056.37</v>
      </c>
      <c r="Z85" s="6">
        <v>55528.26</v>
      </c>
      <c r="AA85" s="6">
        <v>56228.38</v>
      </c>
      <c r="AB85" s="6">
        <v>57400.38</v>
      </c>
      <c r="AC85" s="6">
        <v>58532.39</v>
      </c>
      <c r="AD85" s="6">
        <v>59864.39</v>
      </c>
      <c r="AE85" s="6">
        <v>60430.82</v>
      </c>
    </row>
    <row r="86" spans="1:31" x14ac:dyDescent="0.25">
      <c r="A86" t="s">
        <v>77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</sheetData>
  <mergeCells count="1">
    <mergeCell ref="A1:D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0AF9-7396-43E8-B598-6904B6666981}">
  <dimension ref="A1:AE103"/>
  <sheetViews>
    <sheetView workbookViewId="0">
      <selection sqref="A1:D1"/>
    </sheetView>
  </sheetViews>
  <sheetFormatPr defaultRowHeight="15" x14ac:dyDescent="0.25"/>
  <cols>
    <col min="1" max="1" width="62.85546875" customWidth="1"/>
    <col min="2" max="31" width="11.85546875" customWidth="1"/>
  </cols>
  <sheetData>
    <row r="1" spans="1:31" x14ac:dyDescent="0.25">
      <c r="A1" s="1"/>
      <c r="B1" s="1"/>
      <c r="C1" s="1"/>
      <c r="D1" s="1"/>
    </row>
    <row r="2" spans="1:31" ht="18.75" x14ac:dyDescent="0.3">
      <c r="A2" s="2" t="s">
        <v>378</v>
      </c>
    </row>
    <row r="3" spans="1:31" x14ac:dyDescent="0.25">
      <c r="A3" t="s">
        <v>1</v>
      </c>
    </row>
    <row r="5" spans="1:31" x14ac:dyDescent="0.25">
      <c r="A5" t="s">
        <v>2</v>
      </c>
    </row>
    <row r="7" spans="1:31" x14ac:dyDescent="0.25">
      <c r="A7" t="s">
        <v>3</v>
      </c>
    </row>
    <row r="8" spans="1:31" x14ac:dyDescent="0.25">
      <c r="A8" t="s">
        <v>4</v>
      </c>
    </row>
    <row r="9" spans="1:31" x14ac:dyDescent="0.25">
      <c r="A9" t="s">
        <v>5</v>
      </c>
    </row>
    <row r="10" spans="1:31" x14ac:dyDescent="0.25">
      <c r="A10" t="s">
        <v>6</v>
      </c>
    </row>
    <row r="11" spans="1:31" x14ac:dyDescent="0.25">
      <c r="A11" t="s">
        <v>7</v>
      </c>
    </row>
    <row r="12" spans="1:31" x14ac:dyDescent="0.25">
      <c r="A12" t="s">
        <v>8</v>
      </c>
    </row>
    <row r="14" spans="1:31" x14ac:dyDescent="0.25">
      <c r="A14" s="3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</row>
    <row r="15" spans="1:31" x14ac:dyDescent="0.25">
      <c r="A15" t="s">
        <v>40</v>
      </c>
      <c r="B15" s="5">
        <v>19</v>
      </c>
      <c r="C15" s="5">
        <v>19</v>
      </c>
      <c r="D15" s="5">
        <v>19</v>
      </c>
      <c r="E15" s="5">
        <v>19</v>
      </c>
      <c r="F15" s="5">
        <v>20</v>
      </c>
      <c r="G15" s="5">
        <v>19</v>
      </c>
      <c r="H15" s="5">
        <v>19</v>
      </c>
      <c r="I15" s="5" t="s">
        <v>41</v>
      </c>
      <c r="J15" s="5" t="s">
        <v>41</v>
      </c>
      <c r="K15" s="5" t="s">
        <v>41</v>
      </c>
      <c r="L15" s="5" t="s">
        <v>42</v>
      </c>
      <c r="M15" s="5" t="s">
        <v>42</v>
      </c>
      <c r="N15" s="5" t="s">
        <v>43</v>
      </c>
      <c r="O15" s="5" t="s">
        <v>43</v>
      </c>
      <c r="P15" s="5" t="s">
        <v>41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45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42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42</v>
      </c>
    </row>
    <row r="16" spans="1:31" x14ac:dyDescent="0.25">
      <c r="A16" t="s">
        <v>379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t="s">
        <v>380</v>
      </c>
      <c r="B17" s="6">
        <v>25415</v>
      </c>
      <c r="C17" s="6">
        <v>25481</v>
      </c>
      <c r="D17" s="6">
        <v>25570</v>
      </c>
      <c r="E17" s="6">
        <v>25655</v>
      </c>
      <c r="F17" s="6">
        <v>25655</v>
      </c>
      <c r="G17" s="6">
        <v>25739</v>
      </c>
      <c r="H17" s="6">
        <v>25886</v>
      </c>
      <c r="I17" s="6">
        <v>25982.080000000002</v>
      </c>
      <c r="J17" s="6">
        <v>26090.86</v>
      </c>
      <c r="K17" s="6">
        <v>26090.86</v>
      </c>
      <c r="L17" s="6">
        <v>26129.7</v>
      </c>
      <c r="M17" s="6">
        <v>26235.87</v>
      </c>
      <c r="N17" s="6">
        <v>26313.41</v>
      </c>
      <c r="O17" s="6">
        <v>26411.71</v>
      </c>
      <c r="P17" s="6">
        <v>26391</v>
      </c>
      <c r="Q17" s="6">
        <v>26353.95</v>
      </c>
      <c r="R17" s="6">
        <v>26474.32</v>
      </c>
      <c r="S17" s="6">
        <v>26523.63</v>
      </c>
      <c r="T17" s="6">
        <v>26611.53</v>
      </c>
      <c r="U17" s="6">
        <v>26693.32</v>
      </c>
      <c r="V17" s="6">
        <v>26491.74</v>
      </c>
      <c r="W17" s="6">
        <v>26596.1</v>
      </c>
      <c r="X17" s="6">
        <v>26618.76</v>
      </c>
      <c r="Y17" s="6">
        <v>26681.88</v>
      </c>
      <c r="Z17" s="6">
        <v>26881.95</v>
      </c>
      <c r="AA17" s="6">
        <v>26674.12</v>
      </c>
      <c r="AB17" s="6">
        <v>26765.54</v>
      </c>
      <c r="AC17" s="6">
        <v>26775.59</v>
      </c>
      <c r="AD17" s="6">
        <v>26826.11</v>
      </c>
      <c r="AE17" s="6">
        <v>27072.57</v>
      </c>
    </row>
    <row r="18" spans="1:31" x14ac:dyDescent="0.25">
      <c r="A18" t="s">
        <v>381</v>
      </c>
      <c r="B18" s="6">
        <v>25407</v>
      </c>
      <c r="C18" s="6">
        <v>25448</v>
      </c>
      <c r="D18" s="6">
        <v>25525.5</v>
      </c>
      <c r="E18" s="6">
        <v>25612.5</v>
      </c>
      <c r="F18" s="6">
        <v>25527</v>
      </c>
      <c r="G18" s="6">
        <v>25697</v>
      </c>
      <c r="H18" s="6">
        <v>25812.5</v>
      </c>
      <c r="I18" s="6">
        <v>25934.04</v>
      </c>
      <c r="J18" s="6">
        <v>26036.47</v>
      </c>
      <c r="K18" s="6">
        <v>25877.9</v>
      </c>
      <c r="L18" s="6">
        <v>26113.49</v>
      </c>
      <c r="M18" s="6">
        <v>26182.79</v>
      </c>
      <c r="N18" s="6">
        <v>26274.639999999999</v>
      </c>
      <c r="O18" s="6">
        <v>26362.560000000001</v>
      </c>
      <c r="P18" s="6">
        <v>26240.93</v>
      </c>
      <c r="Q18" s="6">
        <v>26340.16</v>
      </c>
      <c r="R18" s="6">
        <v>26414.14</v>
      </c>
      <c r="S18" s="6">
        <v>26498.98</v>
      </c>
      <c r="T18" s="6">
        <v>26567.58</v>
      </c>
      <c r="U18" s="6">
        <v>26542.16</v>
      </c>
      <c r="V18" s="6">
        <v>26493.69</v>
      </c>
      <c r="W18" s="6">
        <v>26543.919999999998</v>
      </c>
      <c r="X18" s="6">
        <v>26607.43</v>
      </c>
      <c r="Y18" s="6">
        <v>26650.32</v>
      </c>
      <c r="Z18" s="6">
        <v>26768.639999999999</v>
      </c>
      <c r="AA18" s="6">
        <v>26678</v>
      </c>
      <c r="AB18" s="6">
        <v>26719.83</v>
      </c>
      <c r="AC18" s="6">
        <v>26770.57</v>
      </c>
      <c r="AD18" s="6">
        <v>26800.85</v>
      </c>
      <c r="AE18" s="6">
        <v>26977.26</v>
      </c>
    </row>
    <row r="19" spans="1:31" x14ac:dyDescent="0.25">
      <c r="A19" t="s">
        <v>382</v>
      </c>
      <c r="B19" s="6">
        <v>154.82</v>
      </c>
      <c r="C19" s="6">
        <v>156.77000000000001</v>
      </c>
      <c r="D19" s="6">
        <v>155.51</v>
      </c>
      <c r="E19" s="6">
        <v>156.07</v>
      </c>
      <c r="F19" s="6">
        <v>155.88999999999999</v>
      </c>
      <c r="G19" s="6">
        <v>156.22999999999999</v>
      </c>
      <c r="H19" s="6">
        <v>160.18</v>
      </c>
      <c r="I19" s="6">
        <v>159.01</v>
      </c>
      <c r="J19" s="6">
        <v>159.53</v>
      </c>
      <c r="K19" s="6">
        <v>158.32</v>
      </c>
      <c r="L19" s="6">
        <v>159.52000000000001</v>
      </c>
      <c r="M19" s="6">
        <v>161.75</v>
      </c>
      <c r="N19" s="6">
        <v>160.80000000000001</v>
      </c>
      <c r="O19" s="6">
        <v>160.94</v>
      </c>
      <c r="P19" s="6">
        <v>160.27000000000001</v>
      </c>
      <c r="Q19" s="6">
        <v>160.79</v>
      </c>
      <c r="R19" s="6">
        <v>162.94999999999999</v>
      </c>
      <c r="S19" s="6">
        <v>161.9</v>
      </c>
      <c r="T19" s="6">
        <v>163.21</v>
      </c>
      <c r="U19" s="6">
        <v>161.44</v>
      </c>
      <c r="V19" s="6">
        <v>160.97</v>
      </c>
      <c r="W19" s="6">
        <v>163.69</v>
      </c>
      <c r="X19" s="6">
        <v>162.22999999999999</v>
      </c>
      <c r="Y19" s="6">
        <v>162.47</v>
      </c>
      <c r="Z19" s="6">
        <v>162.49</v>
      </c>
      <c r="AA19" s="6">
        <v>162.03</v>
      </c>
      <c r="AB19" s="6">
        <v>165.02</v>
      </c>
      <c r="AC19" s="6">
        <v>163.46</v>
      </c>
      <c r="AD19" s="6">
        <v>163.71</v>
      </c>
      <c r="AE19" s="6">
        <v>163.49</v>
      </c>
    </row>
    <row r="20" spans="1:31" x14ac:dyDescent="0.25">
      <c r="A20" t="s">
        <v>383</v>
      </c>
      <c r="B20" s="6">
        <v>11800.54</v>
      </c>
      <c r="C20" s="6">
        <v>11968.45</v>
      </c>
      <c r="D20" s="6">
        <v>11908.41</v>
      </c>
      <c r="E20" s="6">
        <v>11992.03</v>
      </c>
      <c r="F20" s="6">
        <v>47669.42</v>
      </c>
      <c r="G20" s="6">
        <v>12043.93</v>
      </c>
      <c r="H20" s="6">
        <v>12403.94</v>
      </c>
      <c r="I20" s="6">
        <v>12371.39</v>
      </c>
      <c r="J20" s="6">
        <v>12460.41</v>
      </c>
      <c r="K20" s="6">
        <v>49274.26</v>
      </c>
      <c r="L20" s="6">
        <v>12497.19</v>
      </c>
      <c r="M20" s="6">
        <v>12705.63</v>
      </c>
      <c r="N20" s="6">
        <v>12674.92</v>
      </c>
      <c r="O20" s="6">
        <v>12728.9</v>
      </c>
      <c r="P20" s="6">
        <v>50631.33</v>
      </c>
      <c r="Q20" s="6">
        <v>12707</v>
      </c>
      <c r="R20" s="6">
        <v>12913.33</v>
      </c>
      <c r="S20" s="6">
        <v>12872.85</v>
      </c>
      <c r="T20" s="6">
        <v>13009.68</v>
      </c>
      <c r="U20" s="6">
        <v>51635.5</v>
      </c>
      <c r="V20" s="6">
        <v>12794.24</v>
      </c>
      <c r="W20" s="6">
        <v>13036.59</v>
      </c>
      <c r="X20" s="6">
        <v>12952.03</v>
      </c>
      <c r="Y20" s="6">
        <v>12991.79</v>
      </c>
      <c r="Z20" s="6">
        <v>52251.02</v>
      </c>
      <c r="AA20" s="6">
        <v>12969.23</v>
      </c>
      <c r="AB20" s="6">
        <v>13230.71</v>
      </c>
      <c r="AC20" s="6">
        <v>13132.52</v>
      </c>
      <c r="AD20" s="6">
        <v>13166.52</v>
      </c>
      <c r="AE20" s="6">
        <v>52978.36</v>
      </c>
    </row>
    <row r="21" spans="1:31" x14ac:dyDescent="0.25">
      <c r="A21" t="s">
        <v>77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t="s">
        <v>384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t="s">
        <v>385</v>
      </c>
      <c r="B23" s="6">
        <v>174</v>
      </c>
      <c r="C23" s="6">
        <v>338</v>
      </c>
      <c r="D23" s="6">
        <v>178</v>
      </c>
      <c r="E23" s="6">
        <v>490</v>
      </c>
      <c r="F23" s="6">
        <v>1180</v>
      </c>
      <c r="G23" s="6">
        <v>102</v>
      </c>
      <c r="H23" s="6">
        <v>346</v>
      </c>
      <c r="I23" s="6">
        <v>298.5</v>
      </c>
      <c r="J23" s="6">
        <v>443.33</v>
      </c>
      <c r="K23" s="6">
        <v>1189.83</v>
      </c>
      <c r="L23" s="6">
        <v>124</v>
      </c>
      <c r="M23" s="6">
        <v>305.66000000000003</v>
      </c>
      <c r="N23" s="6">
        <v>238.74</v>
      </c>
      <c r="O23" s="6">
        <v>393.02</v>
      </c>
      <c r="P23" s="6">
        <v>1117.27</v>
      </c>
      <c r="Q23" s="6">
        <v>101.19</v>
      </c>
      <c r="R23" s="6">
        <v>294.76</v>
      </c>
      <c r="S23" s="6">
        <v>188.46</v>
      </c>
      <c r="T23" s="6">
        <v>416.33</v>
      </c>
      <c r="U23" s="6">
        <v>1057.3800000000001</v>
      </c>
      <c r="V23" s="6">
        <v>89.32</v>
      </c>
      <c r="W23" s="6">
        <v>343.17</v>
      </c>
      <c r="X23" s="6">
        <v>210.02</v>
      </c>
      <c r="Y23" s="6">
        <v>331.3</v>
      </c>
      <c r="Z23" s="6">
        <v>969.17</v>
      </c>
      <c r="AA23" s="6">
        <v>77.91</v>
      </c>
      <c r="AB23" s="6">
        <v>306.47000000000003</v>
      </c>
      <c r="AC23" s="6">
        <v>172.78</v>
      </c>
      <c r="AD23" s="6">
        <v>294.38</v>
      </c>
      <c r="AE23" s="6">
        <v>864.34</v>
      </c>
    </row>
    <row r="24" spans="1:31" x14ac:dyDescent="0.25">
      <c r="A24" t="s">
        <v>386</v>
      </c>
      <c r="B24" s="6">
        <v>73775</v>
      </c>
      <c r="C24" s="6">
        <v>74113</v>
      </c>
      <c r="D24" s="6">
        <v>74291</v>
      </c>
      <c r="E24" s="6">
        <v>74781</v>
      </c>
      <c r="F24" s="6">
        <v>74781</v>
      </c>
      <c r="G24" s="6">
        <v>74883</v>
      </c>
      <c r="H24" s="6">
        <v>75229</v>
      </c>
      <c r="I24" s="6">
        <v>75527.5</v>
      </c>
      <c r="J24" s="6">
        <v>75970.83</v>
      </c>
      <c r="K24" s="6">
        <v>75970.83</v>
      </c>
      <c r="L24" s="6">
        <v>76068.3</v>
      </c>
      <c r="M24" s="6">
        <v>76373.960000000006</v>
      </c>
      <c r="N24" s="6">
        <v>76612.710000000006</v>
      </c>
      <c r="O24" s="6">
        <v>77005.72</v>
      </c>
      <c r="P24" s="6">
        <v>77088.09</v>
      </c>
      <c r="Q24" s="6">
        <v>77054.75</v>
      </c>
      <c r="R24" s="6">
        <v>77349.509999999995</v>
      </c>
      <c r="S24" s="6">
        <v>77537.97</v>
      </c>
      <c r="T24" s="6">
        <v>77954.3</v>
      </c>
      <c r="U24" s="6">
        <v>78145.47</v>
      </c>
      <c r="V24" s="6">
        <v>78203.14</v>
      </c>
      <c r="W24" s="6">
        <v>78546.31</v>
      </c>
      <c r="X24" s="6">
        <v>78756.33</v>
      </c>
      <c r="Y24" s="6">
        <v>79087.62</v>
      </c>
      <c r="Z24" s="6">
        <v>79210.320000000007</v>
      </c>
      <c r="AA24" s="6">
        <v>79165.53</v>
      </c>
      <c r="AB24" s="6">
        <v>79472</v>
      </c>
      <c r="AC24" s="6">
        <v>79644.78</v>
      </c>
      <c r="AD24" s="6">
        <v>79939.16</v>
      </c>
      <c r="AE24" s="6">
        <v>80074.66</v>
      </c>
    </row>
    <row r="25" spans="1:31" x14ac:dyDescent="0.25">
      <c r="A25" t="s">
        <v>77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t="s">
        <v>387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t="s">
        <v>388</v>
      </c>
      <c r="B27" s="6">
        <v>-48</v>
      </c>
      <c r="C27" s="6">
        <v>-65</v>
      </c>
      <c r="D27" s="6">
        <v>-136</v>
      </c>
      <c r="E27" s="6">
        <v>-315</v>
      </c>
      <c r="F27" s="6">
        <v>-564</v>
      </c>
      <c r="G27" s="6">
        <v>-102</v>
      </c>
      <c r="H27" s="6">
        <v>-23</v>
      </c>
      <c r="I27" s="6">
        <v>-90.42</v>
      </c>
      <c r="J27" s="6">
        <v>-220.95</v>
      </c>
      <c r="K27" s="6">
        <v>-301.04000000000002</v>
      </c>
      <c r="L27" s="6">
        <v>-84.94</v>
      </c>
      <c r="M27" s="6">
        <v>-20.14</v>
      </c>
      <c r="N27" s="6">
        <v>51.31</v>
      </c>
      <c r="O27" s="6">
        <v>-242.49</v>
      </c>
      <c r="P27" s="6">
        <v>-278.55</v>
      </c>
      <c r="Q27" s="6">
        <v>-112.81</v>
      </c>
      <c r="R27" s="6">
        <v>-22.86</v>
      </c>
      <c r="S27" s="6">
        <v>-135.82</v>
      </c>
      <c r="T27" s="6">
        <v>-288.83999999999997</v>
      </c>
      <c r="U27" s="6">
        <v>-293.81</v>
      </c>
      <c r="V27" s="6">
        <v>-106.47</v>
      </c>
      <c r="W27" s="6">
        <v>-33.479999999999997</v>
      </c>
      <c r="X27" s="6">
        <v>-129.47</v>
      </c>
      <c r="Y27" s="6">
        <v>-304.85000000000002</v>
      </c>
      <c r="Z27" s="6">
        <v>-252.61</v>
      </c>
      <c r="AA27" s="6">
        <v>-116.22</v>
      </c>
      <c r="AB27" s="6">
        <v>-44.05</v>
      </c>
      <c r="AC27" s="6">
        <v>-139.63999999999999</v>
      </c>
      <c r="AD27" s="6">
        <v>-314.24</v>
      </c>
      <c r="AE27" s="6">
        <v>-273.66000000000003</v>
      </c>
    </row>
    <row r="28" spans="1:31" x14ac:dyDescent="0.25">
      <c r="A28" t="s">
        <v>389</v>
      </c>
      <c r="B28" s="6">
        <v>17159</v>
      </c>
      <c r="C28" s="6">
        <v>17094</v>
      </c>
      <c r="D28" s="6">
        <v>16958</v>
      </c>
      <c r="E28" s="6">
        <v>16643</v>
      </c>
      <c r="F28" s="6">
        <v>16643</v>
      </c>
      <c r="G28" s="6">
        <v>16541</v>
      </c>
      <c r="H28" s="6">
        <v>16518</v>
      </c>
      <c r="I28" s="6">
        <v>16562.91</v>
      </c>
      <c r="J28" s="6">
        <v>16341.96</v>
      </c>
      <c r="K28" s="6">
        <v>16341.96</v>
      </c>
      <c r="L28" s="6">
        <v>16262.47</v>
      </c>
      <c r="M28" s="6">
        <v>16242.32</v>
      </c>
      <c r="N28" s="6">
        <v>16293.63</v>
      </c>
      <c r="O28" s="6">
        <v>16051.14</v>
      </c>
      <c r="P28" s="6">
        <v>16063.4</v>
      </c>
      <c r="Q28" s="6">
        <v>15486.75</v>
      </c>
      <c r="R28" s="6">
        <v>15463.89</v>
      </c>
      <c r="S28" s="6">
        <v>15328.08</v>
      </c>
      <c r="T28" s="6">
        <v>15039.24</v>
      </c>
      <c r="U28" s="6">
        <v>15769.6</v>
      </c>
      <c r="V28" s="6">
        <v>14978.3</v>
      </c>
      <c r="W28" s="6">
        <v>14944.82</v>
      </c>
      <c r="X28" s="6">
        <v>14815.35</v>
      </c>
      <c r="Y28" s="6">
        <v>14510.51</v>
      </c>
      <c r="Z28" s="6">
        <v>15681.27</v>
      </c>
      <c r="AA28" s="6">
        <v>14394.29</v>
      </c>
      <c r="AB28" s="6">
        <v>14350.24</v>
      </c>
      <c r="AC28" s="6">
        <v>14210.6</v>
      </c>
      <c r="AD28" s="6">
        <v>13896.37</v>
      </c>
      <c r="AE28" s="6">
        <v>15407.61</v>
      </c>
    </row>
    <row r="29" spans="1:31" x14ac:dyDescent="0.25">
      <c r="A29" t="s">
        <v>390</v>
      </c>
      <c r="B29" s="6">
        <v>17183</v>
      </c>
      <c r="C29" s="6">
        <v>17126.5</v>
      </c>
      <c r="D29" s="6">
        <v>17026</v>
      </c>
      <c r="E29" s="6">
        <v>16800.5</v>
      </c>
      <c r="F29" s="6">
        <v>16925</v>
      </c>
      <c r="G29" s="6">
        <v>16592</v>
      </c>
      <c r="H29" s="6">
        <v>16529.5</v>
      </c>
      <c r="I29" s="6">
        <v>16545.04</v>
      </c>
      <c r="J29" s="6">
        <v>16452.43</v>
      </c>
      <c r="K29" s="6">
        <v>16513.310000000001</v>
      </c>
      <c r="L29" s="6">
        <v>16304.94</v>
      </c>
      <c r="M29" s="6">
        <v>16252.39</v>
      </c>
      <c r="N29" s="6">
        <v>16267.98</v>
      </c>
      <c r="O29" s="6">
        <v>16172.39</v>
      </c>
      <c r="P29" s="6">
        <v>16220.43</v>
      </c>
      <c r="Q29" s="6">
        <v>15543.16</v>
      </c>
      <c r="R29" s="6">
        <v>15475.32</v>
      </c>
      <c r="S29" s="6">
        <v>15395.99</v>
      </c>
      <c r="T29" s="6">
        <v>15183.66</v>
      </c>
      <c r="U29" s="6">
        <v>15934.25</v>
      </c>
      <c r="V29" s="6">
        <v>15031.53</v>
      </c>
      <c r="W29" s="6">
        <v>14961.56</v>
      </c>
      <c r="X29" s="6">
        <v>14880.09</v>
      </c>
      <c r="Y29" s="6">
        <v>14662.93</v>
      </c>
      <c r="Z29" s="6">
        <v>15828.88</v>
      </c>
      <c r="AA29" s="6">
        <v>14452.4</v>
      </c>
      <c r="AB29" s="6">
        <v>14372.27</v>
      </c>
      <c r="AC29" s="6">
        <v>14280.42</v>
      </c>
      <c r="AD29" s="6">
        <v>14053.49</v>
      </c>
      <c r="AE29" s="6">
        <v>15565.74</v>
      </c>
    </row>
    <row r="30" spans="1:31" x14ac:dyDescent="0.25">
      <c r="A30" t="s">
        <v>391</v>
      </c>
      <c r="B30" s="6">
        <v>36.29</v>
      </c>
      <c r="C30" s="6">
        <v>36.450000000000003</v>
      </c>
      <c r="D30" s="6">
        <v>36.380000000000003</v>
      </c>
      <c r="E30" s="6">
        <v>36.15</v>
      </c>
      <c r="F30" s="6">
        <v>36.32</v>
      </c>
      <c r="G30" s="6">
        <v>36.19</v>
      </c>
      <c r="H30" s="6">
        <v>36.53</v>
      </c>
      <c r="I30" s="6">
        <v>36.54</v>
      </c>
      <c r="J30" s="6">
        <v>36.409999999999997</v>
      </c>
      <c r="K30" s="6">
        <v>36.520000000000003</v>
      </c>
      <c r="L30" s="6">
        <v>36.46</v>
      </c>
      <c r="M30" s="6">
        <v>36.58</v>
      </c>
      <c r="N30" s="6">
        <v>36.770000000000003</v>
      </c>
      <c r="O30" s="6">
        <v>36.68</v>
      </c>
      <c r="P30" s="6">
        <v>36.67</v>
      </c>
      <c r="Q30" s="6">
        <v>36.61</v>
      </c>
      <c r="R30" s="6">
        <v>36.83</v>
      </c>
      <c r="S30" s="6">
        <v>37.090000000000003</v>
      </c>
      <c r="T30" s="6">
        <v>37.14</v>
      </c>
      <c r="U30" s="6">
        <v>36.78</v>
      </c>
      <c r="V30" s="6">
        <v>36.49</v>
      </c>
      <c r="W30" s="6">
        <v>36.57</v>
      </c>
      <c r="X30" s="6">
        <v>37.28</v>
      </c>
      <c r="Y30" s="6">
        <v>37.07</v>
      </c>
      <c r="Z30" s="6">
        <v>36.76</v>
      </c>
      <c r="AA30" s="6">
        <v>36.44</v>
      </c>
      <c r="AB30" s="6">
        <v>36.659999999999997</v>
      </c>
      <c r="AC30" s="6">
        <v>37.33</v>
      </c>
      <c r="AD30" s="6">
        <v>37.31</v>
      </c>
      <c r="AE30" s="6">
        <v>36.83</v>
      </c>
    </row>
    <row r="31" spans="1:31" x14ac:dyDescent="0.25">
      <c r="A31" t="s">
        <v>392</v>
      </c>
      <c r="B31" s="6">
        <v>1870.71</v>
      </c>
      <c r="C31" s="6">
        <v>1872.78</v>
      </c>
      <c r="D31" s="6">
        <v>1858.22</v>
      </c>
      <c r="E31" s="6">
        <v>1822.01</v>
      </c>
      <c r="F31" s="6">
        <v>7423.73</v>
      </c>
      <c r="G31" s="6">
        <v>1801.39</v>
      </c>
      <c r="H31" s="6">
        <v>1811.47</v>
      </c>
      <c r="I31" s="6">
        <v>1813.55</v>
      </c>
      <c r="J31" s="6">
        <v>1797.25</v>
      </c>
      <c r="K31" s="6">
        <v>7221.9</v>
      </c>
      <c r="L31" s="6">
        <v>1783.2</v>
      </c>
      <c r="M31" s="6">
        <v>1783.44</v>
      </c>
      <c r="N31" s="6">
        <v>1794.49</v>
      </c>
      <c r="O31" s="6">
        <v>1779.38</v>
      </c>
      <c r="P31" s="6">
        <v>7125.44</v>
      </c>
      <c r="Q31" s="6">
        <v>1706.99</v>
      </c>
      <c r="R31" s="6">
        <v>1709.67</v>
      </c>
      <c r="S31" s="6">
        <v>1713.39</v>
      </c>
      <c r="T31" s="6">
        <v>1691.51</v>
      </c>
      <c r="U31" s="6">
        <v>7022.12</v>
      </c>
      <c r="V31" s="6">
        <v>1644.4</v>
      </c>
      <c r="W31" s="6">
        <v>1640.96</v>
      </c>
      <c r="X31" s="6">
        <v>1664.79</v>
      </c>
      <c r="Y31" s="6">
        <v>1631.17</v>
      </c>
      <c r="Z31" s="6">
        <v>6972.38</v>
      </c>
      <c r="AA31" s="6">
        <v>1578.37</v>
      </c>
      <c r="AB31" s="6">
        <v>1579.19</v>
      </c>
      <c r="AC31" s="6">
        <v>1600.37</v>
      </c>
      <c r="AD31" s="6">
        <v>1573.51</v>
      </c>
      <c r="AE31" s="6">
        <v>6869.12</v>
      </c>
    </row>
    <row r="32" spans="1:31" x14ac:dyDescent="0.25">
      <c r="A32" t="s">
        <v>77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t="s">
        <v>393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t="s">
        <v>394</v>
      </c>
      <c r="B34" s="6">
        <v>72749</v>
      </c>
      <c r="C34" s="6">
        <v>73031</v>
      </c>
      <c r="D34" s="6">
        <v>73408</v>
      </c>
      <c r="E34" s="6">
        <v>73801</v>
      </c>
      <c r="F34" s="6">
        <v>72749</v>
      </c>
      <c r="G34" s="6">
        <v>74214</v>
      </c>
      <c r="H34" s="6">
        <v>74503</v>
      </c>
      <c r="I34" s="6">
        <v>74931.5</v>
      </c>
      <c r="J34" s="6">
        <v>75312.710000000006</v>
      </c>
      <c r="K34" s="6">
        <v>74214</v>
      </c>
      <c r="L34" s="6">
        <v>75713.2</v>
      </c>
      <c r="M34" s="6">
        <v>75981.13</v>
      </c>
      <c r="N34" s="6">
        <v>76357.91</v>
      </c>
      <c r="O34" s="6">
        <v>76695.820000000007</v>
      </c>
      <c r="P34" s="6">
        <v>75721.279999999999</v>
      </c>
      <c r="Q34" s="6">
        <v>77060.03</v>
      </c>
      <c r="R34" s="6">
        <v>77277.86</v>
      </c>
      <c r="S34" s="6">
        <v>77600.17</v>
      </c>
      <c r="T34" s="6">
        <v>77861.7</v>
      </c>
      <c r="U34" s="6">
        <v>77047.86</v>
      </c>
      <c r="V34" s="6">
        <v>78290.649999999994</v>
      </c>
      <c r="W34" s="6">
        <v>78456.12</v>
      </c>
      <c r="X34" s="6">
        <v>78756.28</v>
      </c>
      <c r="Y34" s="6">
        <v>78986.429999999993</v>
      </c>
      <c r="Z34" s="6">
        <v>78251.350000000006</v>
      </c>
      <c r="AA34" s="6">
        <v>79241.58</v>
      </c>
      <c r="AB34" s="6">
        <v>79359.53</v>
      </c>
      <c r="AC34" s="6">
        <v>79613.42</v>
      </c>
      <c r="AD34" s="6">
        <v>79796.66</v>
      </c>
      <c r="AE34" s="6">
        <v>79260.460000000006</v>
      </c>
    </row>
    <row r="35" spans="1:31" x14ac:dyDescent="0.25">
      <c r="A35" t="s">
        <v>395</v>
      </c>
      <c r="B35" s="6">
        <v>2135.4499999999998</v>
      </c>
      <c r="C35" s="6">
        <v>2307.11</v>
      </c>
      <c r="D35" s="6">
        <v>2431.06</v>
      </c>
      <c r="E35" s="6">
        <v>2596.8200000000002</v>
      </c>
      <c r="F35" s="6">
        <v>9484.2900000000009</v>
      </c>
      <c r="G35" s="6">
        <v>2279.37</v>
      </c>
      <c r="H35" s="6">
        <v>2359.5700000000002</v>
      </c>
      <c r="I35" s="6">
        <v>2427.64</v>
      </c>
      <c r="J35" s="6">
        <v>2592.7199999999998</v>
      </c>
      <c r="K35" s="6">
        <v>9654.98</v>
      </c>
      <c r="L35" s="6">
        <v>2253.9699999999998</v>
      </c>
      <c r="M35" s="6">
        <v>2330.4699999999998</v>
      </c>
      <c r="N35" s="6">
        <v>2408.25</v>
      </c>
      <c r="O35" s="6">
        <v>2574.64</v>
      </c>
      <c r="P35" s="6">
        <v>9522.7800000000007</v>
      </c>
      <c r="Q35" s="6">
        <v>2264.84</v>
      </c>
      <c r="R35" s="6">
        <v>2336</v>
      </c>
      <c r="S35" s="6">
        <v>2420.5700000000002</v>
      </c>
      <c r="T35" s="6">
        <v>2581.0300000000002</v>
      </c>
      <c r="U35" s="6">
        <v>9547.5400000000009</v>
      </c>
      <c r="V35" s="6">
        <v>2269.48</v>
      </c>
      <c r="W35" s="6">
        <v>2334.3000000000002</v>
      </c>
      <c r="X35" s="6">
        <v>2418.33</v>
      </c>
      <c r="Y35" s="6">
        <v>2582.58</v>
      </c>
      <c r="Z35" s="6">
        <v>9539.07</v>
      </c>
      <c r="AA35" s="6">
        <v>2265.83</v>
      </c>
      <c r="AB35" s="6">
        <v>2329.8200000000002</v>
      </c>
      <c r="AC35" s="6">
        <v>2413.67</v>
      </c>
      <c r="AD35" s="6">
        <v>2577.62</v>
      </c>
      <c r="AE35" s="6">
        <v>9543.36</v>
      </c>
    </row>
    <row r="36" spans="1:31" x14ac:dyDescent="0.25">
      <c r="A36" t="s">
        <v>396</v>
      </c>
      <c r="B36" s="8">
        <v>8.3000000000000001E-3</v>
      </c>
      <c r="C36" s="8">
        <v>8.6999999999999994E-3</v>
      </c>
      <c r="D36" s="8">
        <v>9.1999999999999998E-3</v>
      </c>
      <c r="E36" s="8">
        <v>9.7999999999999997E-3</v>
      </c>
      <c r="F36" s="8">
        <v>8.9999999999999993E-3</v>
      </c>
      <c r="G36" s="8">
        <v>8.8999999999999999E-3</v>
      </c>
      <c r="H36" s="8">
        <v>8.6E-3</v>
      </c>
      <c r="I36" s="8">
        <v>9.1000000000000004E-3</v>
      </c>
      <c r="J36" s="8">
        <v>9.7000000000000003E-3</v>
      </c>
      <c r="K36" s="8">
        <v>9.1000000000000004E-3</v>
      </c>
      <c r="L36" s="8">
        <v>8.6999999999999994E-3</v>
      </c>
      <c r="M36" s="8">
        <v>8.6E-3</v>
      </c>
      <c r="N36" s="8">
        <v>8.9999999999999993E-3</v>
      </c>
      <c r="O36" s="8">
        <v>9.4999999999999998E-3</v>
      </c>
      <c r="P36" s="8">
        <v>8.9999999999999993E-3</v>
      </c>
      <c r="Q36" s="8">
        <v>8.8000000000000005E-3</v>
      </c>
      <c r="R36" s="8">
        <v>8.6999999999999994E-3</v>
      </c>
      <c r="S36" s="8">
        <v>9.1999999999999998E-3</v>
      </c>
      <c r="T36" s="8">
        <v>9.5999999999999992E-3</v>
      </c>
      <c r="U36" s="8">
        <v>8.9999999999999993E-3</v>
      </c>
      <c r="V36" s="8">
        <v>8.8999999999999999E-3</v>
      </c>
      <c r="W36" s="8">
        <v>8.6E-3</v>
      </c>
      <c r="X36" s="8">
        <v>9.1999999999999998E-3</v>
      </c>
      <c r="Y36" s="8">
        <v>9.7999999999999997E-3</v>
      </c>
      <c r="Z36" s="8">
        <v>9.1000000000000004E-3</v>
      </c>
      <c r="AA36" s="8">
        <v>8.9999999999999993E-3</v>
      </c>
      <c r="AB36" s="8">
        <v>8.6999999999999994E-3</v>
      </c>
      <c r="AC36" s="8">
        <v>9.2999999999999992E-3</v>
      </c>
      <c r="AD36" s="8">
        <v>9.9000000000000008E-3</v>
      </c>
      <c r="AE36" s="8">
        <v>9.1000000000000004E-3</v>
      </c>
    </row>
    <row r="37" spans="1:31" x14ac:dyDescent="0.25">
      <c r="A37" t="s">
        <v>397</v>
      </c>
      <c r="B37" s="6">
        <v>1814.96</v>
      </c>
      <c r="C37" s="6">
        <v>1911.03</v>
      </c>
      <c r="D37" s="6">
        <v>2031.48</v>
      </c>
      <c r="E37" s="6">
        <v>2175.8200000000002</v>
      </c>
      <c r="F37" s="6">
        <v>7933.29</v>
      </c>
      <c r="G37" s="6">
        <v>1985.37</v>
      </c>
      <c r="H37" s="6">
        <v>1927.57</v>
      </c>
      <c r="I37" s="6">
        <v>2048.81</v>
      </c>
      <c r="J37" s="6">
        <v>2182.48</v>
      </c>
      <c r="K37" s="6">
        <v>8140.76</v>
      </c>
      <c r="L37" s="6">
        <v>1984.5</v>
      </c>
      <c r="M37" s="6">
        <v>1961.67</v>
      </c>
      <c r="N37" s="6">
        <v>2067.61</v>
      </c>
      <c r="O37" s="6">
        <v>2197.7199999999998</v>
      </c>
      <c r="P37" s="6">
        <v>8202.9</v>
      </c>
      <c r="Q37" s="6">
        <v>2046.01</v>
      </c>
      <c r="R37" s="6">
        <v>2012.79</v>
      </c>
      <c r="S37" s="6">
        <v>2153.89</v>
      </c>
      <c r="T37" s="6">
        <v>2252.33</v>
      </c>
      <c r="U37" s="6">
        <v>8398.83</v>
      </c>
      <c r="V37" s="6">
        <v>2096</v>
      </c>
      <c r="W37" s="6">
        <v>2026.14</v>
      </c>
      <c r="X37" s="6">
        <v>2180.17</v>
      </c>
      <c r="Y37" s="6">
        <v>2319.44</v>
      </c>
      <c r="Z37" s="6">
        <v>8542.61</v>
      </c>
      <c r="AA37" s="6">
        <v>2139.89</v>
      </c>
      <c r="AB37" s="6">
        <v>2067.9299999999998</v>
      </c>
      <c r="AC37" s="6">
        <v>2222.4299999999998</v>
      </c>
      <c r="AD37" s="6">
        <v>2361.66</v>
      </c>
      <c r="AE37" s="6">
        <v>8694.51</v>
      </c>
    </row>
    <row r="38" spans="1:31" x14ac:dyDescent="0.25">
      <c r="A38" t="s">
        <v>398</v>
      </c>
      <c r="B38" s="6">
        <v>324</v>
      </c>
      <c r="C38" s="6">
        <v>401</v>
      </c>
      <c r="D38" s="6">
        <v>405</v>
      </c>
      <c r="E38" s="6">
        <v>421</v>
      </c>
      <c r="F38" s="6">
        <v>1551</v>
      </c>
      <c r="G38" s="6">
        <v>294</v>
      </c>
      <c r="H38" s="6">
        <v>432</v>
      </c>
      <c r="I38" s="6">
        <v>382.61</v>
      </c>
      <c r="J38" s="6">
        <v>412.19</v>
      </c>
      <c r="K38" s="6">
        <v>1529.8</v>
      </c>
      <c r="L38" s="6">
        <v>269.77</v>
      </c>
      <c r="M38" s="6">
        <v>369.13</v>
      </c>
      <c r="N38" s="6">
        <v>341</v>
      </c>
      <c r="O38" s="6">
        <v>377.31</v>
      </c>
      <c r="P38" s="6">
        <v>1339.28</v>
      </c>
      <c r="Q38" s="6">
        <v>219.27</v>
      </c>
      <c r="R38" s="6">
        <v>323.74</v>
      </c>
      <c r="S38" s="6">
        <v>267.24</v>
      </c>
      <c r="T38" s="6">
        <v>329.31</v>
      </c>
      <c r="U38" s="6">
        <v>1171.56</v>
      </c>
      <c r="V38" s="6">
        <v>173.47</v>
      </c>
      <c r="W38" s="6">
        <v>308.16000000000003</v>
      </c>
      <c r="X38" s="6">
        <v>238.16</v>
      </c>
      <c r="Y38" s="6">
        <v>263.14</v>
      </c>
      <c r="Z38" s="6">
        <v>1027.57</v>
      </c>
      <c r="AA38" s="6">
        <v>125.95</v>
      </c>
      <c r="AB38" s="6">
        <v>261.89999999999998</v>
      </c>
      <c r="AC38" s="6">
        <v>191.24</v>
      </c>
      <c r="AD38" s="6">
        <v>215.96</v>
      </c>
      <c r="AE38" s="6">
        <v>885.88</v>
      </c>
    </row>
    <row r="39" spans="1:31" x14ac:dyDescent="0.25">
      <c r="A39" t="s">
        <v>399</v>
      </c>
      <c r="B39" s="6">
        <v>-42</v>
      </c>
      <c r="C39" s="6">
        <v>-24</v>
      </c>
      <c r="D39" s="6">
        <v>-12</v>
      </c>
      <c r="E39" s="6">
        <v>-8</v>
      </c>
      <c r="F39" s="6">
        <v>-86</v>
      </c>
      <c r="G39" s="6">
        <v>-5</v>
      </c>
      <c r="H39" s="6">
        <v>-14</v>
      </c>
      <c r="I39" s="6">
        <v>-3.33</v>
      </c>
      <c r="J39" s="6">
        <v>-3.33</v>
      </c>
      <c r="K39" s="6">
        <v>-22.2</v>
      </c>
      <c r="L39" s="6">
        <v>-1.43</v>
      </c>
      <c r="M39" s="6">
        <v>-1.43</v>
      </c>
      <c r="N39" s="6">
        <v>-1.43</v>
      </c>
      <c r="O39" s="6">
        <v>-1.43</v>
      </c>
      <c r="P39" s="6">
        <v>-12</v>
      </c>
      <c r="Q39" s="6">
        <v>-2.5</v>
      </c>
      <c r="R39" s="6">
        <v>-2.5</v>
      </c>
      <c r="S39" s="6">
        <v>-10</v>
      </c>
      <c r="T39" s="6">
        <v>-10</v>
      </c>
      <c r="U39" s="6">
        <v>-18</v>
      </c>
      <c r="V39" s="6">
        <v>-10</v>
      </c>
      <c r="W39" s="6">
        <v>-10</v>
      </c>
      <c r="X39" s="6">
        <v>-10</v>
      </c>
      <c r="Y39" s="6">
        <v>-10</v>
      </c>
      <c r="Z39" s="6">
        <v>-26.67</v>
      </c>
      <c r="AA39" s="6">
        <v>-10</v>
      </c>
      <c r="AB39" s="6">
        <v>-10</v>
      </c>
      <c r="AC39" s="6">
        <v>-10</v>
      </c>
      <c r="AD39" s="6">
        <v>-10</v>
      </c>
      <c r="AE39" s="6">
        <v>-26.67</v>
      </c>
    </row>
    <row r="40" spans="1:31" x14ac:dyDescent="0.25">
      <c r="A40" t="s">
        <v>400</v>
      </c>
      <c r="B40" s="6">
        <v>282</v>
      </c>
      <c r="C40" s="6">
        <v>377</v>
      </c>
      <c r="D40" s="6">
        <v>393</v>
      </c>
      <c r="E40" s="6">
        <v>413</v>
      </c>
      <c r="F40" s="6">
        <v>1465</v>
      </c>
      <c r="G40" s="6">
        <v>289</v>
      </c>
      <c r="H40" s="6">
        <v>418</v>
      </c>
      <c r="I40" s="6">
        <v>381.21</v>
      </c>
      <c r="J40" s="6">
        <v>408.58</v>
      </c>
      <c r="K40" s="6">
        <v>1507.28</v>
      </c>
      <c r="L40" s="6">
        <v>267.93</v>
      </c>
      <c r="M40" s="6">
        <v>376.78</v>
      </c>
      <c r="N40" s="6">
        <v>337.91</v>
      </c>
      <c r="O40" s="6">
        <v>367.07</v>
      </c>
      <c r="P40" s="6">
        <v>1327.23</v>
      </c>
      <c r="Q40" s="6">
        <v>217.84</v>
      </c>
      <c r="R40" s="6">
        <v>322.31</v>
      </c>
      <c r="S40" s="6">
        <v>261.52999999999997</v>
      </c>
      <c r="T40" s="6">
        <v>323.60000000000002</v>
      </c>
      <c r="U40" s="6">
        <v>1159.56</v>
      </c>
      <c r="V40" s="6">
        <v>165.47</v>
      </c>
      <c r="W40" s="6">
        <v>300.16000000000003</v>
      </c>
      <c r="X40" s="6">
        <v>230.16</v>
      </c>
      <c r="Y40" s="6">
        <v>255.14</v>
      </c>
      <c r="Z40" s="6">
        <v>1009.11</v>
      </c>
      <c r="AA40" s="6">
        <v>117.95</v>
      </c>
      <c r="AB40" s="6">
        <v>253.9</v>
      </c>
      <c r="AC40" s="6">
        <v>183.24</v>
      </c>
      <c r="AD40" s="6">
        <v>207.96</v>
      </c>
      <c r="AE40" s="6">
        <v>867.42</v>
      </c>
    </row>
    <row r="41" spans="1:31" x14ac:dyDescent="0.25">
      <c r="A41" t="s">
        <v>401</v>
      </c>
      <c r="B41" s="6">
        <v>73031</v>
      </c>
      <c r="C41" s="6">
        <v>73408</v>
      </c>
      <c r="D41" s="6">
        <v>73801</v>
      </c>
      <c r="E41" s="6">
        <v>74214</v>
      </c>
      <c r="F41" s="6">
        <v>74214</v>
      </c>
      <c r="G41" s="6">
        <v>74503</v>
      </c>
      <c r="H41" s="6">
        <v>74921</v>
      </c>
      <c r="I41" s="6">
        <v>75312.710000000006</v>
      </c>
      <c r="J41" s="6">
        <v>75721.279999999999</v>
      </c>
      <c r="K41" s="6">
        <v>75721.279999999999</v>
      </c>
      <c r="L41" s="6">
        <v>75981.13</v>
      </c>
      <c r="M41" s="6">
        <v>76357.91</v>
      </c>
      <c r="N41" s="6">
        <v>76695.820000000007</v>
      </c>
      <c r="O41" s="6">
        <v>77062.89</v>
      </c>
      <c r="P41" s="6">
        <v>77047.86</v>
      </c>
      <c r="Q41" s="6">
        <v>77277.86</v>
      </c>
      <c r="R41" s="6">
        <v>77600.17</v>
      </c>
      <c r="S41" s="6">
        <v>77861.7</v>
      </c>
      <c r="T41" s="6">
        <v>78185.3</v>
      </c>
      <c r="U41" s="6">
        <v>78207.429999999993</v>
      </c>
      <c r="V41" s="6">
        <v>78456.12</v>
      </c>
      <c r="W41" s="6">
        <v>78756.28</v>
      </c>
      <c r="X41" s="6">
        <v>78986.429999999993</v>
      </c>
      <c r="Y41" s="6">
        <v>79241.58</v>
      </c>
      <c r="Z41" s="6">
        <v>79260.460000000006</v>
      </c>
      <c r="AA41" s="6">
        <v>79359.53</v>
      </c>
      <c r="AB41" s="6">
        <v>79613.42</v>
      </c>
      <c r="AC41" s="6">
        <v>79796.66</v>
      </c>
      <c r="AD41" s="6">
        <v>80004.62</v>
      </c>
      <c r="AE41" s="6">
        <v>80127.88</v>
      </c>
    </row>
    <row r="42" spans="1:31" x14ac:dyDescent="0.25">
      <c r="A42" t="s">
        <v>402</v>
      </c>
      <c r="B42" s="6">
        <v>72890</v>
      </c>
      <c r="C42" s="6">
        <v>73219.5</v>
      </c>
      <c r="D42" s="6">
        <v>73604.5</v>
      </c>
      <c r="E42" s="6">
        <v>74007.5</v>
      </c>
      <c r="F42" s="6">
        <v>73481.5</v>
      </c>
      <c r="G42" s="6">
        <v>74358.5</v>
      </c>
      <c r="H42" s="6">
        <v>74712</v>
      </c>
      <c r="I42" s="6">
        <v>75122.100000000006</v>
      </c>
      <c r="J42" s="6">
        <v>75516.990000000005</v>
      </c>
      <c r="K42" s="6">
        <v>74950.77</v>
      </c>
      <c r="L42" s="6">
        <v>75847.16</v>
      </c>
      <c r="M42" s="6">
        <v>76169.52</v>
      </c>
      <c r="N42" s="6">
        <v>76526.87</v>
      </c>
      <c r="O42" s="6">
        <v>76879.350000000006</v>
      </c>
      <c r="P42" s="6">
        <v>76371.33</v>
      </c>
      <c r="Q42" s="6">
        <v>77168.95</v>
      </c>
      <c r="R42" s="6">
        <v>77439.02</v>
      </c>
      <c r="S42" s="6">
        <v>77730.94</v>
      </c>
      <c r="T42" s="6">
        <v>78023.5</v>
      </c>
      <c r="U42" s="6">
        <v>77612.59</v>
      </c>
      <c r="V42" s="6">
        <v>78373.38</v>
      </c>
      <c r="W42" s="6">
        <v>78606.2</v>
      </c>
      <c r="X42" s="6">
        <v>78871.360000000001</v>
      </c>
      <c r="Y42" s="6">
        <v>79114.009999999995</v>
      </c>
      <c r="Z42" s="6">
        <v>78745.66</v>
      </c>
      <c r="AA42" s="6">
        <v>79300.55</v>
      </c>
      <c r="AB42" s="6">
        <v>79486.47</v>
      </c>
      <c r="AC42" s="6">
        <v>79705.039999999994</v>
      </c>
      <c r="AD42" s="6">
        <v>79900.639999999999</v>
      </c>
      <c r="AE42" s="6">
        <v>79683.89</v>
      </c>
    </row>
    <row r="43" spans="1:31" x14ac:dyDescent="0.25">
      <c r="A43" t="s">
        <v>403</v>
      </c>
      <c r="B43" s="6">
        <v>56.56</v>
      </c>
      <c r="C43" s="6">
        <v>57.04</v>
      </c>
      <c r="D43" s="6">
        <v>56.64</v>
      </c>
      <c r="E43" s="6">
        <v>56.57</v>
      </c>
      <c r="F43" s="6">
        <v>56.7</v>
      </c>
      <c r="G43" s="6">
        <v>56.51</v>
      </c>
      <c r="H43" s="6">
        <v>58.01</v>
      </c>
      <c r="I43" s="6">
        <v>57.57</v>
      </c>
      <c r="J43" s="6">
        <v>57.51</v>
      </c>
      <c r="K43" s="6">
        <v>57.4</v>
      </c>
      <c r="L43" s="6">
        <v>57.38</v>
      </c>
      <c r="M43" s="6">
        <v>58.13</v>
      </c>
      <c r="N43" s="6">
        <v>57.98</v>
      </c>
      <c r="O43" s="6">
        <v>57.88</v>
      </c>
      <c r="P43" s="6">
        <v>57.8</v>
      </c>
      <c r="Q43" s="6">
        <v>57.66</v>
      </c>
      <c r="R43" s="6">
        <v>58.49</v>
      </c>
      <c r="S43" s="6">
        <v>58.12</v>
      </c>
      <c r="T43" s="6">
        <v>58.28</v>
      </c>
      <c r="U43" s="6">
        <v>58.13</v>
      </c>
      <c r="V43" s="6">
        <v>57.86</v>
      </c>
      <c r="W43" s="6">
        <v>58.95</v>
      </c>
      <c r="X43" s="6">
        <v>58.54</v>
      </c>
      <c r="Y43" s="6">
        <v>58.37</v>
      </c>
      <c r="Z43" s="6">
        <v>58.39</v>
      </c>
      <c r="AA43" s="6">
        <v>58.19</v>
      </c>
      <c r="AB43" s="6">
        <v>59.28</v>
      </c>
      <c r="AC43" s="6">
        <v>58.94</v>
      </c>
      <c r="AD43" s="6">
        <v>58.78</v>
      </c>
      <c r="AE43" s="6">
        <v>58.7</v>
      </c>
    </row>
    <row r="44" spans="1:31" x14ac:dyDescent="0.25">
      <c r="A44" t="s">
        <v>404</v>
      </c>
      <c r="B44" s="6">
        <v>12367.98</v>
      </c>
      <c r="C44" s="6">
        <v>12529.32</v>
      </c>
      <c r="D44" s="6">
        <v>12506.88</v>
      </c>
      <c r="E44" s="6">
        <v>12559.81</v>
      </c>
      <c r="F44" s="6">
        <v>49963.99</v>
      </c>
      <c r="G44" s="6">
        <v>12606</v>
      </c>
      <c r="H44" s="6">
        <v>13002.13</v>
      </c>
      <c r="I44" s="6">
        <v>12974.19</v>
      </c>
      <c r="J44" s="6">
        <v>13029.43</v>
      </c>
      <c r="K44" s="6">
        <v>51619.5</v>
      </c>
      <c r="L44" s="6">
        <v>13055.68</v>
      </c>
      <c r="M44" s="6">
        <v>13282.62</v>
      </c>
      <c r="N44" s="6">
        <v>13309.32</v>
      </c>
      <c r="O44" s="6">
        <v>13348.75</v>
      </c>
      <c r="P44" s="6">
        <v>52964.38</v>
      </c>
      <c r="Q44" s="6">
        <v>13348.78</v>
      </c>
      <c r="R44" s="6">
        <v>13588.7</v>
      </c>
      <c r="S44" s="6">
        <v>13554.23</v>
      </c>
      <c r="T44" s="6">
        <v>13641.23</v>
      </c>
      <c r="U44" s="6">
        <v>54139.56</v>
      </c>
      <c r="V44" s="6">
        <v>13602.74</v>
      </c>
      <c r="W44" s="6">
        <v>13900.58</v>
      </c>
      <c r="X44" s="6">
        <v>13850.67</v>
      </c>
      <c r="Y44" s="6">
        <v>13853.6</v>
      </c>
      <c r="Z44" s="6">
        <v>55176.6</v>
      </c>
      <c r="AA44" s="6">
        <v>13842.67</v>
      </c>
      <c r="AB44" s="6">
        <v>14136.45</v>
      </c>
      <c r="AC44" s="6">
        <v>14092.59</v>
      </c>
      <c r="AD44" s="6">
        <v>14089.93</v>
      </c>
      <c r="AE44" s="6">
        <v>56133.23</v>
      </c>
    </row>
    <row r="45" spans="1:31" x14ac:dyDescent="0.25">
      <c r="A45" t="s">
        <v>77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25">
      <c r="A46" t="s">
        <v>405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x14ac:dyDescent="0.25">
      <c r="A47" t="s">
        <v>406</v>
      </c>
      <c r="B47" s="6">
        <v>321.11</v>
      </c>
      <c r="C47" s="6">
        <v>410.13</v>
      </c>
      <c r="D47" s="6">
        <v>422.13</v>
      </c>
      <c r="E47" s="6">
        <v>440.81</v>
      </c>
      <c r="F47" s="6">
        <v>1619.74</v>
      </c>
      <c r="G47" s="6">
        <v>315.76</v>
      </c>
      <c r="H47" s="6">
        <v>447.81</v>
      </c>
      <c r="I47" s="6">
        <v>385.19</v>
      </c>
      <c r="J47" s="6">
        <v>395.53</v>
      </c>
      <c r="K47" s="6">
        <v>1309.82</v>
      </c>
      <c r="L47" s="6">
        <v>416.62</v>
      </c>
      <c r="M47" s="6">
        <v>527.58000000000004</v>
      </c>
      <c r="N47" s="6">
        <v>358.09</v>
      </c>
      <c r="O47" s="6">
        <v>356.64</v>
      </c>
      <c r="P47" s="6">
        <v>1034.8599999999999</v>
      </c>
      <c r="Q47" s="6">
        <v>286.33999999999997</v>
      </c>
      <c r="R47" s="6">
        <v>400.85</v>
      </c>
      <c r="S47" s="6">
        <v>204.58</v>
      </c>
      <c r="T47" s="6">
        <v>197.64</v>
      </c>
      <c r="U47" s="6">
        <v>845.02</v>
      </c>
      <c r="V47" s="6">
        <v>204.99</v>
      </c>
      <c r="W47" s="6">
        <v>322.7</v>
      </c>
      <c r="X47" s="6">
        <v>156.54</v>
      </c>
      <c r="Y47" s="6">
        <v>149.37</v>
      </c>
      <c r="Z47" s="6">
        <v>691.26</v>
      </c>
      <c r="AA47" s="6">
        <v>182.93</v>
      </c>
      <c r="AB47" s="6">
        <v>302.25</v>
      </c>
      <c r="AC47" s="6">
        <v>135.41</v>
      </c>
      <c r="AD47" s="6">
        <v>127.58</v>
      </c>
      <c r="AE47" s="6">
        <v>604.55999999999995</v>
      </c>
    </row>
    <row r="48" spans="1:31" x14ac:dyDescent="0.25">
      <c r="A48" t="s">
        <v>407</v>
      </c>
      <c r="B48" s="6">
        <v>-58.66</v>
      </c>
      <c r="C48" s="6">
        <v>-49.7</v>
      </c>
      <c r="D48" s="6">
        <v>-43.7</v>
      </c>
      <c r="E48" s="6">
        <v>-41.71</v>
      </c>
      <c r="F48" s="6">
        <v>-232.12</v>
      </c>
      <c r="G48" s="6">
        <v>-40.15</v>
      </c>
      <c r="H48" s="6">
        <v>-44.72</v>
      </c>
      <c r="I48" s="6">
        <v>183.33</v>
      </c>
      <c r="J48" s="6">
        <v>221.62</v>
      </c>
      <c r="K48" s="6">
        <v>281.44</v>
      </c>
      <c r="L48" s="6">
        <v>-29.97</v>
      </c>
      <c r="M48" s="6">
        <v>-27.74</v>
      </c>
      <c r="N48" s="6">
        <v>-27.82</v>
      </c>
      <c r="O48" s="6">
        <v>-26.56</v>
      </c>
      <c r="P48" s="6">
        <v>586.45000000000005</v>
      </c>
      <c r="Q48" s="6">
        <v>-25.82</v>
      </c>
      <c r="R48" s="6">
        <v>-23.87</v>
      </c>
      <c r="S48" s="6">
        <v>-24</v>
      </c>
      <c r="T48" s="6">
        <v>-22.89</v>
      </c>
      <c r="U48" s="6">
        <v>492.15</v>
      </c>
      <c r="V48" s="6">
        <v>-21.75</v>
      </c>
      <c r="W48" s="6">
        <v>-20.079999999999998</v>
      </c>
      <c r="X48" s="6">
        <v>-19.989999999999998</v>
      </c>
      <c r="Y48" s="6">
        <v>-19.05</v>
      </c>
      <c r="Z48" s="6">
        <v>413.24</v>
      </c>
      <c r="AA48" s="6">
        <v>-17.97</v>
      </c>
      <c r="AB48" s="6">
        <v>-16.600000000000001</v>
      </c>
      <c r="AC48" s="6">
        <v>-16.510000000000002</v>
      </c>
      <c r="AD48" s="6">
        <v>-15.73</v>
      </c>
      <c r="AE48" s="6">
        <v>346.53</v>
      </c>
    </row>
    <row r="49" spans="1:31" x14ac:dyDescent="0.25">
      <c r="A49" t="s">
        <v>408</v>
      </c>
      <c r="B49" s="6">
        <v>282</v>
      </c>
      <c r="C49" s="6">
        <v>377</v>
      </c>
      <c r="D49" s="6">
        <v>393</v>
      </c>
      <c r="E49" s="6">
        <v>413</v>
      </c>
      <c r="F49" s="6">
        <v>1465</v>
      </c>
      <c r="G49" s="6">
        <v>289</v>
      </c>
      <c r="H49" s="6">
        <v>418</v>
      </c>
      <c r="I49" s="6">
        <v>381.21</v>
      </c>
      <c r="J49" s="6">
        <v>408.58</v>
      </c>
      <c r="K49" s="6">
        <v>1507.28</v>
      </c>
      <c r="L49" s="6">
        <v>267.93</v>
      </c>
      <c r="M49" s="6">
        <v>376.78</v>
      </c>
      <c r="N49" s="6">
        <v>337.91</v>
      </c>
      <c r="O49" s="6">
        <v>367.07</v>
      </c>
      <c r="P49" s="6">
        <v>1327.23</v>
      </c>
      <c r="Q49" s="6">
        <v>217.84</v>
      </c>
      <c r="R49" s="6">
        <v>322.31</v>
      </c>
      <c r="S49" s="6">
        <v>261.52999999999997</v>
      </c>
      <c r="T49" s="6">
        <v>323.60000000000002</v>
      </c>
      <c r="U49" s="6">
        <v>1159.56</v>
      </c>
      <c r="V49" s="6">
        <v>165.47</v>
      </c>
      <c r="W49" s="6">
        <v>300.16000000000003</v>
      </c>
      <c r="X49" s="6">
        <v>230.16</v>
      </c>
      <c r="Y49" s="6">
        <v>255.14</v>
      </c>
      <c r="Z49" s="6">
        <v>1009.11</v>
      </c>
      <c r="AA49" s="6">
        <v>117.95</v>
      </c>
      <c r="AB49" s="6">
        <v>253.9</v>
      </c>
      <c r="AC49" s="6">
        <v>183.24</v>
      </c>
      <c r="AD49" s="6">
        <v>207.96</v>
      </c>
      <c r="AE49" s="6">
        <v>867.42</v>
      </c>
    </row>
    <row r="50" spans="1:31" x14ac:dyDescent="0.25">
      <c r="A50" t="s">
        <v>77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x14ac:dyDescent="0.25">
      <c r="A51" t="s">
        <v>409</v>
      </c>
      <c r="B51" s="6">
        <v>72978.63</v>
      </c>
      <c r="C51" s="6">
        <v>73388.77</v>
      </c>
      <c r="D51" s="6">
        <v>73810.899999999994</v>
      </c>
      <c r="E51" s="6">
        <v>74251.710000000006</v>
      </c>
      <c r="F51" s="6">
        <v>74301.8</v>
      </c>
      <c r="G51" s="6">
        <v>74567.48</v>
      </c>
      <c r="H51" s="6">
        <v>75015.289999999994</v>
      </c>
      <c r="I51" s="6">
        <v>75272.08</v>
      </c>
      <c r="J51" s="6">
        <v>75535.759999999995</v>
      </c>
      <c r="K51" s="6">
        <v>75611.62</v>
      </c>
      <c r="L51" s="6">
        <v>75355.05</v>
      </c>
      <c r="M51" s="6">
        <v>75882.62</v>
      </c>
      <c r="N51" s="6">
        <v>76240.710000000006</v>
      </c>
      <c r="O51" s="6">
        <v>76597.350000000006</v>
      </c>
      <c r="P51" s="6">
        <v>76646.48</v>
      </c>
      <c r="Q51" s="6">
        <v>76883.69</v>
      </c>
      <c r="R51" s="6">
        <v>77284.539999999994</v>
      </c>
      <c r="S51" s="6">
        <v>77489.119999999995</v>
      </c>
      <c r="T51" s="6">
        <v>77686.759999999995</v>
      </c>
      <c r="U51" s="6">
        <v>77491.5</v>
      </c>
      <c r="V51" s="6">
        <v>77891.759999999995</v>
      </c>
      <c r="W51" s="6">
        <v>78214.45</v>
      </c>
      <c r="X51" s="6">
        <v>78370.990000000005</v>
      </c>
      <c r="Y51" s="6">
        <v>78520.37</v>
      </c>
      <c r="Z51" s="6">
        <v>78182.77</v>
      </c>
      <c r="AA51" s="6">
        <v>78703.289999999994</v>
      </c>
      <c r="AB51" s="6">
        <v>79005.539999999994</v>
      </c>
      <c r="AC51" s="6">
        <v>79140.95</v>
      </c>
      <c r="AD51" s="6">
        <v>79268.52</v>
      </c>
      <c r="AE51" s="6">
        <v>78787.33</v>
      </c>
    </row>
    <row r="52" spans="1:31" x14ac:dyDescent="0.25">
      <c r="A52" t="s">
        <v>410</v>
      </c>
      <c r="B52" s="6">
        <v>1104</v>
      </c>
      <c r="C52" s="6">
        <v>1029</v>
      </c>
      <c r="D52" s="6">
        <v>954</v>
      </c>
      <c r="E52" s="6">
        <v>879</v>
      </c>
      <c r="F52" s="6">
        <v>879</v>
      </c>
      <c r="G52" s="6">
        <v>804</v>
      </c>
      <c r="H52" s="6">
        <v>729</v>
      </c>
      <c r="I52" s="6">
        <v>695.67</v>
      </c>
      <c r="J52" s="6">
        <v>663.91</v>
      </c>
      <c r="K52" s="6">
        <v>663.91</v>
      </c>
      <c r="L52" s="6">
        <v>633.94000000000005</v>
      </c>
      <c r="M52" s="6">
        <v>606.20000000000005</v>
      </c>
      <c r="N52" s="6">
        <v>578.38</v>
      </c>
      <c r="O52" s="6">
        <v>551.82000000000005</v>
      </c>
      <c r="P52" s="6">
        <v>551.82000000000005</v>
      </c>
      <c r="Q52" s="6">
        <v>526</v>
      </c>
      <c r="R52" s="6">
        <v>502.13</v>
      </c>
      <c r="S52" s="6">
        <v>478.13</v>
      </c>
      <c r="T52" s="6">
        <v>455.24</v>
      </c>
      <c r="U52" s="6">
        <v>455.24</v>
      </c>
      <c r="V52" s="6">
        <v>433.5</v>
      </c>
      <c r="W52" s="6">
        <v>413.41</v>
      </c>
      <c r="X52" s="6">
        <v>393.42</v>
      </c>
      <c r="Y52" s="6">
        <v>374.37</v>
      </c>
      <c r="Z52" s="6">
        <v>374.37</v>
      </c>
      <c r="AA52" s="6">
        <v>356.4</v>
      </c>
      <c r="AB52" s="6">
        <v>339.8</v>
      </c>
      <c r="AC52" s="6">
        <v>323.29000000000002</v>
      </c>
      <c r="AD52" s="6">
        <v>307.56</v>
      </c>
      <c r="AE52" s="6">
        <v>307.56</v>
      </c>
    </row>
    <row r="53" spans="1:31" x14ac:dyDescent="0.25">
      <c r="A53" t="s">
        <v>411</v>
      </c>
      <c r="B53" s="6">
        <v>73031</v>
      </c>
      <c r="C53" s="6">
        <v>73408</v>
      </c>
      <c r="D53" s="6">
        <v>73801</v>
      </c>
      <c r="E53" s="6">
        <v>74214</v>
      </c>
      <c r="F53" s="6">
        <v>74214</v>
      </c>
      <c r="G53" s="6">
        <v>74503</v>
      </c>
      <c r="H53" s="6">
        <v>74921</v>
      </c>
      <c r="I53" s="6">
        <v>75312.710000000006</v>
      </c>
      <c r="J53" s="6">
        <v>75721.279999999999</v>
      </c>
      <c r="K53" s="6">
        <v>75721.279999999999</v>
      </c>
      <c r="L53" s="6">
        <v>75981.13</v>
      </c>
      <c r="M53" s="6">
        <v>76357.91</v>
      </c>
      <c r="N53" s="6">
        <v>76695.820000000007</v>
      </c>
      <c r="O53" s="6">
        <v>77062.89</v>
      </c>
      <c r="P53" s="6">
        <v>77047.86</v>
      </c>
      <c r="Q53" s="6">
        <v>77277.86</v>
      </c>
      <c r="R53" s="6">
        <v>77600.17</v>
      </c>
      <c r="S53" s="6">
        <v>77861.7</v>
      </c>
      <c r="T53" s="6">
        <v>78185.3</v>
      </c>
      <c r="U53" s="6">
        <v>78207.429999999993</v>
      </c>
      <c r="V53" s="6">
        <v>78456.12</v>
      </c>
      <c r="W53" s="6">
        <v>78756.28</v>
      </c>
      <c r="X53" s="6">
        <v>78986.429999999993</v>
      </c>
      <c r="Y53" s="6">
        <v>79241.58</v>
      </c>
      <c r="Z53" s="6">
        <v>79260.460000000006</v>
      </c>
      <c r="AA53" s="6">
        <v>79359.53</v>
      </c>
      <c r="AB53" s="6">
        <v>79613.42</v>
      </c>
      <c r="AC53" s="6">
        <v>79796.66</v>
      </c>
      <c r="AD53" s="6">
        <v>80004.62</v>
      </c>
      <c r="AE53" s="6">
        <v>80127.88</v>
      </c>
    </row>
    <row r="54" spans="1:31" x14ac:dyDescent="0.25">
      <c r="A54" t="s">
        <v>77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25">
      <c r="A55" t="s">
        <v>412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x14ac:dyDescent="0.25">
      <c r="A56" t="s">
        <v>413</v>
      </c>
      <c r="B56" s="6">
        <v>17217</v>
      </c>
      <c r="C56" s="6">
        <v>17162</v>
      </c>
      <c r="D56" s="6">
        <v>17093</v>
      </c>
      <c r="E56" s="6">
        <v>16954</v>
      </c>
      <c r="F56" s="6">
        <v>17217</v>
      </c>
      <c r="G56" s="6">
        <v>16630</v>
      </c>
      <c r="H56" s="6">
        <v>16554</v>
      </c>
      <c r="I56" s="6">
        <v>16518</v>
      </c>
      <c r="J56" s="6">
        <v>16444.82</v>
      </c>
      <c r="K56" s="6">
        <v>16630</v>
      </c>
      <c r="L56" s="6">
        <v>16240.7</v>
      </c>
      <c r="M56" s="6">
        <v>16192.17</v>
      </c>
      <c r="N56" s="6">
        <v>16190.1</v>
      </c>
      <c r="O56" s="6">
        <v>16124.81</v>
      </c>
      <c r="P56" s="6">
        <v>16244.1</v>
      </c>
      <c r="Q56" s="6">
        <v>15809.77</v>
      </c>
      <c r="R56" s="6">
        <v>15746.54</v>
      </c>
      <c r="S56" s="6">
        <v>15736.03</v>
      </c>
      <c r="T56" s="6">
        <v>15647.54</v>
      </c>
      <c r="U56" s="6">
        <v>15924.62</v>
      </c>
      <c r="V56" s="6">
        <v>15418.58</v>
      </c>
      <c r="W56" s="6">
        <v>15352.31</v>
      </c>
      <c r="X56" s="6">
        <v>15346.15</v>
      </c>
      <c r="Y56" s="6">
        <v>15260.72</v>
      </c>
      <c r="Z56" s="6">
        <v>15661.86</v>
      </c>
      <c r="AA56" s="6">
        <v>15030.14</v>
      </c>
      <c r="AB56" s="6">
        <v>14961.03</v>
      </c>
      <c r="AC56" s="6">
        <v>14950.82</v>
      </c>
      <c r="AD56" s="6">
        <v>14862.51</v>
      </c>
      <c r="AE56" s="6">
        <v>15398.67</v>
      </c>
    </row>
    <row r="57" spans="1:31" x14ac:dyDescent="0.25">
      <c r="A57" t="s">
        <v>414</v>
      </c>
      <c r="B57" s="6">
        <v>1295</v>
      </c>
      <c r="C57" s="6">
        <v>1214.5899999999999</v>
      </c>
      <c r="D57" s="6">
        <v>1260.1500000000001</v>
      </c>
      <c r="E57" s="6">
        <v>1130.3399999999999</v>
      </c>
      <c r="F57" s="6">
        <v>4900.09</v>
      </c>
      <c r="G57" s="6">
        <v>1232.1300000000001</v>
      </c>
      <c r="H57" s="6">
        <v>1144.98</v>
      </c>
      <c r="I57" s="6">
        <v>1218.81</v>
      </c>
      <c r="J57" s="6">
        <v>1122.17</v>
      </c>
      <c r="K57" s="6">
        <v>4717.07</v>
      </c>
      <c r="L57" s="6">
        <v>1204.8499999999999</v>
      </c>
      <c r="M57" s="6">
        <v>1119.8900000000001</v>
      </c>
      <c r="N57" s="6">
        <v>1182.5999999999999</v>
      </c>
      <c r="O57" s="6">
        <v>1084.6400000000001</v>
      </c>
      <c r="P57" s="6">
        <v>4648.04</v>
      </c>
      <c r="Q57" s="6">
        <v>1167.54</v>
      </c>
      <c r="R57" s="6">
        <v>1085.1500000000001</v>
      </c>
      <c r="S57" s="6">
        <v>1141.77</v>
      </c>
      <c r="T57" s="6">
        <v>1033.26</v>
      </c>
      <c r="U57" s="6">
        <v>4542.28</v>
      </c>
      <c r="V57" s="6">
        <v>1153.26</v>
      </c>
      <c r="W57" s="6">
        <v>1072.92</v>
      </c>
      <c r="X57" s="6">
        <v>1129.76</v>
      </c>
      <c r="Y57" s="6">
        <v>1022.36</v>
      </c>
      <c r="Z57" s="6">
        <v>4510.1400000000003</v>
      </c>
      <c r="AA57" s="6">
        <v>1122.99</v>
      </c>
      <c r="AB57" s="6">
        <v>1044.76</v>
      </c>
      <c r="AC57" s="6">
        <v>1098.8399999999999</v>
      </c>
      <c r="AD57" s="6">
        <v>991.26</v>
      </c>
      <c r="AE57" s="6">
        <v>4435.57</v>
      </c>
    </row>
    <row r="58" spans="1:31" x14ac:dyDescent="0.25">
      <c r="A58" t="s">
        <v>415</v>
      </c>
      <c r="B58" s="8">
        <v>2.5499999999999998E-2</v>
      </c>
      <c r="C58" s="8">
        <v>2.4299999999999999E-2</v>
      </c>
      <c r="D58" s="8">
        <v>2.63E-2</v>
      </c>
      <c r="E58" s="8">
        <v>2.75E-2</v>
      </c>
      <c r="F58" s="8">
        <v>2.5899999999999999E-2</v>
      </c>
      <c r="G58" s="8">
        <v>2.6200000000000001E-2</v>
      </c>
      <c r="H58" s="8">
        <v>2.3E-2</v>
      </c>
      <c r="I58" s="8">
        <v>2.6100000000000002E-2</v>
      </c>
      <c r="J58" s="8">
        <v>2.69E-2</v>
      </c>
      <c r="K58" s="8">
        <v>2.5600000000000001E-2</v>
      </c>
      <c r="L58" s="8">
        <v>2.5700000000000001E-2</v>
      </c>
      <c r="M58" s="8">
        <v>2.3099999999999999E-2</v>
      </c>
      <c r="N58" s="8">
        <v>2.58E-2</v>
      </c>
      <c r="O58" s="8">
        <v>2.6599999999999999E-2</v>
      </c>
      <c r="P58" s="8">
        <v>2.5399999999999999E-2</v>
      </c>
      <c r="Q58" s="8">
        <v>2.5899999999999999E-2</v>
      </c>
      <c r="R58" s="8">
        <v>2.3099999999999999E-2</v>
      </c>
      <c r="S58" s="8">
        <v>2.5999999999999999E-2</v>
      </c>
      <c r="T58" s="8">
        <v>2.7E-2</v>
      </c>
      <c r="U58" s="8">
        <v>2.52E-2</v>
      </c>
      <c r="V58" s="8">
        <v>2.63E-2</v>
      </c>
      <c r="W58" s="8">
        <v>2.3300000000000001E-2</v>
      </c>
      <c r="X58" s="8">
        <v>2.63E-2</v>
      </c>
      <c r="Y58" s="8">
        <v>2.7400000000000001E-2</v>
      </c>
      <c r="Z58" s="8">
        <v>2.52E-2</v>
      </c>
      <c r="AA58" s="8">
        <v>2.63E-2</v>
      </c>
      <c r="AB58" s="8">
        <v>2.3400000000000001E-2</v>
      </c>
      <c r="AC58" s="8">
        <v>2.64E-2</v>
      </c>
      <c r="AD58" s="8">
        <v>2.75E-2</v>
      </c>
      <c r="AE58" s="8">
        <v>2.52E-2</v>
      </c>
    </row>
    <row r="59" spans="1:31" x14ac:dyDescent="0.25">
      <c r="A59" t="s">
        <v>416</v>
      </c>
      <c r="B59" s="6">
        <v>1315</v>
      </c>
      <c r="C59" s="6">
        <v>1248.5899999999999</v>
      </c>
      <c r="D59" s="6">
        <v>1343.15</v>
      </c>
      <c r="E59" s="6">
        <v>1385.34</v>
      </c>
      <c r="F59" s="6">
        <v>5292.09</v>
      </c>
      <c r="G59" s="6">
        <v>1304.1300000000001</v>
      </c>
      <c r="H59" s="6">
        <v>1140.98</v>
      </c>
      <c r="I59" s="6">
        <v>1287.33</v>
      </c>
      <c r="J59" s="6">
        <v>1319.33</v>
      </c>
      <c r="K59" s="6">
        <v>5050.49</v>
      </c>
      <c r="L59" s="6">
        <v>1250.99</v>
      </c>
      <c r="M59" s="6">
        <v>1117.43</v>
      </c>
      <c r="N59" s="6">
        <v>1245.04</v>
      </c>
      <c r="O59" s="6">
        <v>1274.72</v>
      </c>
      <c r="P59" s="6">
        <v>4932.3900000000003</v>
      </c>
      <c r="Q59" s="6">
        <v>1227.19</v>
      </c>
      <c r="R59" s="6">
        <v>1092.0899999999999</v>
      </c>
      <c r="S59" s="6">
        <v>1226.69</v>
      </c>
      <c r="T59" s="6">
        <v>1261.19</v>
      </c>
      <c r="U59" s="6">
        <v>4817.58</v>
      </c>
      <c r="V59" s="6">
        <v>1214.53</v>
      </c>
      <c r="W59" s="6">
        <v>1074.08</v>
      </c>
      <c r="X59" s="6">
        <v>1210.19</v>
      </c>
      <c r="Y59" s="6">
        <v>1247.95</v>
      </c>
      <c r="Z59" s="6">
        <v>4742.55</v>
      </c>
      <c r="AA59" s="6">
        <v>1187.0999999999999</v>
      </c>
      <c r="AB59" s="6">
        <v>1049.97</v>
      </c>
      <c r="AC59" s="6">
        <v>1182.1500000000001</v>
      </c>
      <c r="AD59" s="6">
        <v>1218.44</v>
      </c>
      <c r="AE59" s="6">
        <v>4651.99</v>
      </c>
    </row>
    <row r="60" spans="1:31" x14ac:dyDescent="0.25">
      <c r="A60" t="s">
        <v>417</v>
      </c>
      <c r="B60" s="6">
        <v>-20</v>
      </c>
      <c r="C60" s="6">
        <v>-34</v>
      </c>
      <c r="D60" s="6">
        <v>-83</v>
      </c>
      <c r="E60" s="6">
        <v>-255</v>
      </c>
      <c r="F60" s="6">
        <v>-392</v>
      </c>
      <c r="G60" s="6">
        <v>-72</v>
      </c>
      <c r="H60" s="6">
        <v>4</v>
      </c>
      <c r="I60" s="6">
        <v>-67.97</v>
      </c>
      <c r="J60" s="6">
        <v>-199.7</v>
      </c>
      <c r="K60" s="6">
        <v>-335.68</v>
      </c>
      <c r="L60" s="6">
        <v>-46.26</v>
      </c>
      <c r="M60" s="6">
        <v>0.2</v>
      </c>
      <c r="N60" s="6">
        <v>-63.02</v>
      </c>
      <c r="O60" s="6">
        <v>-194.5</v>
      </c>
      <c r="P60" s="6">
        <v>-289.32</v>
      </c>
      <c r="Q60" s="6">
        <v>-59.65</v>
      </c>
      <c r="R60" s="6">
        <v>-6.94</v>
      </c>
      <c r="S60" s="6">
        <v>-84.92</v>
      </c>
      <c r="T60" s="6">
        <v>-227.93</v>
      </c>
      <c r="U60" s="6">
        <v>-283.08999999999997</v>
      </c>
      <c r="V60" s="6">
        <v>-61.27</v>
      </c>
      <c r="W60" s="6">
        <v>-1.1599999999999999</v>
      </c>
      <c r="X60" s="6">
        <v>-80.42</v>
      </c>
      <c r="Y60" s="6">
        <v>-225.59</v>
      </c>
      <c r="Z60" s="6">
        <v>-241.37</v>
      </c>
      <c r="AA60" s="6">
        <v>-64.11</v>
      </c>
      <c r="AB60" s="6">
        <v>-5.21</v>
      </c>
      <c r="AC60" s="6">
        <v>-83.31</v>
      </c>
      <c r="AD60" s="6">
        <v>-227.18</v>
      </c>
      <c r="AE60" s="6">
        <v>-227.54</v>
      </c>
    </row>
    <row r="61" spans="1:31" x14ac:dyDescent="0.25">
      <c r="A61" t="s">
        <v>418</v>
      </c>
      <c r="B61" s="6">
        <v>-35</v>
      </c>
      <c r="C61" s="6">
        <v>-35</v>
      </c>
      <c r="D61" s="6">
        <v>-56</v>
      </c>
      <c r="E61" s="6">
        <v>-69</v>
      </c>
      <c r="F61" s="6">
        <v>-195</v>
      </c>
      <c r="G61" s="6">
        <v>-4</v>
      </c>
      <c r="H61" s="6">
        <v>-40</v>
      </c>
      <c r="I61" s="6">
        <v>-5.79</v>
      </c>
      <c r="J61" s="6">
        <v>-4.6399999999999997</v>
      </c>
      <c r="K61" s="6">
        <v>-54.43</v>
      </c>
      <c r="L61" s="6">
        <v>-2.27</v>
      </c>
      <c r="M61" s="6">
        <v>-2.27</v>
      </c>
      <c r="N61" s="6">
        <v>-2.27</v>
      </c>
      <c r="O61" s="6">
        <v>-2.27</v>
      </c>
      <c r="P61" s="6">
        <v>-17.14</v>
      </c>
      <c r="Q61" s="6">
        <v>-3.57</v>
      </c>
      <c r="R61" s="6">
        <v>-3.57</v>
      </c>
      <c r="S61" s="6">
        <v>-3.57</v>
      </c>
      <c r="T61" s="6">
        <v>-3.57</v>
      </c>
      <c r="U61" s="6">
        <v>-18.46</v>
      </c>
      <c r="V61" s="6">
        <v>-5</v>
      </c>
      <c r="W61" s="6">
        <v>-5</v>
      </c>
      <c r="X61" s="6">
        <v>-5</v>
      </c>
      <c r="Y61" s="6">
        <v>-5</v>
      </c>
      <c r="Z61" s="6">
        <v>-21.82</v>
      </c>
      <c r="AA61" s="6">
        <v>-5</v>
      </c>
      <c r="AB61" s="6">
        <v>-5</v>
      </c>
      <c r="AC61" s="6">
        <v>-5</v>
      </c>
      <c r="AD61" s="6">
        <v>-5</v>
      </c>
      <c r="AE61" s="6">
        <v>-21.82</v>
      </c>
    </row>
    <row r="62" spans="1:31" x14ac:dyDescent="0.25">
      <c r="A62" t="s">
        <v>419</v>
      </c>
      <c r="B62" s="6">
        <v>-55</v>
      </c>
      <c r="C62" s="6">
        <v>-69</v>
      </c>
      <c r="D62" s="6">
        <v>-139</v>
      </c>
      <c r="E62" s="6">
        <v>-324</v>
      </c>
      <c r="F62" s="6">
        <v>-587</v>
      </c>
      <c r="G62" s="6">
        <v>-76</v>
      </c>
      <c r="H62" s="6">
        <v>-36</v>
      </c>
      <c r="I62" s="6">
        <v>-73.180000000000007</v>
      </c>
      <c r="J62" s="6">
        <v>-200.72</v>
      </c>
      <c r="K62" s="6">
        <v>-385.9</v>
      </c>
      <c r="L62" s="6">
        <v>-48.53</v>
      </c>
      <c r="M62" s="6">
        <v>-2.0699999999999998</v>
      </c>
      <c r="N62" s="6">
        <v>-65.290000000000006</v>
      </c>
      <c r="O62" s="6">
        <v>-196.77</v>
      </c>
      <c r="P62" s="6">
        <v>-306.45999999999998</v>
      </c>
      <c r="Q62" s="6">
        <v>-63.23</v>
      </c>
      <c r="R62" s="6">
        <v>-10.51</v>
      </c>
      <c r="S62" s="6">
        <v>-88.49</v>
      </c>
      <c r="T62" s="6">
        <v>-231.5</v>
      </c>
      <c r="U62" s="6">
        <v>-301.55</v>
      </c>
      <c r="V62" s="6">
        <v>-66.27</v>
      </c>
      <c r="W62" s="6">
        <v>-6.16</v>
      </c>
      <c r="X62" s="6">
        <v>-85.42</v>
      </c>
      <c r="Y62" s="6">
        <v>-230.59</v>
      </c>
      <c r="Z62" s="6">
        <v>-263.19</v>
      </c>
      <c r="AA62" s="6">
        <v>-69.11</v>
      </c>
      <c r="AB62" s="6">
        <v>-10.210000000000001</v>
      </c>
      <c r="AC62" s="6">
        <v>-88.31</v>
      </c>
      <c r="AD62" s="6">
        <v>-232.18</v>
      </c>
      <c r="AE62" s="6">
        <v>-249.36</v>
      </c>
    </row>
    <row r="63" spans="1:31" x14ac:dyDescent="0.25">
      <c r="A63" t="s">
        <v>420</v>
      </c>
      <c r="B63" s="6">
        <v>17162</v>
      </c>
      <c r="C63" s="6">
        <v>17093</v>
      </c>
      <c r="D63" s="6">
        <v>16954</v>
      </c>
      <c r="E63" s="6">
        <v>16630</v>
      </c>
      <c r="F63" s="6">
        <v>16630</v>
      </c>
      <c r="G63" s="6">
        <v>16554</v>
      </c>
      <c r="H63" s="6">
        <v>16518</v>
      </c>
      <c r="I63" s="6">
        <v>16444.82</v>
      </c>
      <c r="J63" s="6">
        <v>16244.1</v>
      </c>
      <c r="K63" s="6">
        <v>16244.1</v>
      </c>
      <c r="L63" s="6">
        <v>16192.17</v>
      </c>
      <c r="M63" s="6">
        <v>16190.1</v>
      </c>
      <c r="N63" s="6">
        <v>16124.81</v>
      </c>
      <c r="O63" s="6">
        <v>15928.03</v>
      </c>
      <c r="P63" s="6">
        <v>15933.43</v>
      </c>
      <c r="Q63" s="6">
        <v>15746.54</v>
      </c>
      <c r="R63" s="6">
        <v>15736.03</v>
      </c>
      <c r="S63" s="6">
        <v>15647.54</v>
      </c>
      <c r="T63" s="6">
        <v>15416.04</v>
      </c>
      <c r="U63" s="6">
        <v>15623.07</v>
      </c>
      <c r="V63" s="6">
        <v>15352.31</v>
      </c>
      <c r="W63" s="6">
        <v>15346.15</v>
      </c>
      <c r="X63" s="6">
        <v>15260.72</v>
      </c>
      <c r="Y63" s="6">
        <v>15030.14</v>
      </c>
      <c r="Z63" s="6">
        <v>15398.67</v>
      </c>
      <c r="AA63" s="6">
        <v>14961.03</v>
      </c>
      <c r="AB63" s="6">
        <v>14950.82</v>
      </c>
      <c r="AC63" s="6">
        <v>14862.51</v>
      </c>
      <c r="AD63" s="6">
        <v>14630.33</v>
      </c>
      <c r="AE63" s="6">
        <v>15149.32</v>
      </c>
    </row>
    <row r="64" spans="1:31" x14ac:dyDescent="0.25">
      <c r="A64" t="s">
        <v>421</v>
      </c>
      <c r="B64" s="6">
        <v>17189.5</v>
      </c>
      <c r="C64" s="6">
        <v>17127.5</v>
      </c>
      <c r="D64" s="6">
        <v>17023.5</v>
      </c>
      <c r="E64" s="6">
        <v>16792</v>
      </c>
      <c r="F64" s="6">
        <v>16923.5</v>
      </c>
      <c r="G64" s="6">
        <v>16592</v>
      </c>
      <c r="H64" s="6">
        <v>16536</v>
      </c>
      <c r="I64" s="6">
        <v>16481.41</v>
      </c>
      <c r="J64" s="6">
        <v>16344.46</v>
      </c>
      <c r="K64" s="6">
        <v>16451.68</v>
      </c>
      <c r="L64" s="6">
        <v>16216.44</v>
      </c>
      <c r="M64" s="6">
        <v>16191.14</v>
      </c>
      <c r="N64" s="6">
        <v>16157.45</v>
      </c>
      <c r="O64" s="6">
        <v>16026.42</v>
      </c>
      <c r="P64" s="6">
        <v>16103.19</v>
      </c>
      <c r="Q64" s="6">
        <v>15778.16</v>
      </c>
      <c r="R64" s="6">
        <v>15741.29</v>
      </c>
      <c r="S64" s="6">
        <v>15691.79</v>
      </c>
      <c r="T64" s="6">
        <v>15531.79</v>
      </c>
      <c r="U64" s="6">
        <v>15791.37</v>
      </c>
      <c r="V64" s="6">
        <v>15385.45</v>
      </c>
      <c r="W64" s="6">
        <v>15349.23</v>
      </c>
      <c r="X64" s="6">
        <v>15303.44</v>
      </c>
      <c r="Y64" s="6">
        <v>15145.43</v>
      </c>
      <c r="Z64" s="6">
        <v>15550.67</v>
      </c>
      <c r="AA64" s="6">
        <v>14995.58</v>
      </c>
      <c r="AB64" s="6">
        <v>14955.93</v>
      </c>
      <c r="AC64" s="6">
        <v>14906.67</v>
      </c>
      <c r="AD64" s="6">
        <v>14746.42</v>
      </c>
      <c r="AE64" s="6">
        <v>15294.1</v>
      </c>
    </row>
    <row r="65" spans="1:31" x14ac:dyDescent="0.25">
      <c r="A65" t="s">
        <v>422</v>
      </c>
      <c r="B65" s="6">
        <v>36.57</v>
      </c>
      <c r="C65" s="6">
        <v>36.89</v>
      </c>
      <c r="D65" s="6">
        <v>36.770000000000003</v>
      </c>
      <c r="E65" s="6">
        <v>36.49</v>
      </c>
      <c r="F65" s="6">
        <v>36.68</v>
      </c>
      <c r="G65" s="6">
        <v>36.49</v>
      </c>
      <c r="H65" s="6">
        <v>36.81</v>
      </c>
      <c r="I65" s="6">
        <v>36.880000000000003</v>
      </c>
      <c r="J65" s="6">
        <v>36.729999999999997</v>
      </c>
      <c r="K65" s="6">
        <v>36.78</v>
      </c>
      <c r="L65" s="6">
        <v>36.69</v>
      </c>
      <c r="M65" s="6">
        <v>36.9</v>
      </c>
      <c r="N65" s="6">
        <v>37.020000000000003</v>
      </c>
      <c r="O65" s="6">
        <v>36.92</v>
      </c>
      <c r="P65" s="6">
        <v>36.89</v>
      </c>
      <c r="Q65" s="6">
        <v>37.01</v>
      </c>
      <c r="R65" s="6">
        <v>37.25</v>
      </c>
      <c r="S65" s="6">
        <v>37.44</v>
      </c>
      <c r="T65" s="6">
        <v>37.36</v>
      </c>
      <c r="U65" s="6">
        <v>37.119999999999997</v>
      </c>
      <c r="V65" s="6">
        <v>37.08</v>
      </c>
      <c r="W65" s="6">
        <v>37.35</v>
      </c>
      <c r="X65" s="6">
        <v>37.659999999999997</v>
      </c>
      <c r="Y65" s="6">
        <v>37.39</v>
      </c>
      <c r="Z65" s="6">
        <v>37.11</v>
      </c>
      <c r="AA65" s="6">
        <v>37.270000000000003</v>
      </c>
      <c r="AB65" s="6">
        <v>37.54</v>
      </c>
      <c r="AC65" s="6">
        <v>37.950000000000003</v>
      </c>
      <c r="AD65" s="6">
        <v>37.69</v>
      </c>
      <c r="AE65" s="6">
        <v>37.22</v>
      </c>
    </row>
    <row r="66" spans="1:31" x14ac:dyDescent="0.25">
      <c r="A66" t="s">
        <v>423</v>
      </c>
      <c r="B66" s="6">
        <v>1885.86</v>
      </c>
      <c r="C66" s="6">
        <v>1895.5</v>
      </c>
      <c r="D66" s="6">
        <v>1877.86</v>
      </c>
      <c r="E66" s="6">
        <v>1838.22</v>
      </c>
      <c r="F66" s="6">
        <v>7497.44</v>
      </c>
      <c r="G66" s="6">
        <v>1816.33</v>
      </c>
      <c r="H66" s="6">
        <v>1826.07</v>
      </c>
      <c r="I66" s="6">
        <v>1822.32</v>
      </c>
      <c r="J66" s="6">
        <v>1799.38</v>
      </c>
      <c r="K66" s="6">
        <v>7261.47</v>
      </c>
      <c r="L66" s="6">
        <v>1783.48</v>
      </c>
      <c r="M66" s="6">
        <v>1790.76</v>
      </c>
      <c r="N66" s="6">
        <v>1791.92</v>
      </c>
      <c r="O66" s="6">
        <v>1772.23</v>
      </c>
      <c r="P66" s="6">
        <v>7123.76</v>
      </c>
      <c r="Q66" s="6">
        <v>1751.46</v>
      </c>
      <c r="R66" s="6">
        <v>1758.84</v>
      </c>
      <c r="S66" s="6">
        <v>1761.91</v>
      </c>
      <c r="T66" s="6">
        <v>1740.3</v>
      </c>
      <c r="U66" s="6">
        <v>7021.62</v>
      </c>
      <c r="V66" s="6">
        <v>1710.93</v>
      </c>
      <c r="W66" s="6">
        <v>1719.23</v>
      </c>
      <c r="X66" s="6">
        <v>1728.6</v>
      </c>
      <c r="Y66" s="6">
        <v>1698.59</v>
      </c>
      <c r="Z66" s="6">
        <v>6908.7</v>
      </c>
      <c r="AA66" s="6">
        <v>1675.84</v>
      </c>
      <c r="AB66" s="6">
        <v>1683.56</v>
      </c>
      <c r="AC66" s="6">
        <v>1696.63</v>
      </c>
      <c r="AD66" s="6">
        <v>1667.34</v>
      </c>
      <c r="AE66" s="6">
        <v>6810.33</v>
      </c>
    </row>
    <row r="67" spans="1:31" x14ac:dyDescent="0.25">
      <c r="A67" t="s">
        <v>77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x14ac:dyDescent="0.25">
      <c r="A68" t="s">
        <v>424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x14ac:dyDescent="0.25">
      <c r="A69" t="s">
        <v>425</v>
      </c>
      <c r="B69" s="6">
        <v>89966</v>
      </c>
      <c r="C69" s="6">
        <v>90193</v>
      </c>
      <c r="D69" s="6">
        <v>90501</v>
      </c>
      <c r="E69" s="6">
        <v>90755</v>
      </c>
      <c r="F69" s="6">
        <v>89966</v>
      </c>
      <c r="G69" s="6">
        <v>90844</v>
      </c>
      <c r="H69" s="6">
        <v>91057</v>
      </c>
      <c r="I69" s="6">
        <v>91439</v>
      </c>
      <c r="J69" s="6">
        <v>91741.61</v>
      </c>
      <c r="K69" s="6">
        <v>90844</v>
      </c>
      <c r="L69" s="6">
        <v>91953.9</v>
      </c>
      <c r="M69" s="6">
        <v>92175.11</v>
      </c>
      <c r="N69" s="6">
        <v>92540.62</v>
      </c>
      <c r="O69" s="6">
        <v>92813.69</v>
      </c>
      <c r="P69" s="6">
        <v>91949.2</v>
      </c>
      <c r="Q69" s="6">
        <v>92869.79</v>
      </c>
      <c r="R69" s="6">
        <v>93024.41</v>
      </c>
      <c r="S69" s="6">
        <v>93336.21</v>
      </c>
      <c r="T69" s="6">
        <v>93509.25</v>
      </c>
      <c r="U69" s="6">
        <v>92928.320000000007</v>
      </c>
      <c r="V69" s="6">
        <v>93709.22</v>
      </c>
      <c r="W69" s="6">
        <v>93808.43</v>
      </c>
      <c r="X69" s="6">
        <v>94102.42</v>
      </c>
      <c r="Y69" s="6">
        <v>94247.16</v>
      </c>
      <c r="Z69" s="6">
        <v>93821.67</v>
      </c>
      <c r="AA69" s="6">
        <v>94271.71</v>
      </c>
      <c r="AB69" s="6">
        <v>94320.56</v>
      </c>
      <c r="AC69" s="6">
        <v>94564.25</v>
      </c>
      <c r="AD69" s="6">
        <v>94659.17</v>
      </c>
      <c r="AE69" s="6">
        <v>94518.27</v>
      </c>
    </row>
    <row r="70" spans="1:31" x14ac:dyDescent="0.25">
      <c r="A70" t="s">
        <v>426</v>
      </c>
      <c r="B70" s="6">
        <v>3436.65</v>
      </c>
      <c r="C70" s="6">
        <v>3534.45</v>
      </c>
      <c r="D70" s="6">
        <v>3692.33</v>
      </c>
      <c r="E70" s="6">
        <v>3732.63</v>
      </c>
      <c r="F70" s="6">
        <v>14396.06</v>
      </c>
      <c r="G70" s="6">
        <v>3497.49</v>
      </c>
      <c r="H70" s="6">
        <v>3500.23</v>
      </c>
      <c r="I70" s="6">
        <v>3453.83</v>
      </c>
      <c r="J70" s="6">
        <v>3531.21</v>
      </c>
      <c r="K70" s="6">
        <v>13982.76</v>
      </c>
      <c r="L70" s="6">
        <v>3212.51</v>
      </c>
      <c r="M70" s="6">
        <v>3226.56</v>
      </c>
      <c r="N70" s="6">
        <v>3374.14</v>
      </c>
      <c r="O70" s="6">
        <v>3443</v>
      </c>
      <c r="P70" s="6">
        <v>13517.44</v>
      </c>
      <c r="Q70" s="6">
        <v>3064.72</v>
      </c>
      <c r="R70" s="6">
        <v>3095.49</v>
      </c>
      <c r="S70" s="6">
        <v>3250.83</v>
      </c>
      <c r="T70" s="6">
        <v>3336.94</v>
      </c>
      <c r="U70" s="6">
        <v>13502.71</v>
      </c>
      <c r="V70" s="6">
        <v>2924.56</v>
      </c>
      <c r="W70" s="6">
        <v>2963.83</v>
      </c>
      <c r="X70" s="6">
        <v>3118.84</v>
      </c>
      <c r="Y70" s="6">
        <v>3236.48</v>
      </c>
      <c r="Z70" s="6">
        <v>13445.35</v>
      </c>
      <c r="AA70" s="6">
        <v>2915.24</v>
      </c>
      <c r="AB70" s="6">
        <v>2954.63</v>
      </c>
      <c r="AC70" s="6">
        <v>3106.63</v>
      </c>
      <c r="AD70" s="6">
        <v>3222.09</v>
      </c>
      <c r="AE70" s="6">
        <v>13428.12</v>
      </c>
    </row>
    <row r="71" spans="1:31" x14ac:dyDescent="0.25">
      <c r="A71" t="s">
        <v>427</v>
      </c>
      <c r="B71" s="8">
        <v>1.1599999999999999E-2</v>
      </c>
      <c r="C71" s="8">
        <v>1.17E-2</v>
      </c>
      <c r="D71" s="8">
        <v>1.24E-2</v>
      </c>
      <c r="E71" s="8">
        <v>1.3100000000000001E-2</v>
      </c>
      <c r="F71" s="8">
        <v>1.2200000000000001E-2</v>
      </c>
      <c r="G71" s="8">
        <v>1.2E-2</v>
      </c>
      <c r="H71" s="8">
        <v>1.12E-2</v>
      </c>
      <c r="I71" s="8">
        <v>1.21E-2</v>
      </c>
      <c r="J71" s="8">
        <v>1.2699999999999999E-2</v>
      </c>
      <c r="K71" s="8">
        <v>1.2E-2</v>
      </c>
      <c r="L71" s="8">
        <v>1.17E-2</v>
      </c>
      <c r="M71" s="8">
        <v>1.0999999999999999E-2</v>
      </c>
      <c r="N71" s="8">
        <v>1.18E-2</v>
      </c>
      <c r="O71" s="8">
        <v>1.24E-2</v>
      </c>
      <c r="P71" s="8">
        <v>1.18E-2</v>
      </c>
      <c r="Q71" s="8">
        <v>1.17E-2</v>
      </c>
      <c r="R71" s="8">
        <v>1.11E-2</v>
      </c>
      <c r="S71" s="8">
        <v>1.2E-2</v>
      </c>
      <c r="T71" s="8">
        <v>1.2500000000000001E-2</v>
      </c>
      <c r="U71" s="8">
        <v>1.17E-2</v>
      </c>
      <c r="V71" s="8">
        <v>1.2E-2</v>
      </c>
      <c r="W71" s="8">
        <v>1.12E-2</v>
      </c>
      <c r="X71" s="8">
        <v>1.23E-2</v>
      </c>
      <c r="Y71" s="8">
        <v>1.29E-2</v>
      </c>
      <c r="Z71" s="8">
        <v>1.18E-2</v>
      </c>
      <c r="AA71" s="8">
        <v>1.21E-2</v>
      </c>
      <c r="AB71" s="8">
        <v>1.1299999999999999E-2</v>
      </c>
      <c r="AC71" s="8">
        <v>1.24E-2</v>
      </c>
      <c r="AD71" s="8">
        <v>1.29E-2</v>
      </c>
      <c r="AE71" s="8">
        <v>1.18E-2</v>
      </c>
    </row>
    <row r="72" spans="1:31" x14ac:dyDescent="0.25">
      <c r="A72" t="s">
        <v>428</v>
      </c>
      <c r="B72" s="6">
        <v>3132.65</v>
      </c>
      <c r="C72" s="6">
        <v>3167.45</v>
      </c>
      <c r="D72" s="6">
        <v>3370.33</v>
      </c>
      <c r="E72" s="6">
        <v>3566.63</v>
      </c>
      <c r="F72" s="6">
        <v>13237.06</v>
      </c>
      <c r="G72" s="6">
        <v>3275.49</v>
      </c>
      <c r="H72" s="6">
        <v>3064.23</v>
      </c>
      <c r="I72" s="6">
        <v>3306.6</v>
      </c>
      <c r="J72" s="6">
        <v>3470.36</v>
      </c>
      <c r="K72" s="6">
        <v>13116.67</v>
      </c>
      <c r="L72" s="6">
        <v>3219.17</v>
      </c>
      <c r="M72" s="6">
        <v>3053.36</v>
      </c>
      <c r="N72" s="6">
        <v>3286.61</v>
      </c>
      <c r="O72" s="6">
        <v>3450.68</v>
      </c>
      <c r="P72" s="6">
        <v>13118.64</v>
      </c>
      <c r="Q72" s="6">
        <v>3259.11</v>
      </c>
      <c r="R72" s="6">
        <v>3107.15</v>
      </c>
      <c r="S72" s="6">
        <v>3372.32</v>
      </c>
      <c r="T72" s="6">
        <v>3539.78</v>
      </c>
      <c r="U72" s="6">
        <v>13200.06</v>
      </c>
      <c r="V72" s="6">
        <v>3394.03</v>
      </c>
      <c r="W72" s="6">
        <v>3176.2</v>
      </c>
      <c r="X72" s="6">
        <v>3497.94</v>
      </c>
      <c r="Y72" s="6">
        <v>3662.03</v>
      </c>
      <c r="Z72" s="6">
        <v>13432.28</v>
      </c>
      <c r="AA72" s="6">
        <v>3441.81</v>
      </c>
      <c r="AB72" s="6">
        <v>3224.12</v>
      </c>
      <c r="AC72" s="6">
        <v>3543.2</v>
      </c>
      <c r="AD72" s="6">
        <v>3705.19</v>
      </c>
      <c r="AE72" s="6">
        <v>13568.12</v>
      </c>
    </row>
    <row r="73" spans="1:31" x14ac:dyDescent="0.25">
      <c r="A73" t="s">
        <v>429</v>
      </c>
      <c r="B73" s="6">
        <v>304</v>
      </c>
      <c r="C73" s="6">
        <v>367</v>
      </c>
      <c r="D73" s="6">
        <v>322</v>
      </c>
      <c r="E73" s="6">
        <v>166</v>
      </c>
      <c r="F73" s="6">
        <v>1159</v>
      </c>
      <c r="G73" s="6">
        <v>222</v>
      </c>
      <c r="H73" s="6">
        <v>436</v>
      </c>
      <c r="I73" s="6">
        <v>352.34</v>
      </c>
      <c r="J73" s="6">
        <v>251.77</v>
      </c>
      <c r="K73" s="6">
        <v>1262.1099999999999</v>
      </c>
      <c r="L73" s="6">
        <v>237.89</v>
      </c>
      <c r="M73" s="6">
        <v>400.15</v>
      </c>
      <c r="N73" s="6">
        <v>335.62</v>
      </c>
      <c r="O73" s="6">
        <v>216.5</v>
      </c>
      <c r="P73" s="6">
        <v>1185.28</v>
      </c>
      <c r="Q73" s="6">
        <v>209.12</v>
      </c>
      <c r="R73" s="6">
        <v>362.8</v>
      </c>
      <c r="S73" s="6">
        <v>287.86</v>
      </c>
      <c r="T73" s="6">
        <v>167.07</v>
      </c>
      <c r="U73" s="6">
        <v>1081.27</v>
      </c>
      <c r="V73" s="6">
        <v>129.75</v>
      </c>
      <c r="W73" s="6">
        <v>343.72</v>
      </c>
      <c r="X73" s="6">
        <v>228.79</v>
      </c>
      <c r="Y73" s="6">
        <v>123.77</v>
      </c>
      <c r="Z73" s="6">
        <v>938.08</v>
      </c>
      <c r="AA73" s="6">
        <v>66.650000000000006</v>
      </c>
      <c r="AB73" s="6">
        <v>281.04000000000002</v>
      </c>
      <c r="AC73" s="6">
        <v>165.24</v>
      </c>
      <c r="AD73" s="6">
        <v>60.72</v>
      </c>
      <c r="AE73" s="6">
        <v>775.76</v>
      </c>
    </row>
    <row r="74" spans="1:31" x14ac:dyDescent="0.25">
      <c r="A74" t="s">
        <v>430</v>
      </c>
      <c r="B74" s="6">
        <v>-77</v>
      </c>
      <c r="C74" s="6">
        <v>-59</v>
      </c>
      <c r="D74" s="6">
        <v>-68</v>
      </c>
      <c r="E74" s="6">
        <v>-77</v>
      </c>
      <c r="F74" s="6">
        <v>-281</v>
      </c>
      <c r="G74" s="6">
        <v>-9</v>
      </c>
      <c r="H74" s="6">
        <v>-54</v>
      </c>
      <c r="I74" s="6">
        <v>0</v>
      </c>
      <c r="J74" s="6">
        <v>0</v>
      </c>
      <c r="K74" s="6">
        <v>-63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</row>
    <row r="75" spans="1:31" x14ac:dyDescent="0.25">
      <c r="A75" t="s">
        <v>431</v>
      </c>
      <c r="B75" s="6">
        <v>227</v>
      </c>
      <c r="C75" s="6">
        <v>308</v>
      </c>
      <c r="D75" s="6">
        <v>254</v>
      </c>
      <c r="E75" s="6">
        <v>89</v>
      </c>
      <c r="F75" s="6">
        <v>878</v>
      </c>
      <c r="G75" s="6">
        <v>213</v>
      </c>
      <c r="H75" s="6">
        <v>382</v>
      </c>
      <c r="I75" s="6">
        <v>302.61</v>
      </c>
      <c r="J75" s="6">
        <v>207.59</v>
      </c>
      <c r="K75" s="6">
        <v>1105.2</v>
      </c>
      <c r="L75" s="6">
        <v>221.21</v>
      </c>
      <c r="M75" s="6">
        <v>365.51</v>
      </c>
      <c r="N75" s="6">
        <v>273.07</v>
      </c>
      <c r="O75" s="6">
        <v>179.97</v>
      </c>
      <c r="P75" s="6">
        <v>1003.44</v>
      </c>
      <c r="Q75" s="6">
        <v>154.61000000000001</v>
      </c>
      <c r="R75" s="6">
        <v>311.8</v>
      </c>
      <c r="S75" s="6">
        <v>173.04</v>
      </c>
      <c r="T75" s="6">
        <v>92.1</v>
      </c>
      <c r="U75" s="6">
        <v>817.96</v>
      </c>
      <c r="V75" s="6">
        <v>99.21</v>
      </c>
      <c r="W75" s="6">
        <v>293.99</v>
      </c>
      <c r="X75" s="6">
        <v>144.72999999999999</v>
      </c>
      <c r="Y75" s="6">
        <v>24.56</v>
      </c>
      <c r="Z75" s="6">
        <v>696.6</v>
      </c>
      <c r="AA75" s="6">
        <v>48.84</v>
      </c>
      <c r="AB75" s="6">
        <v>243.69</v>
      </c>
      <c r="AC75" s="6">
        <v>94.93</v>
      </c>
      <c r="AD75" s="6">
        <v>-24.22</v>
      </c>
      <c r="AE75" s="6">
        <v>565.20000000000005</v>
      </c>
    </row>
    <row r="76" spans="1:31" x14ac:dyDescent="0.25">
      <c r="A76" t="s">
        <v>432</v>
      </c>
      <c r="B76" s="6">
        <v>90193</v>
      </c>
      <c r="C76" s="6">
        <v>90501</v>
      </c>
      <c r="D76" s="6">
        <v>90755</v>
      </c>
      <c r="E76" s="6">
        <v>90844</v>
      </c>
      <c r="F76" s="6">
        <v>90844</v>
      </c>
      <c r="G76" s="6">
        <v>91057</v>
      </c>
      <c r="H76" s="6">
        <v>91439</v>
      </c>
      <c r="I76" s="6">
        <v>91741.61</v>
      </c>
      <c r="J76" s="6">
        <v>91949.2</v>
      </c>
      <c r="K76" s="6">
        <v>91949.2</v>
      </c>
      <c r="L76" s="6">
        <v>92175.11</v>
      </c>
      <c r="M76" s="6">
        <v>92540.62</v>
      </c>
      <c r="N76" s="6">
        <v>92813.69</v>
      </c>
      <c r="O76" s="6">
        <v>92993.67</v>
      </c>
      <c r="P76" s="6">
        <v>92946.58</v>
      </c>
      <c r="Q76" s="6">
        <v>93024.41</v>
      </c>
      <c r="R76" s="6">
        <v>93336.21</v>
      </c>
      <c r="S76" s="6">
        <v>93509.25</v>
      </c>
      <c r="T76" s="6">
        <v>93601.34</v>
      </c>
      <c r="U76" s="6">
        <v>93746.28</v>
      </c>
      <c r="V76" s="6">
        <v>93808.43</v>
      </c>
      <c r="W76" s="6">
        <v>94102.42</v>
      </c>
      <c r="X76" s="6">
        <v>94247.16</v>
      </c>
      <c r="Y76" s="6">
        <v>94271.71</v>
      </c>
      <c r="Z76" s="6">
        <v>94518.27</v>
      </c>
      <c r="AA76" s="6">
        <v>94320.56</v>
      </c>
      <c r="AB76" s="6">
        <v>94564.25</v>
      </c>
      <c r="AC76" s="6">
        <v>94659.17</v>
      </c>
      <c r="AD76" s="6">
        <v>94634.95</v>
      </c>
      <c r="AE76" s="6">
        <v>95083.47</v>
      </c>
    </row>
    <row r="77" spans="1:31" x14ac:dyDescent="0.25">
      <c r="A77" t="s">
        <v>433</v>
      </c>
      <c r="B77" s="6">
        <v>90079.5</v>
      </c>
      <c r="C77" s="6">
        <v>90347</v>
      </c>
      <c r="D77" s="6">
        <v>90628</v>
      </c>
      <c r="E77" s="6">
        <v>90799.5</v>
      </c>
      <c r="F77" s="6">
        <v>90405</v>
      </c>
      <c r="G77" s="6">
        <v>90950.5</v>
      </c>
      <c r="H77" s="6">
        <v>91248</v>
      </c>
      <c r="I77" s="6">
        <v>91590.3</v>
      </c>
      <c r="J77" s="6">
        <v>91845.41</v>
      </c>
      <c r="K77" s="6">
        <v>91393.52</v>
      </c>
      <c r="L77" s="6">
        <v>92064.5</v>
      </c>
      <c r="M77" s="6">
        <v>92357.86</v>
      </c>
      <c r="N77" s="6">
        <v>92677.16</v>
      </c>
      <c r="O77" s="6">
        <v>92903.679999999993</v>
      </c>
      <c r="P77" s="6">
        <v>92447.31</v>
      </c>
      <c r="Q77" s="6">
        <v>92947.1</v>
      </c>
      <c r="R77" s="6">
        <v>93180.31</v>
      </c>
      <c r="S77" s="6">
        <v>93422.73</v>
      </c>
      <c r="T77" s="6">
        <v>93555.29</v>
      </c>
      <c r="U77" s="6">
        <v>93339.83</v>
      </c>
      <c r="V77" s="6">
        <v>93758.83</v>
      </c>
      <c r="W77" s="6">
        <v>93955.43</v>
      </c>
      <c r="X77" s="6">
        <v>94174.79</v>
      </c>
      <c r="Y77" s="6">
        <v>94259.43</v>
      </c>
      <c r="Z77" s="6">
        <v>94172.99</v>
      </c>
      <c r="AA77" s="6">
        <v>94296.13</v>
      </c>
      <c r="AB77" s="6">
        <v>94442.4</v>
      </c>
      <c r="AC77" s="6">
        <v>94611.71</v>
      </c>
      <c r="AD77" s="6">
        <v>94647.06</v>
      </c>
      <c r="AE77" s="6">
        <v>94803.9</v>
      </c>
    </row>
    <row r="78" spans="1:31" x14ac:dyDescent="0.25">
      <c r="A78" t="s">
        <v>434</v>
      </c>
      <c r="B78" s="6">
        <v>52.75</v>
      </c>
      <c r="C78" s="6">
        <v>53.22</v>
      </c>
      <c r="D78" s="6">
        <v>52.91</v>
      </c>
      <c r="E78" s="6">
        <v>52.86</v>
      </c>
      <c r="F78" s="6">
        <v>52.97</v>
      </c>
      <c r="G78" s="6">
        <v>52.86</v>
      </c>
      <c r="H78" s="6">
        <v>54.17</v>
      </c>
      <c r="I78" s="6">
        <v>53.81</v>
      </c>
      <c r="J78" s="6">
        <v>53.79</v>
      </c>
      <c r="K78" s="6">
        <v>53.66</v>
      </c>
      <c r="L78" s="6">
        <v>53.75</v>
      </c>
      <c r="M78" s="6">
        <v>59.33</v>
      </c>
      <c r="N78" s="6">
        <v>54.35</v>
      </c>
      <c r="O78" s="6">
        <v>54.29</v>
      </c>
      <c r="P78" s="6">
        <v>54.15</v>
      </c>
      <c r="Q78" s="6">
        <v>54.15</v>
      </c>
      <c r="R78" s="6">
        <v>54.9</v>
      </c>
      <c r="S78" s="6">
        <v>54.65</v>
      </c>
      <c r="T78" s="6">
        <v>54.81</v>
      </c>
      <c r="U78" s="6">
        <v>54.57</v>
      </c>
      <c r="V78" s="6">
        <v>54.45</v>
      </c>
      <c r="W78" s="6">
        <v>55.42</v>
      </c>
      <c r="X78" s="6">
        <v>55.14</v>
      </c>
      <c r="Y78" s="6">
        <v>55</v>
      </c>
      <c r="Z78" s="6">
        <v>54.85</v>
      </c>
      <c r="AA78" s="6">
        <v>54.86</v>
      </c>
      <c r="AB78" s="6">
        <v>55.84</v>
      </c>
      <c r="AC78" s="6">
        <v>55.63</v>
      </c>
      <c r="AD78" s="6">
        <v>55.5</v>
      </c>
      <c r="AE78" s="6">
        <v>55.2</v>
      </c>
    </row>
    <row r="79" spans="1:31" x14ac:dyDescent="0.25">
      <c r="A79" t="s">
        <v>435</v>
      </c>
      <c r="B79" s="6">
        <v>14253.84</v>
      </c>
      <c r="C79" s="6">
        <v>14424.82</v>
      </c>
      <c r="D79" s="6">
        <v>14384.74</v>
      </c>
      <c r="E79" s="6">
        <v>14398.03</v>
      </c>
      <c r="F79" s="6">
        <v>57461.43</v>
      </c>
      <c r="G79" s="6">
        <v>14422.32</v>
      </c>
      <c r="H79" s="6">
        <v>14828.2</v>
      </c>
      <c r="I79" s="6">
        <v>14784.47</v>
      </c>
      <c r="J79" s="6">
        <v>14818.18</v>
      </c>
      <c r="K79" s="6">
        <v>58851.72</v>
      </c>
      <c r="L79" s="6">
        <v>14839.17</v>
      </c>
      <c r="M79" s="6">
        <v>15073.38</v>
      </c>
      <c r="N79" s="6">
        <v>15101.24</v>
      </c>
      <c r="O79" s="6">
        <v>15120.97</v>
      </c>
      <c r="P79" s="6">
        <v>60063.77</v>
      </c>
      <c r="Q79" s="6">
        <v>15100.24</v>
      </c>
      <c r="R79" s="6">
        <v>15347.53</v>
      </c>
      <c r="S79" s="6">
        <v>15316.14</v>
      </c>
      <c r="T79" s="6">
        <v>15381.53</v>
      </c>
      <c r="U79" s="6">
        <v>61106.63</v>
      </c>
      <c r="V79" s="6">
        <v>15313.67</v>
      </c>
      <c r="W79" s="6">
        <v>15619.81</v>
      </c>
      <c r="X79" s="6">
        <v>15579.28</v>
      </c>
      <c r="Y79" s="6">
        <v>15552.2</v>
      </c>
      <c r="Z79" s="6">
        <v>61984.93</v>
      </c>
      <c r="AA79" s="6">
        <v>15518.51</v>
      </c>
      <c r="AB79" s="6">
        <v>15820.01</v>
      </c>
      <c r="AC79" s="6">
        <v>15789.22</v>
      </c>
      <c r="AD79" s="6">
        <v>15757.28</v>
      </c>
      <c r="AE79" s="6">
        <v>62805.57</v>
      </c>
    </row>
    <row r="80" spans="1:31" x14ac:dyDescent="0.25">
      <c r="A80" t="s">
        <v>77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x14ac:dyDescent="0.25">
      <c r="A81" t="s">
        <v>436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x14ac:dyDescent="0.25">
      <c r="A82" t="s">
        <v>437</v>
      </c>
      <c r="B82" s="6">
        <v>18257</v>
      </c>
      <c r="C82" s="6">
        <v>18225</v>
      </c>
      <c r="D82" s="6">
        <v>18195</v>
      </c>
      <c r="E82" s="6">
        <v>18044</v>
      </c>
      <c r="F82" s="6">
        <v>18257</v>
      </c>
      <c r="G82" s="6">
        <v>18329</v>
      </c>
      <c r="H82" s="6">
        <v>18235</v>
      </c>
      <c r="I82" s="6">
        <v>18361</v>
      </c>
      <c r="J82" s="6">
        <v>18370.43</v>
      </c>
      <c r="K82" s="6">
        <v>18329</v>
      </c>
      <c r="L82" s="6">
        <v>18698.060000000001</v>
      </c>
      <c r="M82" s="6">
        <v>18727.89</v>
      </c>
      <c r="N82" s="6">
        <v>18878.939999999999</v>
      </c>
      <c r="O82" s="6">
        <v>18909.45</v>
      </c>
      <c r="P82" s="6">
        <v>18670.29</v>
      </c>
      <c r="Q82" s="6">
        <v>19531.259999999998</v>
      </c>
      <c r="R82" s="6">
        <v>19606.830000000002</v>
      </c>
      <c r="S82" s="6">
        <v>19828.5</v>
      </c>
      <c r="T82" s="6">
        <v>19911.240000000002</v>
      </c>
      <c r="U82" s="6">
        <v>19205.02</v>
      </c>
      <c r="V82" s="6">
        <v>18603.34</v>
      </c>
      <c r="W82" s="6">
        <v>18542.5</v>
      </c>
      <c r="X82" s="6">
        <v>18594.12</v>
      </c>
      <c r="Y82" s="6">
        <v>18494.09</v>
      </c>
      <c r="Z82" s="6">
        <v>18941.189999999999</v>
      </c>
      <c r="AA82" s="6">
        <v>18678.41</v>
      </c>
      <c r="AB82" s="6">
        <v>18619.849999999999</v>
      </c>
      <c r="AC82" s="6">
        <v>18668.400000000001</v>
      </c>
      <c r="AD82" s="6">
        <v>18568.02</v>
      </c>
      <c r="AE82" s="6">
        <v>19138.23</v>
      </c>
    </row>
    <row r="83" spans="1:31" x14ac:dyDescent="0.25">
      <c r="A83" t="s">
        <v>438</v>
      </c>
      <c r="B83" s="6">
        <v>852.59</v>
      </c>
      <c r="C83" s="6">
        <v>872.9</v>
      </c>
      <c r="D83" s="6">
        <v>755.96</v>
      </c>
      <c r="E83" s="6">
        <v>1144.94</v>
      </c>
      <c r="F83" s="6">
        <v>3626.39</v>
      </c>
      <c r="G83" s="6">
        <v>772.87</v>
      </c>
      <c r="H83" s="6">
        <v>977.1</v>
      </c>
      <c r="I83" s="6">
        <v>1093.2</v>
      </c>
      <c r="J83" s="6">
        <v>1445.33</v>
      </c>
      <c r="K83" s="6">
        <v>4288.5</v>
      </c>
      <c r="L83" s="6">
        <v>556.26</v>
      </c>
      <c r="M83" s="6">
        <v>811</v>
      </c>
      <c r="N83" s="6">
        <v>592.08000000000004</v>
      </c>
      <c r="O83" s="6">
        <v>1206.7</v>
      </c>
      <c r="P83" s="6">
        <v>4888.21</v>
      </c>
      <c r="Q83" s="6">
        <v>638.01</v>
      </c>
      <c r="R83" s="6">
        <v>918.27</v>
      </c>
      <c r="S83" s="6">
        <v>662.56</v>
      </c>
      <c r="T83" s="6">
        <v>1335.98</v>
      </c>
      <c r="U83" s="6">
        <v>5065.67</v>
      </c>
      <c r="V83" s="7" t="s">
        <v>104</v>
      </c>
      <c r="W83" s="7" t="s">
        <v>104</v>
      </c>
      <c r="X83" s="7" t="s">
        <v>104</v>
      </c>
      <c r="Y83" s="7" t="s">
        <v>104</v>
      </c>
      <c r="Z83" s="6">
        <v>5925.09</v>
      </c>
      <c r="AA83" s="7" t="s">
        <v>104</v>
      </c>
      <c r="AB83" s="7" t="s">
        <v>104</v>
      </c>
      <c r="AC83" s="7" t="s">
        <v>104</v>
      </c>
      <c r="AD83" s="7" t="s">
        <v>104</v>
      </c>
      <c r="AE83" s="6">
        <v>5983.89</v>
      </c>
    </row>
    <row r="84" spans="1:31" x14ac:dyDescent="0.25">
      <c r="A84" t="s">
        <v>439</v>
      </c>
      <c r="B84" s="8">
        <v>1.6299999999999999E-2</v>
      </c>
      <c r="C84" s="8">
        <v>1.66E-2</v>
      </c>
      <c r="D84" s="8">
        <v>1.67E-2</v>
      </c>
      <c r="E84" s="8">
        <v>1.5800000000000002E-2</v>
      </c>
      <c r="F84" s="8">
        <v>8.5000000000000006E-3</v>
      </c>
      <c r="G84" s="8">
        <v>1.5599999999999999E-2</v>
      </c>
      <c r="H84" s="8">
        <v>1.5599999999999999E-2</v>
      </c>
      <c r="I84" s="8">
        <v>0.02</v>
      </c>
      <c r="J84" s="8">
        <v>2.01E-2</v>
      </c>
      <c r="K84" s="8">
        <v>1.2999999999999999E-2</v>
      </c>
      <c r="L84" s="8">
        <v>0.01</v>
      </c>
      <c r="M84" s="8">
        <v>0.01</v>
      </c>
      <c r="N84" s="8">
        <v>0.01</v>
      </c>
      <c r="O84" s="8">
        <v>0.01</v>
      </c>
      <c r="P84" s="8">
        <v>1.9E-2</v>
      </c>
      <c r="Q84" s="8">
        <v>0.01</v>
      </c>
      <c r="R84" s="8">
        <v>0.01</v>
      </c>
      <c r="S84" s="8">
        <v>0.01</v>
      </c>
      <c r="T84" s="8">
        <v>0.01</v>
      </c>
      <c r="U84" s="8">
        <v>1.8800000000000001E-2</v>
      </c>
      <c r="V84" s="7" t="s">
        <v>104</v>
      </c>
      <c r="W84" s="7" t="s">
        <v>104</v>
      </c>
      <c r="X84" s="7" t="s">
        <v>104</v>
      </c>
      <c r="Y84" s="7" t="s">
        <v>104</v>
      </c>
      <c r="Z84" s="8">
        <v>2.3E-2</v>
      </c>
      <c r="AA84" s="7" t="s">
        <v>104</v>
      </c>
      <c r="AB84" s="7" t="s">
        <v>104</v>
      </c>
      <c r="AC84" s="7" t="s">
        <v>104</v>
      </c>
      <c r="AD84" s="7" t="s">
        <v>104</v>
      </c>
      <c r="AE84" s="8">
        <v>2.2700000000000001E-2</v>
      </c>
    </row>
    <row r="85" spans="1:31" x14ac:dyDescent="0.25">
      <c r="A85" t="s">
        <v>440</v>
      </c>
      <c r="B85" s="6">
        <v>625.16999999999996</v>
      </c>
      <c r="C85" s="6">
        <v>405.1</v>
      </c>
      <c r="D85" s="6">
        <v>644.69000000000005</v>
      </c>
      <c r="E85" s="6">
        <v>678.76</v>
      </c>
      <c r="F85" s="6">
        <v>2353.7199999999998</v>
      </c>
      <c r="G85" s="6">
        <v>620.84</v>
      </c>
      <c r="H85" s="6">
        <v>675.56</v>
      </c>
      <c r="I85" s="6">
        <v>395.32</v>
      </c>
      <c r="J85" s="6">
        <v>394.56</v>
      </c>
      <c r="K85" s="6">
        <v>2086.2800000000002</v>
      </c>
      <c r="L85" s="6">
        <v>605.33000000000004</v>
      </c>
      <c r="M85" s="6">
        <v>625.84</v>
      </c>
      <c r="N85" s="6">
        <v>646.88</v>
      </c>
      <c r="O85" s="6">
        <v>673.86</v>
      </c>
      <c r="P85" s="6">
        <v>1669.68</v>
      </c>
      <c r="Q85" s="6">
        <v>701.54</v>
      </c>
      <c r="R85" s="6">
        <v>724.88</v>
      </c>
      <c r="S85" s="6">
        <v>748.59</v>
      </c>
      <c r="T85" s="6">
        <v>778.57</v>
      </c>
      <c r="U85" s="6">
        <v>1821.23</v>
      </c>
      <c r="V85" s="7" t="s">
        <v>104</v>
      </c>
      <c r="W85" s="7" t="s">
        <v>104</v>
      </c>
      <c r="X85" s="7" t="s">
        <v>104</v>
      </c>
      <c r="Y85" s="7" t="s">
        <v>104</v>
      </c>
      <c r="Z85" s="6">
        <v>1293.26</v>
      </c>
      <c r="AA85" s="7" t="s">
        <v>104</v>
      </c>
      <c r="AB85" s="7" t="s">
        <v>104</v>
      </c>
      <c r="AC85" s="7" t="s">
        <v>104</v>
      </c>
      <c r="AD85" s="7" t="s">
        <v>104</v>
      </c>
      <c r="AE85" s="6">
        <v>1339.77</v>
      </c>
    </row>
    <row r="86" spans="1:31" x14ac:dyDescent="0.25">
      <c r="A86" t="s">
        <v>441</v>
      </c>
      <c r="B86" s="6">
        <v>-48</v>
      </c>
      <c r="C86" s="6">
        <v>-40</v>
      </c>
      <c r="D86" s="6">
        <v>-161</v>
      </c>
      <c r="E86" s="6">
        <v>292</v>
      </c>
      <c r="F86" s="6">
        <v>43</v>
      </c>
      <c r="G86" s="6">
        <v>-64</v>
      </c>
      <c r="H86" s="6">
        <v>113</v>
      </c>
      <c r="I86" s="6">
        <v>-45.82</v>
      </c>
      <c r="J86" s="6">
        <v>236.9</v>
      </c>
      <c r="K86" s="6">
        <v>240.08</v>
      </c>
      <c r="L86" s="6">
        <v>-38.83</v>
      </c>
      <c r="M86" s="6">
        <v>47.33</v>
      </c>
      <c r="N86" s="6">
        <v>-60.25</v>
      </c>
      <c r="O86" s="6">
        <v>244.54</v>
      </c>
      <c r="P86" s="6">
        <v>249.39</v>
      </c>
      <c r="Q86" s="6">
        <v>-61.33</v>
      </c>
      <c r="R86" s="6">
        <v>29.33</v>
      </c>
      <c r="S86" s="6">
        <v>-87</v>
      </c>
      <c r="T86" s="6">
        <v>268.5</v>
      </c>
      <c r="U86" s="6">
        <v>219.46</v>
      </c>
      <c r="V86" s="6">
        <v>-57</v>
      </c>
      <c r="W86" s="6">
        <v>31.5</v>
      </c>
      <c r="X86" s="6">
        <v>-155.5</v>
      </c>
      <c r="Y86" s="6">
        <v>292</v>
      </c>
      <c r="Z86" s="6">
        <v>218.73</v>
      </c>
      <c r="AA86" s="6">
        <v>-57</v>
      </c>
      <c r="AB86" s="6">
        <v>31.5</v>
      </c>
      <c r="AC86" s="6">
        <v>-155.5</v>
      </c>
      <c r="AD86" s="6">
        <v>292</v>
      </c>
      <c r="AE86" s="6">
        <v>212.79</v>
      </c>
    </row>
    <row r="87" spans="1:31" x14ac:dyDescent="0.25">
      <c r="A87" t="s">
        <v>442</v>
      </c>
      <c r="B87" s="6">
        <v>16</v>
      </c>
      <c r="C87" s="6">
        <v>10</v>
      </c>
      <c r="D87" s="6">
        <v>10</v>
      </c>
      <c r="E87" s="6">
        <v>-7</v>
      </c>
      <c r="F87" s="6">
        <v>29</v>
      </c>
      <c r="G87" s="6">
        <v>-30</v>
      </c>
      <c r="H87" s="6">
        <v>13</v>
      </c>
      <c r="I87" s="7" t="s">
        <v>104</v>
      </c>
      <c r="J87" s="7" t="s">
        <v>104</v>
      </c>
      <c r="K87" s="6">
        <v>-347.33</v>
      </c>
      <c r="L87" s="7" t="s">
        <v>104</v>
      </c>
      <c r="M87" s="7" t="s">
        <v>104</v>
      </c>
      <c r="N87" s="7" t="s">
        <v>104</v>
      </c>
      <c r="O87" s="7" t="s">
        <v>104</v>
      </c>
      <c r="P87" s="7" t="s">
        <v>104</v>
      </c>
      <c r="Q87" s="7" t="s">
        <v>104</v>
      </c>
      <c r="R87" s="7" t="s">
        <v>104</v>
      </c>
      <c r="S87" s="7" t="s">
        <v>104</v>
      </c>
      <c r="T87" s="7" t="s">
        <v>104</v>
      </c>
      <c r="U87" s="7" t="s">
        <v>104</v>
      </c>
      <c r="V87" s="7" t="s">
        <v>104</v>
      </c>
      <c r="W87" s="7" t="s">
        <v>104</v>
      </c>
      <c r="X87" s="7" t="s">
        <v>104</v>
      </c>
      <c r="Y87" s="7" t="s">
        <v>104</v>
      </c>
      <c r="Z87" s="7" t="s">
        <v>104</v>
      </c>
      <c r="AA87" s="7" t="s">
        <v>104</v>
      </c>
      <c r="AB87" s="7" t="s">
        <v>104</v>
      </c>
      <c r="AC87" s="7" t="s">
        <v>104</v>
      </c>
      <c r="AD87" s="7" t="s">
        <v>104</v>
      </c>
      <c r="AE87" s="7" t="s">
        <v>104</v>
      </c>
    </row>
    <row r="88" spans="1:31" x14ac:dyDescent="0.25">
      <c r="A88" t="s">
        <v>443</v>
      </c>
      <c r="B88" s="6">
        <v>-32</v>
      </c>
      <c r="C88" s="6">
        <v>-30</v>
      </c>
      <c r="D88" s="6">
        <v>-151</v>
      </c>
      <c r="E88" s="6">
        <v>285</v>
      </c>
      <c r="F88" s="6">
        <v>72</v>
      </c>
      <c r="G88" s="6">
        <v>-94</v>
      </c>
      <c r="H88" s="6">
        <v>126</v>
      </c>
      <c r="I88" s="6">
        <v>-41.32</v>
      </c>
      <c r="J88" s="6">
        <v>236.64</v>
      </c>
      <c r="K88" s="6">
        <v>60.66</v>
      </c>
      <c r="L88" s="6">
        <v>-45.83</v>
      </c>
      <c r="M88" s="6">
        <v>72.819999999999993</v>
      </c>
      <c r="N88" s="6">
        <v>-50.35</v>
      </c>
      <c r="O88" s="6">
        <v>252.72</v>
      </c>
      <c r="P88" s="6">
        <v>579.66</v>
      </c>
      <c r="Q88" s="6">
        <v>-64.73</v>
      </c>
      <c r="R88" s="6">
        <v>76.69</v>
      </c>
      <c r="S88" s="6">
        <v>-66.98</v>
      </c>
      <c r="T88" s="6">
        <v>276.64</v>
      </c>
      <c r="U88" s="6">
        <v>670.09</v>
      </c>
      <c r="V88" s="6">
        <v>-60.84</v>
      </c>
      <c r="W88" s="6">
        <v>51.62</v>
      </c>
      <c r="X88" s="6">
        <v>-100.02</v>
      </c>
      <c r="Y88" s="6">
        <v>151.47</v>
      </c>
      <c r="Z88" s="6">
        <v>262.72000000000003</v>
      </c>
      <c r="AA88" s="6">
        <v>-58.56</v>
      </c>
      <c r="AB88" s="6">
        <v>48.56</v>
      </c>
      <c r="AC88" s="6">
        <v>-100.39</v>
      </c>
      <c r="AD88" s="6">
        <v>150.91999999999999</v>
      </c>
      <c r="AE88" s="6">
        <v>255.04</v>
      </c>
    </row>
    <row r="89" spans="1:31" x14ac:dyDescent="0.25">
      <c r="A89" t="s">
        <v>444</v>
      </c>
      <c r="B89" s="6">
        <v>18225</v>
      </c>
      <c r="C89" s="6">
        <v>18195</v>
      </c>
      <c r="D89" s="6">
        <v>18044</v>
      </c>
      <c r="E89" s="6">
        <v>18329</v>
      </c>
      <c r="F89" s="6">
        <v>18329</v>
      </c>
      <c r="G89" s="6">
        <v>18235</v>
      </c>
      <c r="H89" s="6">
        <v>18361</v>
      </c>
      <c r="I89" s="6">
        <v>18370.43</v>
      </c>
      <c r="J89" s="6">
        <v>18659.93</v>
      </c>
      <c r="K89" s="6">
        <v>18670.29</v>
      </c>
      <c r="L89" s="6">
        <v>18727.89</v>
      </c>
      <c r="M89" s="6">
        <v>18878.939999999999</v>
      </c>
      <c r="N89" s="6">
        <v>18909.45</v>
      </c>
      <c r="O89" s="6">
        <v>19246.060000000001</v>
      </c>
      <c r="P89" s="6">
        <v>19205.02</v>
      </c>
      <c r="Q89" s="6">
        <v>19606.830000000002</v>
      </c>
      <c r="R89" s="6">
        <v>19828.5</v>
      </c>
      <c r="S89" s="6">
        <v>19911.240000000002</v>
      </c>
      <c r="T89" s="6">
        <v>20338.27</v>
      </c>
      <c r="U89" s="6">
        <v>19741.09</v>
      </c>
      <c r="V89" s="6">
        <v>18542.5</v>
      </c>
      <c r="W89" s="6">
        <v>18594.12</v>
      </c>
      <c r="X89" s="6">
        <v>18494.09</v>
      </c>
      <c r="Y89" s="6">
        <v>18678.41</v>
      </c>
      <c r="Z89" s="6">
        <v>19138.23</v>
      </c>
      <c r="AA89" s="6">
        <v>18619.849999999999</v>
      </c>
      <c r="AB89" s="6">
        <v>18668.400000000001</v>
      </c>
      <c r="AC89" s="6">
        <v>18568.02</v>
      </c>
      <c r="AD89" s="6">
        <v>18751.97</v>
      </c>
      <c r="AE89" s="6">
        <v>19329.509999999998</v>
      </c>
    </row>
    <row r="90" spans="1:31" x14ac:dyDescent="0.25">
      <c r="A90" t="s">
        <v>445</v>
      </c>
      <c r="B90" s="6">
        <v>18241</v>
      </c>
      <c r="C90" s="6">
        <v>18210</v>
      </c>
      <c r="D90" s="6">
        <v>18119.5</v>
      </c>
      <c r="E90" s="6">
        <v>18186.5</v>
      </c>
      <c r="F90" s="6">
        <v>18293</v>
      </c>
      <c r="G90" s="6">
        <v>18282</v>
      </c>
      <c r="H90" s="6">
        <v>18298</v>
      </c>
      <c r="I90" s="6">
        <v>18365.72</v>
      </c>
      <c r="J90" s="6">
        <v>18515.18</v>
      </c>
      <c r="K90" s="6">
        <v>18460.21</v>
      </c>
      <c r="L90" s="6">
        <v>18712.97</v>
      </c>
      <c r="M90" s="6">
        <v>18803.419999999998</v>
      </c>
      <c r="N90" s="6">
        <v>18894.2</v>
      </c>
      <c r="O90" s="6">
        <v>19077.759999999998</v>
      </c>
      <c r="P90" s="6">
        <v>18924.240000000002</v>
      </c>
      <c r="Q90" s="6">
        <v>19569.05</v>
      </c>
      <c r="R90" s="6">
        <v>19717.669999999998</v>
      </c>
      <c r="S90" s="6">
        <v>19869.87</v>
      </c>
      <c r="T90" s="6">
        <v>20124.759999999998</v>
      </c>
      <c r="U90" s="6">
        <v>19453.13</v>
      </c>
      <c r="V90" s="6">
        <v>18572.919999999998</v>
      </c>
      <c r="W90" s="6">
        <v>18568.310000000001</v>
      </c>
      <c r="X90" s="6">
        <v>18544.11</v>
      </c>
      <c r="Y90" s="6">
        <v>18586.25</v>
      </c>
      <c r="Z90" s="6">
        <v>19014.810000000001</v>
      </c>
      <c r="AA90" s="6">
        <v>18649.13</v>
      </c>
      <c r="AB90" s="6">
        <v>18644.13</v>
      </c>
      <c r="AC90" s="6">
        <v>18618.21</v>
      </c>
      <c r="AD90" s="6">
        <v>18659.990000000002</v>
      </c>
      <c r="AE90" s="6">
        <v>19208.96</v>
      </c>
    </row>
    <row r="91" spans="1:31" x14ac:dyDescent="0.25">
      <c r="A91" t="s">
        <v>446</v>
      </c>
      <c r="B91" s="6">
        <v>43.81</v>
      </c>
      <c r="C91" s="6">
        <v>44.45</v>
      </c>
      <c r="D91" s="6">
        <v>46.75</v>
      </c>
      <c r="E91" s="6">
        <v>46.85</v>
      </c>
      <c r="F91" s="6">
        <v>45.2</v>
      </c>
      <c r="G91" s="6">
        <v>45.92</v>
      </c>
      <c r="H91" s="6">
        <v>47.09</v>
      </c>
      <c r="I91" s="6">
        <v>49.35</v>
      </c>
      <c r="J91" s="6">
        <v>49.11</v>
      </c>
      <c r="K91" s="6">
        <v>47.63</v>
      </c>
      <c r="L91" s="6">
        <v>47.4</v>
      </c>
      <c r="M91" s="6">
        <v>48.16</v>
      </c>
      <c r="N91" s="6">
        <v>49.98</v>
      </c>
      <c r="O91" s="6">
        <v>49.5</v>
      </c>
      <c r="P91" s="6">
        <v>48.56</v>
      </c>
      <c r="Q91" s="6">
        <v>48.03</v>
      </c>
      <c r="R91" s="6">
        <v>48.88</v>
      </c>
      <c r="S91" s="6">
        <v>50.62</v>
      </c>
      <c r="T91" s="6">
        <v>49.95</v>
      </c>
      <c r="U91" s="6">
        <v>49.61</v>
      </c>
      <c r="V91" s="6">
        <v>48.94</v>
      </c>
      <c r="W91" s="6">
        <v>50.01</v>
      </c>
      <c r="X91" s="6">
        <v>52.2</v>
      </c>
      <c r="Y91" s="6">
        <v>51.76</v>
      </c>
      <c r="Z91" s="6">
        <v>50.91</v>
      </c>
      <c r="AA91" s="6">
        <v>49.55</v>
      </c>
      <c r="AB91" s="6">
        <v>50.63</v>
      </c>
      <c r="AC91" s="6">
        <v>52.86</v>
      </c>
      <c r="AD91" s="6">
        <v>52.42</v>
      </c>
      <c r="AE91" s="6">
        <v>51.74</v>
      </c>
    </row>
    <row r="92" spans="1:31" x14ac:dyDescent="0.25">
      <c r="A92" t="s">
        <v>447</v>
      </c>
      <c r="B92" s="6">
        <v>2397.16</v>
      </c>
      <c r="C92" s="6">
        <v>2428.1799999999998</v>
      </c>
      <c r="D92" s="6">
        <v>2541.2600000000002</v>
      </c>
      <c r="E92" s="6">
        <v>2555.9699999999998</v>
      </c>
      <c r="F92" s="6">
        <v>9922.57</v>
      </c>
      <c r="G92" s="6">
        <v>2518.6799999999998</v>
      </c>
      <c r="H92" s="6">
        <v>2584.8000000000002</v>
      </c>
      <c r="I92" s="6">
        <v>2737.75</v>
      </c>
      <c r="J92" s="6">
        <v>2745.11</v>
      </c>
      <c r="K92" s="6">
        <v>10586.89</v>
      </c>
      <c r="L92" s="6">
        <v>2664.31</v>
      </c>
      <c r="M92" s="6">
        <v>2765.9</v>
      </c>
      <c r="N92" s="6">
        <v>2870.49</v>
      </c>
      <c r="O92" s="6">
        <v>2865.51</v>
      </c>
      <c r="P92" s="6">
        <v>11137.22</v>
      </c>
      <c r="Q92" s="6">
        <v>2789.04</v>
      </c>
      <c r="R92" s="6">
        <v>2866.47</v>
      </c>
      <c r="S92" s="6">
        <v>3006.11</v>
      </c>
      <c r="T92" s="6">
        <v>2992.07</v>
      </c>
      <c r="U92" s="6">
        <v>11603.55</v>
      </c>
      <c r="V92" s="6">
        <v>2738.58</v>
      </c>
      <c r="W92" s="6">
        <v>2832.07</v>
      </c>
      <c r="X92" s="6">
        <v>2948.97</v>
      </c>
      <c r="Y92" s="6">
        <v>2955.26</v>
      </c>
      <c r="Z92" s="6">
        <v>11720.51</v>
      </c>
      <c r="AA92" s="6">
        <v>2800.05</v>
      </c>
      <c r="AB92" s="6">
        <v>2878.78</v>
      </c>
      <c r="AC92" s="6">
        <v>3021.87</v>
      </c>
      <c r="AD92" s="6">
        <v>3002.58</v>
      </c>
      <c r="AE92" s="6">
        <v>12024.8</v>
      </c>
    </row>
    <row r="93" spans="1:31" x14ac:dyDescent="0.25">
      <c r="A93" t="s">
        <v>77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x14ac:dyDescent="0.25">
      <c r="A94" t="s">
        <v>448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x14ac:dyDescent="0.25">
      <c r="A95" t="s">
        <v>449</v>
      </c>
      <c r="B95" s="8">
        <v>1.24E-2</v>
      </c>
      <c r="C95" s="8">
        <v>1.32E-2</v>
      </c>
      <c r="D95" s="8">
        <v>1.32E-2</v>
      </c>
      <c r="E95" s="8">
        <v>1.4500000000000001E-2</v>
      </c>
      <c r="F95" s="8">
        <v>1.37E-2</v>
      </c>
      <c r="G95" s="8">
        <v>1.3100000000000001E-2</v>
      </c>
      <c r="H95" s="8">
        <v>1.2699999999999999E-2</v>
      </c>
      <c r="I95" s="8">
        <v>1.34E-2</v>
      </c>
      <c r="J95" s="8">
        <v>1.38E-2</v>
      </c>
      <c r="K95" s="8">
        <v>1.32E-2</v>
      </c>
      <c r="L95" s="8">
        <v>1.29E-2</v>
      </c>
      <c r="M95" s="8">
        <v>1.26E-2</v>
      </c>
      <c r="N95" s="8">
        <v>1.32E-2</v>
      </c>
      <c r="O95" s="8">
        <v>1.3599999999999999E-2</v>
      </c>
      <c r="P95" s="8">
        <v>1.29E-2</v>
      </c>
      <c r="Q95" s="8">
        <v>1.2800000000000001E-2</v>
      </c>
      <c r="R95" s="8">
        <v>1.23E-2</v>
      </c>
      <c r="S95" s="8">
        <v>1.3100000000000001E-2</v>
      </c>
      <c r="T95" s="8">
        <v>1.35E-2</v>
      </c>
      <c r="U95" s="8">
        <v>1.29E-2</v>
      </c>
      <c r="V95" s="8">
        <v>1.2999999999999999E-2</v>
      </c>
      <c r="W95" s="8">
        <v>1.21E-2</v>
      </c>
      <c r="X95" s="8">
        <v>1.3100000000000001E-2</v>
      </c>
      <c r="Y95" s="8">
        <v>1.37E-2</v>
      </c>
      <c r="Z95" s="8">
        <v>1.29E-2</v>
      </c>
      <c r="AA95" s="8">
        <v>1.29E-2</v>
      </c>
      <c r="AB95" s="8">
        <v>1.2E-2</v>
      </c>
      <c r="AC95" s="8">
        <v>1.2999999999999999E-2</v>
      </c>
      <c r="AD95" s="8">
        <v>1.3599999999999999E-2</v>
      </c>
      <c r="AE95" s="8">
        <v>1.2800000000000001E-2</v>
      </c>
    </row>
    <row r="96" spans="1:31" x14ac:dyDescent="0.25">
      <c r="A96" t="s">
        <v>450</v>
      </c>
      <c r="B96" s="6">
        <v>4565.1899999999996</v>
      </c>
      <c r="C96" s="6">
        <v>4705.4799999999996</v>
      </c>
      <c r="D96" s="6">
        <v>4771.0200000000004</v>
      </c>
      <c r="E96" s="6">
        <v>5246.12</v>
      </c>
      <c r="F96" s="6">
        <v>19373.29</v>
      </c>
      <c r="G96" s="6">
        <v>4523.5200000000004</v>
      </c>
      <c r="H96" s="6">
        <v>4673.59</v>
      </c>
      <c r="I96" s="6">
        <v>4702.71</v>
      </c>
      <c r="J96" s="6">
        <v>5134.17</v>
      </c>
      <c r="K96" s="6">
        <v>19074.669999999998</v>
      </c>
      <c r="L96" s="6">
        <v>4561.7299999999996</v>
      </c>
      <c r="M96" s="6">
        <v>4716.45</v>
      </c>
      <c r="N96" s="6">
        <v>4697.67</v>
      </c>
      <c r="O96" s="6">
        <v>5154.93</v>
      </c>
      <c r="P96" s="6">
        <v>19111.32</v>
      </c>
      <c r="Q96" s="6">
        <v>4564.18</v>
      </c>
      <c r="R96" s="6">
        <v>4671.7299999999996</v>
      </c>
      <c r="S96" s="6">
        <v>4686.37</v>
      </c>
      <c r="T96" s="6">
        <v>5188.66</v>
      </c>
      <c r="U96" s="6">
        <v>19128.150000000001</v>
      </c>
      <c r="V96" s="6">
        <v>4573.95</v>
      </c>
      <c r="W96" s="6">
        <v>4642</v>
      </c>
      <c r="X96" s="6">
        <v>4654.33</v>
      </c>
      <c r="Y96" s="6">
        <v>5152.8599999999997</v>
      </c>
      <c r="Z96" s="6">
        <v>19131.62</v>
      </c>
      <c r="AA96" s="6">
        <v>4553.72</v>
      </c>
      <c r="AB96" s="6">
        <v>4623.9799999999996</v>
      </c>
      <c r="AC96" s="6">
        <v>4634.3100000000004</v>
      </c>
      <c r="AD96" s="6">
        <v>5133.78</v>
      </c>
      <c r="AE96" s="6">
        <v>19109.09</v>
      </c>
    </row>
    <row r="97" spans="1:31" x14ac:dyDescent="0.25">
      <c r="A97" t="s">
        <v>451</v>
      </c>
      <c r="B97" s="6">
        <v>256</v>
      </c>
      <c r="C97" s="6">
        <v>327</v>
      </c>
      <c r="D97" s="6">
        <v>161</v>
      </c>
      <c r="E97" s="6">
        <v>458</v>
      </c>
      <c r="F97" s="6">
        <v>1202</v>
      </c>
      <c r="G97" s="6">
        <v>158</v>
      </c>
      <c r="H97" s="6">
        <v>549</v>
      </c>
      <c r="I97" s="6">
        <v>319.67</v>
      </c>
      <c r="J97" s="6">
        <v>503.34</v>
      </c>
      <c r="K97" s="6">
        <v>1524.16</v>
      </c>
      <c r="L97" s="6">
        <v>233.59</v>
      </c>
      <c r="M97" s="6">
        <v>516.4</v>
      </c>
      <c r="N97" s="6">
        <v>304.12</v>
      </c>
      <c r="O97" s="6">
        <v>496.61</v>
      </c>
      <c r="P97" s="6">
        <v>1594.08</v>
      </c>
      <c r="Q97" s="6">
        <v>192.45</v>
      </c>
      <c r="R97" s="6">
        <v>466.19</v>
      </c>
      <c r="S97" s="6">
        <v>243.28</v>
      </c>
      <c r="T97" s="6">
        <v>453.87</v>
      </c>
      <c r="U97" s="6">
        <v>1422.13</v>
      </c>
      <c r="V97" s="6">
        <v>161.72999999999999</v>
      </c>
      <c r="W97" s="6">
        <v>508.98</v>
      </c>
      <c r="X97" s="6">
        <v>158.88999999999999</v>
      </c>
      <c r="Y97" s="6">
        <v>454.22</v>
      </c>
      <c r="Z97" s="6">
        <v>1349.28</v>
      </c>
      <c r="AA97" s="6">
        <v>133.51</v>
      </c>
      <c r="AB97" s="6">
        <v>481.18</v>
      </c>
      <c r="AC97" s="6">
        <v>129.51</v>
      </c>
      <c r="AD97" s="6">
        <v>425.76</v>
      </c>
      <c r="AE97" s="6">
        <v>1238.96</v>
      </c>
    </row>
    <row r="98" spans="1:31" x14ac:dyDescent="0.25">
      <c r="A98" t="s">
        <v>452</v>
      </c>
      <c r="B98" s="6">
        <v>-61</v>
      </c>
      <c r="C98" s="6">
        <v>-49</v>
      </c>
      <c r="D98" s="6">
        <v>-58</v>
      </c>
      <c r="E98" s="6">
        <v>-84</v>
      </c>
      <c r="F98" s="6">
        <v>-252</v>
      </c>
      <c r="G98" s="6">
        <v>-39</v>
      </c>
      <c r="H98" s="6">
        <v>-41</v>
      </c>
      <c r="I98" s="6">
        <v>-35</v>
      </c>
      <c r="J98" s="6">
        <v>-35</v>
      </c>
      <c r="K98" s="6">
        <v>-67.86</v>
      </c>
      <c r="L98" s="6">
        <v>-35</v>
      </c>
      <c r="M98" s="6">
        <v>-35</v>
      </c>
      <c r="N98" s="6">
        <v>-35</v>
      </c>
      <c r="O98" s="6">
        <v>-35</v>
      </c>
      <c r="P98" s="6">
        <v>-140</v>
      </c>
      <c r="Q98" s="6">
        <v>-35</v>
      </c>
      <c r="R98" s="6">
        <v>-35</v>
      </c>
      <c r="S98" s="6">
        <v>-65</v>
      </c>
      <c r="T98" s="6">
        <v>-65</v>
      </c>
      <c r="U98" s="6">
        <v>-200</v>
      </c>
      <c r="V98" s="6">
        <v>-65</v>
      </c>
      <c r="W98" s="6">
        <v>-65</v>
      </c>
      <c r="X98" s="6">
        <v>-65</v>
      </c>
      <c r="Y98" s="6">
        <v>-65</v>
      </c>
      <c r="Z98" s="6">
        <v>-260</v>
      </c>
      <c r="AA98" s="6">
        <v>-65</v>
      </c>
      <c r="AB98" s="6">
        <v>-65</v>
      </c>
      <c r="AC98" s="6">
        <v>-65</v>
      </c>
      <c r="AD98" s="6">
        <v>-65</v>
      </c>
      <c r="AE98" s="6">
        <v>-260</v>
      </c>
    </row>
    <row r="99" spans="1:31" x14ac:dyDescent="0.25">
      <c r="A99" t="s">
        <v>453</v>
      </c>
      <c r="B99" s="6">
        <v>195</v>
      </c>
      <c r="C99" s="6">
        <v>278</v>
      </c>
      <c r="D99" s="6">
        <v>103</v>
      </c>
      <c r="E99" s="6">
        <v>374</v>
      </c>
      <c r="F99" s="6">
        <v>950</v>
      </c>
      <c r="G99" s="6">
        <v>119</v>
      </c>
      <c r="H99" s="6">
        <v>508</v>
      </c>
      <c r="I99" s="6">
        <v>326.76</v>
      </c>
      <c r="J99" s="6">
        <v>509.47</v>
      </c>
      <c r="K99" s="6">
        <v>1489.37</v>
      </c>
      <c r="L99" s="6">
        <v>234.08</v>
      </c>
      <c r="M99" s="6">
        <v>453.35</v>
      </c>
      <c r="N99" s="6">
        <v>255.51</v>
      </c>
      <c r="O99" s="6">
        <v>517.70000000000005</v>
      </c>
      <c r="P99" s="6">
        <v>1553.42</v>
      </c>
      <c r="Q99" s="6">
        <v>219.87</v>
      </c>
      <c r="R99" s="6">
        <v>517.89</v>
      </c>
      <c r="S99" s="6">
        <v>239.38</v>
      </c>
      <c r="T99" s="6">
        <v>324.88</v>
      </c>
      <c r="U99" s="6">
        <v>1390.83</v>
      </c>
      <c r="V99" s="6">
        <v>60.8</v>
      </c>
      <c r="W99" s="6">
        <v>378.23</v>
      </c>
      <c r="X99" s="6">
        <v>76.040000000000006</v>
      </c>
      <c r="Y99" s="6">
        <v>263.67</v>
      </c>
      <c r="Z99" s="6">
        <v>1036.77</v>
      </c>
      <c r="AA99" s="6">
        <v>17.53</v>
      </c>
      <c r="AB99" s="6">
        <v>331.28</v>
      </c>
      <c r="AC99" s="6">
        <v>31.46</v>
      </c>
      <c r="AD99" s="6">
        <v>220.51</v>
      </c>
      <c r="AE99" s="6">
        <v>903.1</v>
      </c>
    </row>
    <row r="100" spans="1:31" x14ac:dyDescent="0.25">
      <c r="A100" t="s">
        <v>454</v>
      </c>
      <c r="B100" s="6">
        <v>108418</v>
      </c>
      <c r="C100" s="6">
        <v>108696</v>
      </c>
      <c r="D100" s="6">
        <v>108799</v>
      </c>
      <c r="E100" s="6">
        <v>109173</v>
      </c>
      <c r="F100" s="6">
        <v>109173</v>
      </c>
      <c r="G100" s="6">
        <v>109292</v>
      </c>
      <c r="H100" s="6">
        <v>109800</v>
      </c>
      <c r="I100" s="6">
        <v>110145.29</v>
      </c>
      <c r="J100" s="6">
        <v>110654.77</v>
      </c>
      <c r="K100" s="6">
        <v>110662.37</v>
      </c>
      <c r="L100" s="6">
        <v>110890.23</v>
      </c>
      <c r="M100" s="6">
        <v>111404.59</v>
      </c>
      <c r="N100" s="6">
        <v>111704.75</v>
      </c>
      <c r="O100" s="6">
        <v>112222.45</v>
      </c>
      <c r="P100" s="6">
        <v>112222.1</v>
      </c>
      <c r="Q100" s="6">
        <v>112574.16</v>
      </c>
      <c r="R100" s="6">
        <v>113092.05</v>
      </c>
      <c r="S100" s="6">
        <v>113331.43</v>
      </c>
      <c r="T100" s="6">
        <v>113846.25</v>
      </c>
      <c r="U100" s="6">
        <v>113577.79</v>
      </c>
      <c r="V100" s="6">
        <v>112694.02</v>
      </c>
      <c r="W100" s="6">
        <v>113072.25</v>
      </c>
      <c r="X100" s="6">
        <v>113148.28</v>
      </c>
      <c r="Y100" s="6">
        <v>113411.96</v>
      </c>
      <c r="Z100" s="6">
        <v>114124.65</v>
      </c>
      <c r="AA100" s="6">
        <v>113429.48</v>
      </c>
      <c r="AB100" s="6">
        <v>113760.77</v>
      </c>
      <c r="AC100" s="6">
        <v>113792.23</v>
      </c>
      <c r="AD100" s="6">
        <v>114012.74</v>
      </c>
      <c r="AE100" s="6">
        <v>115027.75</v>
      </c>
    </row>
    <row r="101" spans="1:31" x14ac:dyDescent="0.25">
      <c r="A101" t="s">
        <v>455</v>
      </c>
      <c r="B101" s="6">
        <v>108320.5</v>
      </c>
      <c r="C101" s="6">
        <v>108557</v>
      </c>
      <c r="D101" s="6">
        <v>108747.5</v>
      </c>
      <c r="E101" s="6">
        <v>108986</v>
      </c>
      <c r="F101" s="6">
        <v>108698</v>
      </c>
      <c r="G101" s="6">
        <v>109232.5</v>
      </c>
      <c r="H101" s="6">
        <v>109546</v>
      </c>
      <c r="I101" s="6">
        <v>109876.97</v>
      </c>
      <c r="J101" s="6">
        <v>110299.75</v>
      </c>
      <c r="K101" s="6">
        <v>109797.13</v>
      </c>
      <c r="L101" s="6">
        <v>110773.19</v>
      </c>
      <c r="M101" s="6">
        <v>111147.41</v>
      </c>
      <c r="N101" s="6">
        <v>111554.67</v>
      </c>
      <c r="O101" s="6">
        <v>111963.6</v>
      </c>
      <c r="P101" s="6">
        <v>111351.74</v>
      </c>
      <c r="Q101" s="6">
        <v>112464.23</v>
      </c>
      <c r="R101" s="6">
        <v>112833.11</v>
      </c>
      <c r="S101" s="6">
        <v>113211.74</v>
      </c>
      <c r="T101" s="6">
        <v>113588.84</v>
      </c>
      <c r="U101" s="6">
        <v>112807.43</v>
      </c>
      <c r="V101" s="6">
        <v>112663.62</v>
      </c>
      <c r="W101" s="6">
        <v>112883.13</v>
      </c>
      <c r="X101" s="6">
        <v>113110.27</v>
      </c>
      <c r="Y101" s="6">
        <v>113280.12</v>
      </c>
      <c r="Z101" s="6">
        <v>113551.07</v>
      </c>
      <c r="AA101" s="6">
        <v>113420.72</v>
      </c>
      <c r="AB101" s="6">
        <v>113595.13</v>
      </c>
      <c r="AC101" s="6">
        <v>113776.5</v>
      </c>
      <c r="AD101" s="6">
        <v>113902.49</v>
      </c>
      <c r="AE101" s="6">
        <v>114552.02</v>
      </c>
    </row>
    <row r="102" spans="1:31" x14ac:dyDescent="0.25">
      <c r="A102" t="s">
        <v>456</v>
      </c>
      <c r="B102" s="6">
        <v>51.24</v>
      </c>
      <c r="C102" s="6">
        <v>51.75</v>
      </c>
      <c r="D102" s="6">
        <v>51.88</v>
      </c>
      <c r="E102" s="6">
        <v>51.85</v>
      </c>
      <c r="F102" s="6">
        <v>51.66</v>
      </c>
      <c r="G102" s="6">
        <v>51.7</v>
      </c>
      <c r="H102" s="6">
        <v>52.99</v>
      </c>
      <c r="I102" s="6">
        <v>53.12</v>
      </c>
      <c r="J102" s="6">
        <v>53.03</v>
      </c>
      <c r="K102" s="6">
        <v>52.68</v>
      </c>
      <c r="L102" s="6">
        <v>52.71</v>
      </c>
      <c r="M102" s="6">
        <v>53.44</v>
      </c>
      <c r="N102" s="6">
        <v>53.51</v>
      </c>
      <c r="O102" s="6">
        <v>53.41</v>
      </c>
      <c r="P102" s="6">
        <v>53.25</v>
      </c>
      <c r="Q102" s="6">
        <v>53.02</v>
      </c>
      <c r="R102" s="6">
        <v>53.91</v>
      </c>
      <c r="S102" s="6">
        <v>53.97</v>
      </c>
      <c r="T102" s="6">
        <v>53.8</v>
      </c>
      <c r="U102" s="6">
        <v>53.78</v>
      </c>
      <c r="V102" s="6">
        <v>53.4</v>
      </c>
      <c r="W102" s="6">
        <v>54.56</v>
      </c>
      <c r="X102" s="6">
        <v>54.61</v>
      </c>
      <c r="Y102" s="6">
        <v>54.43</v>
      </c>
      <c r="Z102" s="6">
        <v>54.25</v>
      </c>
      <c r="AA102" s="6">
        <v>53.85</v>
      </c>
      <c r="AB102" s="6">
        <v>55.02</v>
      </c>
      <c r="AC102" s="6">
        <v>55.08</v>
      </c>
      <c r="AD102" s="6">
        <v>54.9</v>
      </c>
      <c r="AE102" s="6">
        <v>54.65</v>
      </c>
    </row>
    <row r="103" spans="1:31" x14ac:dyDescent="0.25">
      <c r="A103" t="s">
        <v>457</v>
      </c>
      <c r="B103" s="6">
        <v>16651</v>
      </c>
      <c r="C103" s="6">
        <v>16853</v>
      </c>
      <c r="D103" s="6">
        <v>16926</v>
      </c>
      <c r="E103" s="6">
        <v>16954</v>
      </c>
      <c r="F103" s="6">
        <v>67384</v>
      </c>
      <c r="G103" s="6">
        <v>16941</v>
      </c>
      <c r="H103" s="6">
        <v>17413</v>
      </c>
      <c r="I103" s="6">
        <v>17526.97</v>
      </c>
      <c r="J103" s="6">
        <v>17565.72</v>
      </c>
      <c r="K103" s="6">
        <v>69453.75</v>
      </c>
      <c r="L103" s="6">
        <v>17503.72</v>
      </c>
      <c r="M103" s="6">
        <v>17839.36</v>
      </c>
      <c r="N103" s="6">
        <v>17971.16</v>
      </c>
      <c r="O103" s="6">
        <v>17985.62</v>
      </c>
      <c r="P103" s="6">
        <v>71247.05</v>
      </c>
      <c r="Q103" s="6">
        <v>17888.28</v>
      </c>
      <c r="R103" s="6">
        <v>18213.150000000001</v>
      </c>
      <c r="S103" s="6">
        <v>18321.82</v>
      </c>
      <c r="T103" s="6">
        <v>18373.47</v>
      </c>
      <c r="U103" s="6">
        <v>72800.94</v>
      </c>
      <c r="V103" s="6">
        <v>18052.25</v>
      </c>
      <c r="W103" s="6">
        <v>18451.87</v>
      </c>
      <c r="X103" s="6">
        <v>18528.25</v>
      </c>
      <c r="Y103" s="6">
        <v>18507.46</v>
      </c>
      <c r="Z103" s="6">
        <v>73883.320000000007</v>
      </c>
      <c r="AA103" s="6">
        <v>18318.560000000001</v>
      </c>
      <c r="AB103" s="6">
        <v>18698.79</v>
      </c>
      <c r="AC103" s="6">
        <v>18811.09</v>
      </c>
      <c r="AD103" s="6">
        <v>18759.849999999999</v>
      </c>
      <c r="AE103" s="6">
        <v>75056.66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B580-45F0-4DD8-B23A-D61D959A03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3Q26 Quick Look</vt:lpstr>
      <vt:lpstr>CapIQ cons on Oct 20, 2026 -&gt;</vt:lpstr>
      <vt:lpstr>Revenue</vt:lpstr>
      <vt:lpstr>Segment</vt:lpstr>
      <vt:lpstr>Income Statement</vt:lpstr>
      <vt:lpstr>Cash Flow</vt:lpstr>
      <vt:lpstr>Free Cash Flow</vt:lpstr>
      <vt:lpstr>Legacy</vt:lpstr>
      <vt:lpstr>AC Financials</vt:lpstr>
      <vt:lpstr>Latin America</vt:lpstr>
      <vt:lpstr>AC Internet</vt:lpstr>
      <vt:lpstr>AC Wireless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Chung</dc:creator>
  <cp:lastModifiedBy>Andrew Chung</cp:lastModifiedBy>
  <dcterms:created xsi:type="dcterms:W3CDTF">2026-10-20T17:13:37Z</dcterms:created>
  <dcterms:modified xsi:type="dcterms:W3CDTF">2026-10-20T17:42:42Z</dcterms:modified>
</cp:coreProperties>
</file>