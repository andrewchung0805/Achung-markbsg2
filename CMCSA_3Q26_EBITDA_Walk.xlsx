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BITDA Wal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<sst xmlns="http://schemas.openxmlformats.org/spreadsheetml/2006/main" count="49" uniqueCount="35">
  <si>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EXHIBIT: Adj. EBITDA walk 3Q25 to 3Q26</t>
  </si>
  <si>
    <t xml:space="preserve">Comcast pro forma Adjusted EBITDA by segment ($M)</t>
  </si>
  <si>
    <t xml:space="preserve">Segment</t>
  </si>
  <si>
    <t xml:space="preserve">Group</t>
  </si>
  <si>
    <t xml:space="preserve">3Q25</t>
  </si>
  <si>
    <t xml:space="preserve">3Q26</t>
  </si>
  <si>
    <t xml:space="preserve">YoY change</t>
  </si>
  <si>
    <t xml:space="preserve">Media</t>
  </si>
  <si>
    <t xml:space="preserve">C&amp;E</t>
  </si>
  <si>
    <t xml:space="preserve">Studios</t>
  </si>
  <si>
    <t xml:space="preserve">Theme Parks</t>
  </si>
  <si>
    <t xml:space="preserve">C&amp;E Headquarters</t>
  </si>
  <si>
    <t xml:space="preserve">C&amp;E Eliminations</t>
  </si>
  <si>
    <t xml:space="preserve">Residential</t>
  </si>
  <si>
    <t xml:space="preserve">C&amp;P</t>
  </si>
  <si>
    <t xml:space="preserve">Business</t>
  </si>
  <si>
    <t xml:space="preserve">Corporate &amp; Other</t>
  </si>
  <si>
    <t xml:space="preserve">Corporate</t>
  </si>
  <si>
    <t xml:space="preserve">Consolidated Eliminations</t>
  </si>
  <si>
    <t xml:space="preserve">Total pro forma Adj. EBITDA (reported)</t>
  </si>
  <si>
    <t xml:space="preserve">Check: sum of segments less reported total (rounding)</t>
  </si>
  <si>
    <t xml:space="preserve">Chart data (formula-driven)</t>
  </si>
  <si>
    <t xml:space="preserve">Bar</t>
  </si>
  <si>
    <t xml:space="preserve">Value</t>
  </si>
  <si>
    <t xml:space="preserve">Base (hidden)</t>
  </si>
  <si>
    <t xml:space="preserve">Total</t>
  </si>
  <si>
    <t xml:space="preserve">Increase</t>
  </si>
  <si>
    <t xml:space="preserve">Decrease</t>
  </si>
  <si>
    <t xml:space="preserve">Cumulative</t>
  </si>
  <si>
    <t xml:space="preserve">Adj. EBITDA 3Q25</t>
  </si>
  <si>
    <t xml:space="preserve">Adj. EBITDA 3Q26</t>
  </si>
  <si>
    <t xml:space="preserve">Corporate = Corporate &amp; Other plus consolidated eliminations (same definition as the 2Q26 walk).</t>
  </si>
  <si>
    <t xml:space="preserve">Segment changes sum to $1M more than the reported total change due to rounding; end bar uses reported 3Q26 Adj. EBITDA.</t>
  </si>
  <si>
    <t xml:space="preserve">Blue = hardcoded inputs from Comcast 3Q26 trending schedule (pro forma); black = formulas.</t>
  </si>
  <si>
    <t xml:space="preserve">Source: Company reports, Bernstein analysis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</si>
</sst>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;\(#,##0\);;"/>
    <numFmt numFmtId="167" formatCode="\(#,##0\);\(#,##0\);;"/>
    <numFmt numFmtId="168" formatCode="#,##0;\-#,##0;;"/>
    <numFmt numFmtId="169" formatCode="\(#,##0\);\(#,##0\);;"/>
    <numFmt numFmtId="170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2D0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1F9AD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Adj. EBITDA Walk 3Q25 to 3Q26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'EBITDA Walk'!C18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'EBITDA Walk'!$A$19:$A$28</c:f>
              <c:strCache>
                <c:ptCount val="10"/>
                <c:pt idx="0">
                  <c:v>Adj. EBITDA 3Q25</c:v>
                </c:pt>
                <c:pt idx="1">
                  <c:v>Media</c:v>
                </c:pt>
                <c:pt idx="2">
                  <c:v>Studios</c:v>
                </c:pt>
                <c:pt idx="3">
                  <c:v>Theme Parks</c:v>
                </c:pt>
                <c:pt idx="4">
                  <c:v>C&amp;E Headquarters</c:v>
                </c:pt>
                <c:pt idx="5">
                  <c:v>C&amp;E Eliminations</c:v>
                </c:pt>
                <c:pt idx="6">
                  <c:v>Residential</c:v>
                </c:pt>
                <c:pt idx="7">
                  <c:v>Business</c:v>
                </c:pt>
                <c:pt idx="8">
                  <c:v>Corporate</c:v>
                </c:pt>
                <c:pt idx="9">
                  <c:v>Adj. EBITDA 3Q26</c:v>
                </c:pt>
              </c:strCache>
            </c:strRef>
          </c:cat>
          <c:val>
            <c:numRef>
              <c:f>'EBITDA Walk'!$C$19:$C$28</c:f>
              <c:numCache>
                <c:formatCode>#,##0;\(#,##0\);\-</c:formatCode>
                <c:ptCount val="10"/>
                <c:pt idx="0">
                  <c:v>0</c:v>
                </c:pt>
                <c:pt idx="1">
                  <c:v>9038</c:v>
                </c:pt>
                <c:pt idx="2">
                  <c:v>9560</c:v>
                </c:pt>
                <c:pt idx="3">
                  <c:v>9463</c:v>
                </c:pt>
                <c:pt idx="4">
                  <c:v>9463</c:v>
                </c:pt>
                <c:pt idx="5">
                  <c:v>9447</c:v>
                </c:pt>
                <c:pt idx="6">
                  <c:v>9073</c:v>
                </c:pt>
                <c:pt idx="7">
                  <c:v>9073</c:v>
                </c:pt>
                <c:pt idx="8">
                  <c:v>9097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'EBITDA Walk'!D18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9ad6"/>
            </a:solidFill>
            <a:ln w="0">
              <a:solidFill>
                <a:srgbClr val="1f9ad6"/>
              </a:solidFill>
            </a:ln>
          </c:spPr>
          <c:invertIfNegative val="0"/>
          <c:dLbls>
            <c:numFmt formatCode="#,##0;\-#,##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'EBITDA Walk'!$A$19:$A$28</c:f>
              <c:strCache>
                <c:ptCount val="10"/>
                <c:pt idx="0">
                  <c:v>Adj. EBITDA 3Q25</c:v>
                </c:pt>
                <c:pt idx="1">
                  <c:v>Media</c:v>
                </c:pt>
                <c:pt idx="2">
                  <c:v>Studios</c:v>
                </c:pt>
                <c:pt idx="3">
                  <c:v>Theme Parks</c:v>
                </c:pt>
                <c:pt idx="4">
                  <c:v>C&amp;E Headquarters</c:v>
                </c:pt>
                <c:pt idx="5">
                  <c:v>C&amp;E Eliminations</c:v>
                </c:pt>
                <c:pt idx="6">
                  <c:v>Residential</c:v>
                </c:pt>
                <c:pt idx="7">
                  <c:v>Business</c:v>
                </c:pt>
                <c:pt idx="8">
                  <c:v>Corporate</c:v>
                </c:pt>
                <c:pt idx="9">
                  <c:v>Adj. EBITDA 3Q26</c:v>
                </c:pt>
              </c:strCache>
            </c:strRef>
          </c:cat>
          <c:val>
            <c:numRef>
              <c:f>'EBITDA Walk'!$D$19:$D$28</c:f>
              <c:numCache>
                <c:formatCode>#,##0;\(#,##0\);;</c:formatCode>
                <c:ptCount val="10"/>
                <c:pt idx="0">
                  <c:v>9038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9106</c:v>
                </c:pt>
              </c:numCache>
            </c:numRef>
          </c:val>
        </c:ser>
        <c:ser>
          <c:idx val="2"/>
          <c:order val="2"/>
          <c:tx>
            <c:strRef>
              <c:f>'EBITDA Walk'!E18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#,##0;\-#,##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'EBITDA Walk'!$A$19:$A$28</c:f>
              <c:strCache>
                <c:ptCount val="10"/>
                <c:pt idx="0">
                  <c:v>Adj. EBITDA 3Q25</c:v>
                </c:pt>
                <c:pt idx="1">
                  <c:v>Media</c:v>
                </c:pt>
                <c:pt idx="2">
                  <c:v>Studios</c:v>
                </c:pt>
                <c:pt idx="3">
                  <c:v>Theme Parks</c:v>
                </c:pt>
                <c:pt idx="4">
                  <c:v>C&amp;E Headquarters</c:v>
                </c:pt>
                <c:pt idx="5">
                  <c:v>C&amp;E Eliminations</c:v>
                </c:pt>
                <c:pt idx="6">
                  <c:v>Residential</c:v>
                </c:pt>
                <c:pt idx="7">
                  <c:v>Business</c:v>
                </c:pt>
                <c:pt idx="8">
                  <c:v>Corporate</c:v>
                </c:pt>
                <c:pt idx="9">
                  <c:v>Adj. EBITDA 3Q26</c:v>
                </c:pt>
              </c:strCache>
            </c:strRef>
          </c:cat>
          <c:val>
            <c:numRef>
              <c:f>'EBITDA Walk'!$E$19:$E$28</c:f>
              <c:numCache>
                <c:formatCode>#,##0;\(#,##0\);;</c:formatCode>
                <c:ptCount val="10"/>
                <c:pt idx="0">
                  <c:v>0</c:v>
                </c:pt>
                <c:pt idx="1">
                  <c:v>522</c:v>
                </c:pt>
                <c:pt idx="2">
                  <c:v>63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24</c:v>
                </c:pt>
                <c:pt idx="8">
                  <c:v>10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strRef>
              <c:f>'EBITDA Walk'!F18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2d0a"/>
            </a:solidFill>
            <a:ln w="0">
              <a:solidFill>
                <a:srgbClr val="ff2d0a"/>
              </a:solidFill>
            </a:ln>
          </c:spPr>
          <c:invertIfNegative val="0"/>
          <c:dLbls>
            <c:numFmt formatCode="\(#,##0\);\(#,##0\)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'EBITDA Walk'!$A$19:$A$28</c:f>
              <c:strCache>
                <c:ptCount val="10"/>
                <c:pt idx="0">
                  <c:v>Adj. EBITDA 3Q25</c:v>
                </c:pt>
                <c:pt idx="1">
                  <c:v>Media</c:v>
                </c:pt>
                <c:pt idx="2">
                  <c:v>Studios</c:v>
                </c:pt>
                <c:pt idx="3">
                  <c:v>Theme Parks</c:v>
                </c:pt>
                <c:pt idx="4">
                  <c:v>C&amp;E Headquarters</c:v>
                </c:pt>
                <c:pt idx="5">
                  <c:v>C&amp;E Eliminations</c:v>
                </c:pt>
                <c:pt idx="6">
                  <c:v>Residential</c:v>
                </c:pt>
                <c:pt idx="7">
                  <c:v>Business</c:v>
                </c:pt>
                <c:pt idx="8">
                  <c:v>Corporate</c:v>
                </c:pt>
                <c:pt idx="9">
                  <c:v>Adj. EBITDA 3Q26</c:v>
                </c:pt>
              </c:strCache>
            </c:strRef>
          </c:cat>
          <c:val>
            <c:numRef>
              <c:f>'EBITDA Walk'!$F$19:$F$28</c:f>
              <c:numCache>
                <c:formatCode>\(#,##0\);\(#,##0\);;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</c:v>
                </c:pt>
                <c:pt idx="4">
                  <c:v>0</c:v>
                </c:pt>
                <c:pt idx="5">
                  <c:v>29</c:v>
                </c:pt>
                <c:pt idx="6">
                  <c:v>374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overlap val="100"/>
        <c:axId val="54071539"/>
        <c:axId val="90513115"/>
      </c:barChart>
      <c:catAx>
        <c:axId val="54071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13115"/>
        <c:crosses val="autoZero"/>
        <c:auto val="1"/>
        <c:lblAlgn val="ctr"/>
        <c:lblOffset val="100"/>
        <c:noMultiLvlLbl val="0"/>
      </c:catAx>
      <c:valAx>
        <c:axId val="90513115"/>
        <c:scaling>
          <c:orientation val="minMax"/>
          <c:max val="9800"/>
          <c:min val="8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71539"/>
        <c:crosses val="autoZero"/>
        <c:crossBetween val="between"/>
        <c:majorUnit val="25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20</xdr:col>
      <xdr:colOff>581400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892872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247</v>
      </c>
      <c r="D5" s="5" t="n">
        <v>769</v>
      </c>
      <c r="E5" s="6" t="n">
        <f aca="false">D5-C5</f>
        <v>522</v>
      </c>
    </row>
    <row r="6" customFormat="false" ht="15" hidden="false" customHeight="false" outlineLevel="0" collapsed="false">
      <c r="A6" s="4" t="s">
        <v>9</v>
      </c>
      <c r="B6" s="4" t="s">
        <v>8</v>
      </c>
      <c r="C6" s="5" t="n">
        <v>339</v>
      </c>
      <c r="D6" s="5" t="n">
        <v>402</v>
      </c>
      <c r="E6" s="6" t="n">
        <f aca="false">D6-C6</f>
        <v>63</v>
      </c>
    </row>
    <row r="7" customFormat="false" ht="15" hidden="false" customHeight="false" outlineLevel="0" collapsed="false">
      <c r="A7" s="4" t="s">
        <v>10</v>
      </c>
      <c r="B7" s="4" t="s">
        <v>8</v>
      </c>
      <c r="C7" s="5" t="n">
        <v>940</v>
      </c>
      <c r="D7" s="5" t="n">
        <v>780</v>
      </c>
      <c r="E7" s="6" t="n">
        <f aca="false">D7-C7</f>
        <v>-160</v>
      </c>
    </row>
    <row r="8" customFormat="false" ht="15" hidden="false" customHeight="false" outlineLevel="0" collapsed="false">
      <c r="A8" s="4" t="s">
        <v>11</v>
      </c>
      <c r="B8" s="4" t="s">
        <v>8</v>
      </c>
      <c r="C8" s="5" t="n">
        <v>-204</v>
      </c>
      <c r="D8" s="5" t="n">
        <v>-191</v>
      </c>
      <c r="E8" s="6" t="n">
        <f aca="false">D8-C8</f>
        <v>13</v>
      </c>
    </row>
    <row r="9" customFormat="false" ht="15" hidden="false" customHeight="false" outlineLevel="0" collapsed="false">
      <c r="A9" s="4" t="s">
        <v>12</v>
      </c>
      <c r="B9" s="4" t="s">
        <v>8</v>
      </c>
      <c r="C9" s="5" t="n">
        <v>69</v>
      </c>
      <c r="D9" s="5" t="n">
        <v>40</v>
      </c>
      <c r="E9" s="6" t="n">
        <f aca="false">D9-C9</f>
        <v>-29</v>
      </c>
    </row>
    <row r="10" customFormat="false" ht="15" hidden="false" customHeight="false" outlineLevel="0" collapsed="false">
      <c r="A10" s="4" t="s">
        <v>13</v>
      </c>
      <c r="B10" s="4" t="s">
        <v>14</v>
      </c>
      <c r="C10" s="5" t="n">
        <v>6484</v>
      </c>
      <c r="D10" s="5" t="n">
        <v>6110</v>
      </c>
      <c r="E10" s="6" t="n">
        <f aca="false">D10-C10</f>
        <v>-374</v>
      </c>
    </row>
    <row r="11" customFormat="false" ht="15" hidden="false" customHeight="false" outlineLevel="0" collapsed="false">
      <c r="A11" s="4" t="s">
        <v>15</v>
      </c>
      <c r="B11" s="4" t="s">
        <v>14</v>
      </c>
      <c r="C11" s="5" t="n">
        <v>1454</v>
      </c>
      <c r="D11" s="5" t="n">
        <v>1478</v>
      </c>
      <c r="E11" s="6" t="n">
        <f aca="false">D11-C11</f>
        <v>24</v>
      </c>
    </row>
    <row r="12" customFormat="false" ht="15" hidden="false" customHeight="false" outlineLevel="0" collapsed="false">
      <c r="A12" s="4" t="s">
        <v>16</v>
      </c>
      <c r="B12" s="4" t="s">
        <v>17</v>
      </c>
      <c r="C12" s="5" t="n">
        <v>-272</v>
      </c>
      <c r="D12" s="5" t="n">
        <v>-299</v>
      </c>
      <c r="E12" s="6" t="n">
        <f aca="false">D12-C12</f>
        <v>-27</v>
      </c>
    </row>
    <row r="13" customFormat="false" ht="15" hidden="false" customHeight="false" outlineLevel="0" collapsed="false">
      <c r="A13" s="4" t="s">
        <v>18</v>
      </c>
      <c r="B13" s="4" t="s">
        <v>17</v>
      </c>
      <c r="C13" s="5" t="n">
        <v>-19</v>
      </c>
      <c r="D13" s="5" t="n">
        <v>18</v>
      </c>
      <c r="E13" s="6" t="n">
        <f aca="false">D13-C13</f>
        <v>37</v>
      </c>
    </row>
    <row r="14" customFormat="false" ht="15" hidden="false" customHeight="false" outlineLevel="0" collapsed="false">
      <c r="A14" s="7" t="s">
        <v>19</v>
      </c>
      <c r="B14" s="8"/>
      <c r="C14" s="9" t="n">
        <v>9038</v>
      </c>
      <c r="D14" s="9" t="n">
        <v>9106</v>
      </c>
      <c r="E14" s="10" t="n">
        <f aca="false">D14-C14</f>
        <v>68</v>
      </c>
    </row>
    <row r="15" customFormat="false" ht="15" hidden="false" customHeight="false" outlineLevel="0" collapsed="false">
      <c r="A15" s="11" t="s">
        <v>20</v>
      </c>
      <c r="B15" s="8"/>
      <c r="C15" s="12" t="n">
        <f aca="false">SUM(C5:C13)-C14</f>
        <v>0</v>
      </c>
      <c r="D15" s="12" t="n">
        <f aca="false">SUM(D5:D13)-D14</f>
        <v>1</v>
      </c>
      <c r="E15" s="13"/>
    </row>
    <row r="17" customFormat="false" ht="15" hidden="false" customHeight="false" outlineLevel="0" collapsed="false">
      <c r="A17" s="14" t="s">
        <v>21</v>
      </c>
    </row>
    <row r="18" customFormat="false" ht="15" hidden="false" customHeight="false" outlineLevel="0" collapsed="false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</row>
    <row r="19" customFormat="false" ht="15" hidden="false" customHeight="false" outlineLevel="0" collapsed="false">
      <c r="A19" s="4" t="s">
        <v>29</v>
      </c>
      <c r="B19" s="6" t="n">
        <f aca="false">C14</f>
        <v>9038</v>
      </c>
      <c r="C19" s="6" t="n">
        <v>0</v>
      </c>
      <c r="D19" s="15" t="n">
        <f aca="false">B19</f>
        <v>9038</v>
      </c>
      <c r="E19" s="15" t="n">
        <v>0</v>
      </c>
      <c r="F19" s="16" t="n">
        <v>0</v>
      </c>
      <c r="G19" s="6" t="n">
        <f aca="false">B19</f>
        <v>9038</v>
      </c>
    </row>
    <row r="20" customFormat="false" ht="15" hidden="false" customHeight="false" outlineLevel="0" collapsed="false">
      <c r="A20" s="4" t="s">
        <v>7</v>
      </c>
      <c r="B20" s="6" t="n">
        <f aca="false">E5</f>
        <v>522</v>
      </c>
      <c r="C20" s="6" t="n">
        <f aca="false">MIN(G19,G20)</f>
        <v>9038</v>
      </c>
      <c r="D20" s="15" t="n">
        <v>0</v>
      </c>
      <c r="E20" s="15" t="n">
        <f aca="false">MAX(B20,0)</f>
        <v>522</v>
      </c>
      <c r="F20" s="16" t="n">
        <f aca="false">MAX(-B20,0)</f>
        <v>0</v>
      </c>
      <c r="G20" s="6" t="n">
        <f aca="false">G19+B20</f>
        <v>9560</v>
      </c>
    </row>
    <row r="21" customFormat="false" ht="15" hidden="false" customHeight="false" outlineLevel="0" collapsed="false">
      <c r="A21" s="4" t="s">
        <v>9</v>
      </c>
      <c r="B21" s="6" t="n">
        <f aca="false">E6</f>
        <v>63</v>
      </c>
      <c r="C21" s="6" t="n">
        <f aca="false">MIN(G20,G21)</f>
        <v>9560</v>
      </c>
      <c r="D21" s="15" t="n">
        <v>0</v>
      </c>
      <c r="E21" s="15" t="n">
        <f aca="false">MAX(B21,0)</f>
        <v>63</v>
      </c>
      <c r="F21" s="16" t="n">
        <f aca="false">MAX(-B21,0)</f>
        <v>0</v>
      </c>
      <c r="G21" s="6" t="n">
        <f aca="false">G20+B21</f>
        <v>9623</v>
      </c>
    </row>
    <row r="22" customFormat="false" ht="15" hidden="false" customHeight="false" outlineLevel="0" collapsed="false">
      <c r="A22" s="4" t="s">
        <v>10</v>
      </c>
      <c r="B22" s="6" t="n">
        <f aca="false">E7</f>
        <v>-160</v>
      </c>
      <c r="C22" s="6" t="n">
        <f aca="false">MIN(G21,G22)</f>
        <v>9463</v>
      </c>
      <c r="D22" s="15" t="n">
        <v>0</v>
      </c>
      <c r="E22" s="15" t="n">
        <f aca="false">MAX(B22,0)</f>
        <v>0</v>
      </c>
      <c r="F22" s="16" t="n">
        <f aca="false">MAX(-B22,0)</f>
        <v>160</v>
      </c>
      <c r="G22" s="6" t="n">
        <f aca="false">G21+B22</f>
        <v>9463</v>
      </c>
    </row>
    <row r="23" customFormat="false" ht="15" hidden="false" customHeight="false" outlineLevel="0" collapsed="false">
      <c r="A23" s="4" t="s">
        <v>11</v>
      </c>
      <c r="B23" s="6" t="n">
        <f aca="false">E8</f>
        <v>13</v>
      </c>
      <c r="C23" s="6" t="n">
        <f aca="false">MIN(G22,G23)</f>
        <v>9463</v>
      </c>
      <c r="D23" s="15" t="n">
        <v>0</v>
      </c>
      <c r="E23" s="15" t="n">
        <f aca="false">MAX(B23,0)</f>
        <v>13</v>
      </c>
      <c r="F23" s="16" t="n">
        <f aca="false">MAX(-B23,0)</f>
        <v>0</v>
      </c>
      <c r="G23" s="6" t="n">
        <f aca="false">G22+B23</f>
        <v>9476</v>
      </c>
    </row>
    <row r="24" customFormat="false" ht="15" hidden="false" customHeight="false" outlineLevel="0" collapsed="false">
      <c r="A24" s="4" t="s">
        <v>12</v>
      </c>
      <c r="B24" s="6" t="n">
        <f aca="false">E9</f>
        <v>-29</v>
      </c>
      <c r="C24" s="6" t="n">
        <f aca="false">MIN(G23,G24)</f>
        <v>9447</v>
      </c>
      <c r="D24" s="15" t="n">
        <v>0</v>
      </c>
      <c r="E24" s="15" t="n">
        <f aca="false">MAX(B24,0)</f>
        <v>0</v>
      </c>
      <c r="F24" s="16" t="n">
        <f aca="false">MAX(-B24,0)</f>
        <v>29</v>
      </c>
      <c r="G24" s="6" t="n">
        <f aca="false">G23+B24</f>
        <v>9447</v>
      </c>
    </row>
    <row r="25" customFormat="false" ht="15" hidden="false" customHeight="false" outlineLevel="0" collapsed="false">
      <c r="A25" s="4" t="s">
        <v>13</v>
      </c>
      <c r="B25" s="6" t="n">
        <f aca="false">E10</f>
        <v>-374</v>
      </c>
      <c r="C25" s="6" t="n">
        <f aca="false">MIN(G24,G25)</f>
        <v>9073</v>
      </c>
      <c r="D25" s="15" t="n">
        <v>0</v>
      </c>
      <c r="E25" s="15" t="n">
        <f aca="false">MAX(B25,0)</f>
        <v>0</v>
      </c>
      <c r="F25" s="16" t="n">
        <f aca="false">MAX(-B25,0)</f>
        <v>374</v>
      </c>
      <c r="G25" s="6" t="n">
        <f aca="false">G24+B25</f>
        <v>9073</v>
      </c>
    </row>
    <row r="26" customFormat="false" ht="15" hidden="false" customHeight="false" outlineLevel="0" collapsed="false">
      <c r="A26" s="4" t="s">
        <v>15</v>
      </c>
      <c r="B26" s="6" t="n">
        <f aca="false">E11</f>
        <v>24</v>
      </c>
      <c r="C26" s="6" t="n">
        <f aca="false">MIN(G25,G26)</f>
        <v>9073</v>
      </c>
      <c r="D26" s="15" t="n">
        <v>0</v>
      </c>
      <c r="E26" s="15" t="n">
        <f aca="false">MAX(B26,0)</f>
        <v>24</v>
      </c>
      <c r="F26" s="16" t="n">
        <f aca="false">MAX(-B26,0)</f>
        <v>0</v>
      </c>
      <c r="G26" s="6" t="n">
        <f aca="false">G25+B26</f>
        <v>9097</v>
      </c>
    </row>
    <row r="27" customFormat="false" ht="15" hidden="false" customHeight="false" outlineLevel="0" collapsed="false">
      <c r="A27" s="4" t="s">
        <v>17</v>
      </c>
      <c r="B27" s="6" t="n">
        <f aca="false">E12+E13</f>
        <v>10</v>
      </c>
      <c r="C27" s="6" t="n">
        <f aca="false">MIN(G26,G27)</f>
        <v>9097</v>
      </c>
      <c r="D27" s="15" t="n">
        <v>0</v>
      </c>
      <c r="E27" s="15" t="n">
        <f aca="false">MAX(B27,0)</f>
        <v>10</v>
      </c>
      <c r="F27" s="16" t="n">
        <f aca="false">MAX(-B27,0)</f>
        <v>0</v>
      </c>
      <c r="G27" s="6" t="n">
        <f aca="false">G26+B27</f>
        <v>9107</v>
      </c>
    </row>
    <row r="28" customFormat="false" ht="15" hidden="false" customHeight="false" outlineLevel="0" collapsed="false">
      <c r="A28" s="4" t="s">
        <v>30</v>
      </c>
      <c r="B28" s="6" t="n">
        <f aca="false">D14</f>
        <v>9106</v>
      </c>
      <c r="C28" s="6" t="n">
        <v>0</v>
      </c>
      <c r="D28" s="15" t="n">
        <f aca="false">B28</f>
        <v>9106</v>
      </c>
      <c r="E28" s="15" t="n">
        <v>0</v>
      </c>
      <c r="F28" s="16" t="n">
        <v>0</v>
      </c>
      <c r="G28" s="6" t="n">
        <f aca="false">B28</f>
        <v>9106</v>
      </c>
    </row>
    <row r="30" customFormat="false" ht="15" hidden="false" customHeight="false" outlineLevel="0" collapsed="false">
      <c r="A30" s="17" t="s">
        <v>31</v>
      </c>
    </row>
    <row r="31" customFormat="false" ht="15" hidden="false" customHeight="false" outlineLevel="0" collapsed="false">
      <c r="A31" s="17" t="s">
        <v>32</v>
      </c>
    </row>
    <row r="32" customFormat="false" ht="15" hidden="false" customHeight="false" outlineLevel="0" collapsed="false">
      <c r="A32" s="17" t="s">
        <v>33</v>
      </c>
    </row>
    <row r="33" customFormat="false" ht="15" hidden="false" customHeight="false" outlineLevel="0" collapsed="false">
      <c r="A33" s="1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2026-10-22T16:23:22Z</dcterms:created>
  <dc:creator>openpyxl</dc:creator>
  <dc:description/>
  <dc:language>en-US</dc:language>
  <cp:lastModifiedBy/>
  <dcterms:modified xsi:type="dcterms:W3CDTF">2026-10-22T12:23:23Z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