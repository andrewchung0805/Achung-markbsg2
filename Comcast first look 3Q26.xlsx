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 Chung\Desktop\Work\"/>
    </mc:Choice>
  </mc:AlternateContent>
  <xr:revisionPtr revIDLastSave="0" documentId="13_ncr:1_{185EA189-7B7A-4858-9434-E0405DC78FC9}" xr6:coauthVersionLast="47" xr6:coauthVersionMax="47" xr10:uidLastSave="{00000000-0000-0000-0000-000000000000}"/>
  <bookViews>
    <workbookView xWindow="-105" yWindow="0" windowWidth="26505" windowHeight="15585" xr2:uid="{A3C1A4DA-2436-4006-A845-DF8BB477C726}"/>
  </bookViews>
  <sheets>
    <sheet name="3Q26 Quick Look" sheetId="1" r:id="rId1"/>
    <sheet name="CapIQ cons on Oct 20, 2026 -&gt;" sheetId="13" r:id="rId2"/>
    <sheet name="SPG Income Statement" sheetId="2" r:id="rId3"/>
    <sheet name="SPG Segments" sheetId="3" r:id="rId4"/>
    <sheet name="SPG Free Cash Flow" sheetId="4" r:id="rId5"/>
    <sheet name="SPG Conn &amp; Platforms" sheetId="5" r:id="rId6"/>
    <sheet name="SPG C&amp;P Customer Metrics" sheetId="6" r:id="rId7"/>
    <sheet name="SPG Content &amp; Experiences" sheetId="7" r:id="rId8"/>
    <sheet name="SPG Peacock" sheetId="8" r:id="rId9"/>
    <sheet name="SPG Wireless" sheetId="9" r:id="rId10"/>
    <sheet name="SPG Residential" sheetId="10" r:id="rId11"/>
    <sheet name="SPG Business Services" sheetId="11" r:id="rId12"/>
    <sheet name="SPG Cash Flow" sheetId="12" r:id="rId1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C3" i="1"/>
  <c r="D3" i="1"/>
  <c r="F3" i="1"/>
  <c r="G3" i="1"/>
  <c r="B4" i="1"/>
  <c r="C4" i="1"/>
  <c r="D4" i="1"/>
  <c r="F4" i="1"/>
  <c r="G4" i="1"/>
  <c r="B5" i="1"/>
  <c r="C5" i="1"/>
  <c r="D5" i="1"/>
  <c r="F5" i="1"/>
  <c r="G5" i="1"/>
  <c r="E6" i="1"/>
  <c r="F6" i="1"/>
  <c r="G6" i="1"/>
  <c r="B7" i="1"/>
  <c r="B6" i="1" s="1"/>
  <c r="C7" i="1"/>
  <c r="C6" i="1" s="1"/>
  <c r="D7" i="1"/>
  <c r="D6" i="1" s="1"/>
  <c r="F7" i="1"/>
  <c r="G7" i="1"/>
  <c r="B8" i="1"/>
  <c r="C8" i="1"/>
  <c r="D8" i="1"/>
  <c r="F8" i="1"/>
  <c r="G8" i="1"/>
  <c r="B9" i="1"/>
  <c r="C9" i="1"/>
  <c r="D9" i="1"/>
  <c r="F9" i="1"/>
  <c r="G9" i="1"/>
  <c r="B10" i="1"/>
  <c r="C10" i="1"/>
  <c r="D10" i="1"/>
  <c r="F10" i="1"/>
  <c r="G10" i="1"/>
  <c r="B11" i="1"/>
  <c r="C11" i="1"/>
  <c r="D11" i="1"/>
  <c r="F11" i="1"/>
  <c r="G11" i="1"/>
  <c r="B12" i="1"/>
  <c r="C12" i="1"/>
  <c r="D12" i="1"/>
  <c r="F12" i="1"/>
  <c r="G12" i="1"/>
  <c r="B13" i="1"/>
  <c r="C13" i="1"/>
  <c r="D13" i="1"/>
  <c r="F13" i="1"/>
  <c r="G13" i="1"/>
  <c r="B15" i="1"/>
  <c r="C15" i="1"/>
  <c r="D15" i="1"/>
  <c r="F15" i="1"/>
  <c r="G15" i="1"/>
  <c r="B16" i="1"/>
  <c r="C16" i="1"/>
  <c r="D16" i="1"/>
  <c r="F16" i="1"/>
  <c r="G16" i="1"/>
  <c r="B17" i="1"/>
  <c r="C17" i="1"/>
  <c r="D17" i="1"/>
  <c r="F17" i="1"/>
  <c r="G17" i="1"/>
  <c r="B18" i="1"/>
  <c r="C18" i="1"/>
  <c r="D18" i="1"/>
  <c r="F18" i="1"/>
  <c r="G18" i="1"/>
  <c r="B19" i="1"/>
  <c r="C19" i="1"/>
  <c r="D19" i="1"/>
  <c r="E19" i="1"/>
  <c r="B20" i="1"/>
  <c r="C20" i="1"/>
  <c r="D20" i="1"/>
  <c r="F20" i="1"/>
  <c r="G20" i="1"/>
  <c r="B21" i="1"/>
  <c r="C21" i="1"/>
  <c r="D21" i="1"/>
  <c r="F21" i="1"/>
  <c r="G21" i="1"/>
  <c r="B22" i="1"/>
  <c r="C22" i="1"/>
  <c r="D22" i="1"/>
  <c r="F22" i="1"/>
  <c r="G22" i="1"/>
  <c r="B23" i="1"/>
  <c r="C23" i="1"/>
  <c r="D23" i="1"/>
  <c r="F23" i="1"/>
  <c r="G23" i="1"/>
  <c r="B24" i="1"/>
  <c r="C24" i="1"/>
  <c r="D24" i="1"/>
  <c r="E24" i="1"/>
  <c r="B26" i="1"/>
  <c r="C26" i="1"/>
  <c r="D26" i="1"/>
  <c r="F26" i="1"/>
  <c r="G26" i="1"/>
  <c r="B27" i="1"/>
  <c r="C27" i="1"/>
  <c r="D27" i="1"/>
  <c r="F27" i="1"/>
  <c r="G27" i="1"/>
  <c r="B30" i="1"/>
  <c r="C30" i="1"/>
  <c r="D30" i="1"/>
  <c r="F30" i="1"/>
  <c r="G30" i="1"/>
  <c r="B31" i="1"/>
  <c r="C31" i="1"/>
  <c r="D31" i="1"/>
  <c r="F31" i="1"/>
  <c r="G31" i="1"/>
  <c r="B32" i="1"/>
  <c r="C32" i="1"/>
  <c r="D32" i="1"/>
  <c r="F32" i="1"/>
  <c r="G32" i="1"/>
  <c r="B33" i="1"/>
  <c r="C33" i="1"/>
  <c r="D33" i="1"/>
  <c r="F33" i="1"/>
  <c r="G33" i="1"/>
  <c r="B34" i="1"/>
  <c r="C34" i="1"/>
  <c r="D34" i="1"/>
  <c r="F34" i="1"/>
  <c r="G34" i="1"/>
  <c r="F19" i="1" l="1"/>
  <c r="G19" i="1"/>
  <c r="F24" i="1"/>
  <c r="G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2" authorId="0" shapeId="0" xr:uid="{C32BBC07-088E-4512-8971-F2839CAC77CD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Structure, labels and formats replicated from the user-provided Comcast 2Q26 Earnings First Look screenshot (uploaded 2026-10-20). Data links point to the imported SPG sheets (S&amp;P Global / Visible Alpha, as of 10/20/2026): Q3'25 &amp; Q2'26 = reported actuals (cols D &amp; H), Q3'26 (CON) = consensus mean (col I).</t>
        </r>
      </text>
    </comment>
    <comment ref="A6" authorId="0" shapeId="0" xr:uid="{691CB6B8-5393-4679-9105-6D661C75A40D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Calculated KPI = Broadband Revenue + Mobile Revenue (domestic wireless SERVICE revenue). Matches 2Q26 screenshot definition (e.g., 2Q26: 6,280 + 1,007 = 7,287).</t>
        </r>
      </text>
    </comment>
    <comment ref="A8" authorId="0" shapeId="0" xr:uid="{FC43DD9B-4352-4D11-9C22-88EF7489531D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Mobile Revenue = Domestic wireless service revenue (SPG Wireless row 28), excl. equipment revenue — matches screenshot (2Q26 1,007).</t>
        </r>
      </text>
    </comment>
    <comment ref="A13" authorId="0" shapeId="0" xr:uid="{8BB5CF22-F55A-41D8-994D-AAE534B9152A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Park = Theme parks revenue, C&amp;E segment basis (SPG Content &amp; Experiences row 19).</t>
        </r>
      </text>
    </comment>
    <comment ref="A15" authorId="0" shapeId="0" xr:uid="{151FBA11-9E23-4FF7-AAA4-06CEB13BA0FF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Total EBITDA = Consolidated Adjusted EBITDA (SPG Segments row 38).</t>
        </r>
      </text>
    </comment>
    <comment ref="A19" authorId="0" shapeId="0" xr:uid="{5E293167-9EA2-4333-B927-B7930CC6F719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EBITDA Margin = C&amp;P Adjusted EBITDA / C&amp;P Revenue.</t>
        </r>
      </text>
    </comment>
    <comment ref="F19" authorId="0" shapeId="0" xr:uid="{0352AF08-7CCE-4A83-B3F5-708DA66C59EB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Margin row: YoY change shown in percentage points (Actual margin − 3Q25 margin), not % growth.</t>
        </r>
      </text>
    </comment>
    <comment ref="G19" authorId="0" shapeId="0" xr:uid="{A3AE027B-AD0C-4B93-86F4-4F7FBBDD5457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Margin row: Delta shown in percentage points (Actual margin − consensus margin).</t>
        </r>
      </text>
    </comment>
    <comment ref="A23" authorId="0" shapeId="0" xr:uid="{48934757-6CC0-4202-BED0-040786AE3B99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Park EBITDA = Theme parks Adjusted EBITDA, C&amp;E segment basis (row 28). Screenshot 2Q26 showed 609 (prior-resegmentation basis, row 65); current basis = 608.</t>
        </r>
      </text>
    </comment>
    <comment ref="A24" authorId="0" shapeId="0" xr:uid="{46A4E903-7B59-433F-8359-43140474BE97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EBITDA Margin = C&amp;E Adjusted EBITDA / C&amp;E Revenue.</t>
        </r>
      </text>
    </comment>
    <comment ref="F24" authorId="0" shapeId="0" xr:uid="{E060AF44-6EFE-431E-88A6-55232F3D11B3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Margin row: YoY change shown in percentage points (Actual margin − 3Q25 margin), not % growth.</t>
        </r>
      </text>
    </comment>
    <comment ref="G24" authorId="0" shapeId="0" xr:uid="{26C81C11-0926-4118-B02C-79FF0B898FC4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Margin row: Delta shown in percentage points (Actual margin − consensus margin).</t>
        </r>
      </text>
    </comment>
    <comment ref="A26" authorId="0" shapeId="0" xr:uid="{83CFF5FC-B9D8-414C-90A2-0E99D2B6F3C4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Adjusted EPS = 'EPS - diluted - operating' (SPG Income Statement row 40). Note: file shows 2Q25 at $1.02 vs $1.25 in the 2Q26 screenshot (likely restated basis); 1Q26/2Q26 tie to screenshot.</t>
        </r>
      </text>
    </comment>
    <comment ref="A27" authorId="0" shapeId="0" xr:uid="{AC8F0043-9B89-421D-B8A5-36735CF923EE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FCF = 'Free cash flow incl. economic stimulus' (SPG Free Cash Flow row 20).</t>
        </r>
      </text>
    </comment>
    <comment ref="F30" authorId="0" shapeId="0" xr:uid="{6508808A-13D1-442C-A072-3B5E91A4AB16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Net-add row can be negative: % change may be misleading — consider absolute change (E30−B30).</t>
        </r>
      </text>
    </comment>
    <comment ref="G30" authorId="0" shapeId="0" xr:uid="{72B66A45-ABE0-4202-B422-B9E3A71D54DC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Uses ABS(consensus) in denominator so a smaller-than-expected loss shows as a beat.</t>
        </r>
      </text>
    </comment>
    <comment ref="A31" authorId="0" shapeId="0" xr:uid="{4B9A9A9B-FE45-427B-92EE-9157D979F0A6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Average monthly domestic broadband residential revenue per subscriber (SPG C&amp;P Customer Metrics row 46).</t>
        </r>
      </text>
    </comment>
    <comment ref="F32" authorId="0" shapeId="0" xr:uid="{A0755BFD-4613-4EC5-875F-852207846903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Net-add row can be negative: % change may be misleading — consider absolute change (E32−B32).</t>
        </r>
      </text>
    </comment>
    <comment ref="G32" authorId="0" shapeId="0" xr:uid="{A2E30E90-BCB3-4660-94EB-870DD58223B1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Uses ABS(consensus) in denominator so a smaller-than-expected loss shows as a beat.</t>
        </r>
      </text>
    </comment>
    <comment ref="A33" authorId="0" shapeId="0" xr:uid="{2C552BA6-B2AB-48DD-A359-ACABC33436A2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Total domestic wireless line net additions (SPG C&amp;P Customer Metrics row 50).</t>
        </r>
      </text>
    </comment>
    <comment ref="F33" authorId="0" shapeId="0" xr:uid="{1664A159-FD60-494B-BAB0-3EF220580418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Net-add row: % change may be misleading on small/negative bases — consider absolute change (E33−B33).</t>
        </r>
      </text>
    </comment>
    <comment ref="A34" authorId="0" shapeId="0" xr:uid="{83B228CC-5EB5-4995-9393-4B5996DED2BA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Ending paid subscribers - Peacock, converted from thousands to millions (/1000).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5F29600F-DC5A-4AFA-B2F8-0985AE48624F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SPGlobal_ComcastCorporation_Incomestatement_20-Oct-2026.xlsx,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B59FE0DD-858A-4274-B629-D9F69B793E6B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SPGlobal_ComcastCorporation_Segments_20-Oct-2026.xlsx,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A8B46030-5E96-45E6-B9BD-AB6393187166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SPGlobal_ComcastCorporation_FreeCashFlow_20-Oct-2026.xlsx,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9F27139A-39E3-4AE4-9A93-6364AA0130EF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SPGlobal_ComcastCorporation_ConnectivityandPlatforms_20-Oct-2026.xlsx,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79517826-827E-4164-AF3E-029F07B0E30E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SPGlobal_ComcastCorporation_ConnectivityandPlatforms-CustomerMetrics_20-Oct-2026.xlsx,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D49F4001-C865-46E5-A381-E37D8DD273EA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SPGlobal_ComcastCorporation_ContentAndExperiences_20-Oct-2026.xlsx,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B51180C5-87E1-4860-B61E-4044A414CDAE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SPGlobal_ComcastCorporation_Peacock_20-Oct-2026.xlsx,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AD3E7E85-9344-42FD-90A4-9362E39FD524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SPGlobal_ComcastCorporation_Wireless_20-Oct-2026.xlsx,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813FBC4A-3441-482F-8A5B-AB3279F8362D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SPGlobal_ComcastCorporation_Residential_20-Oct-2026.xlsx,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CDD34DF8-3F33-4EAD-B797-0CE11E31D073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SPGlobal_ComcastCorporation_Businessservices_20-Oct-2026.xlsx,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28665ADE-67A5-4360-8379-B235AC2278D7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SPGlobal_ComcastCorporation_Cashflow_20-Oct-2026.xlsx, uploaded 2026-10-20. Uploaded file. S&amp;P Global / Visible Alpha consensus (Mean), as of 10/20/2026; "A" columns = reported actuals, "E" columns = consensus estimates.</t>
        </r>
      </text>
    </comment>
  </commentList>
</comments>
</file>

<file path=xl/sharedStrings.xml><?xml version="1.0" encoding="utf-8"?>
<sst xmlns="http://schemas.openxmlformats.org/spreadsheetml/2006/main" count="1415" uniqueCount="408">
  <si>
    <t>Comcast Corporation | Income statement</t>
  </si>
  <si>
    <t>NASDAQGS:CMCSA (MI KEY: 4057180; SPCIQ KEY: 173341)</t>
  </si>
  <si>
    <t>Visible Alpha</t>
  </si>
  <si>
    <t>Period Type : Fiscal Quarter, Fiscal Halves, Fiscal Year</t>
  </si>
  <si>
    <t>Period Start : 2025</t>
  </si>
  <si>
    <t>Period End : 2030</t>
  </si>
  <si>
    <t>Currency  : Reported</t>
  </si>
  <si>
    <t>Consensus View : Mean</t>
  </si>
  <si>
    <t>As Of: 10/20/2026</t>
  </si>
  <si>
    <t xml:space="preserve">All numbers in $M unless otherwise indicated </t>
  </si>
  <si>
    <t xml:space="preserve">FQ1 2025A </t>
  </si>
  <si>
    <t xml:space="preserve">FQ2 2025A </t>
  </si>
  <si>
    <t xml:space="preserve">FQ3 2025A </t>
  </si>
  <si>
    <t xml:space="preserve">FQ4 2025A </t>
  </si>
  <si>
    <t xml:space="preserve">FY2025A </t>
  </si>
  <si>
    <t xml:space="preserve">FQ1 2026A </t>
  </si>
  <si>
    <t xml:space="preserve">FQ2 2026A </t>
  </si>
  <si>
    <t xml:space="preserve">FQ3 2026E </t>
  </si>
  <si>
    <t xml:space="preserve">FQ4 2026E </t>
  </si>
  <si>
    <t xml:space="preserve">FY2026E </t>
  </si>
  <si>
    <t xml:space="preserve">FQ1 2027E </t>
  </si>
  <si>
    <t xml:space="preserve">FQ2 2027E </t>
  </si>
  <si>
    <t xml:space="preserve">FQ3 2027E </t>
  </si>
  <si>
    <t xml:space="preserve">FQ4 2027E </t>
  </si>
  <si>
    <t xml:space="preserve">FY2027E </t>
  </si>
  <si>
    <t xml:space="preserve">FQ1 2028E </t>
  </si>
  <si>
    <t xml:space="preserve">FQ2 2028E </t>
  </si>
  <si>
    <t xml:space="preserve">FQ3 2028E </t>
  </si>
  <si>
    <t xml:space="preserve">FQ4 2028E </t>
  </si>
  <si>
    <t xml:space="preserve">FY2028E </t>
  </si>
  <si>
    <t xml:space="preserve">FQ1 2029E </t>
  </si>
  <si>
    <t xml:space="preserve">FQ2 2029E </t>
  </si>
  <si>
    <t xml:space="preserve">FQ3 2029E </t>
  </si>
  <si>
    <t xml:space="preserve">FQ4 2029E </t>
  </si>
  <si>
    <t xml:space="preserve">FY2029E </t>
  </si>
  <si>
    <t xml:space="preserve">FQ1 2030E </t>
  </si>
  <si>
    <t xml:space="preserve">FQ2 2030E </t>
  </si>
  <si>
    <t xml:space="preserve">FQ3 2030E </t>
  </si>
  <si>
    <t xml:space="preserve">FQ4 2030E </t>
  </si>
  <si>
    <t xml:space="preserve">FY2030E </t>
  </si>
  <si>
    <t>Number of Contributors Available</t>
  </si>
  <si>
    <t>20 of 20</t>
  </si>
  <si>
    <t>12 of 20</t>
  </si>
  <si>
    <t>11 of 20</t>
  </si>
  <si>
    <t>8 of 20</t>
  </si>
  <si>
    <t>19 of 20</t>
  </si>
  <si>
    <t>7 of 20</t>
  </si>
  <si>
    <t>16 of 20</t>
  </si>
  <si>
    <t xml:space="preserve">    Revenue</t>
  </si>
  <si>
    <t xml:space="preserve">    Total cost and exp. excl. D&amp;A</t>
  </si>
  <si>
    <t xml:space="preserve">    Adjusted EBITDA</t>
  </si>
  <si>
    <t xml:space="preserve">            Depreciation</t>
  </si>
  <si>
    <t xml:space="preserve">            Amortization</t>
  </si>
  <si>
    <t xml:space="preserve">        Depreciation and amortization</t>
  </si>
  <si>
    <t xml:space="preserve">        Total goodwill and other expenses</t>
  </si>
  <si>
    <t>-</t>
  </si>
  <si>
    <t xml:space="preserve">    Total costs and expenses</t>
  </si>
  <si>
    <t xml:space="preserve">    Operating income/(loss)</t>
  </si>
  <si>
    <t xml:space="preserve">        Interest expense</t>
  </si>
  <si>
    <t xml:space="preserve">            Realized and unrealized gains losses on equity securities</t>
  </si>
  <si>
    <t xml:space="preserve">            Other income (expense), net</t>
  </si>
  <si>
    <t xml:space="preserve">        Other Income/(loss)</t>
  </si>
  <si>
    <t xml:space="preserve">        Equity in net income (losses) of investees, net</t>
  </si>
  <si>
    <t xml:space="preserve">    Nonoperating income/(expense)</t>
  </si>
  <si>
    <t xml:space="preserve">    Income/(loss) before income taxes</t>
  </si>
  <si>
    <t xml:space="preserve">    Income tax expense/(benefit)</t>
  </si>
  <si>
    <t xml:space="preserve">    Net income/(loss) before non-controlling interest</t>
  </si>
  <si>
    <t xml:space="preserve">    Noncontrolling interests, net</t>
  </si>
  <si>
    <t xml:space="preserve">    Net income/(loss) attributable to CMCSA</t>
  </si>
  <si>
    <t xml:space="preserve">        Net of tax adjustments</t>
  </si>
  <si>
    <t xml:space="preserve">    Net income/(loss) attributable to CMCSA - operating</t>
  </si>
  <si>
    <t xml:space="preserve">    EPS - basic($)</t>
  </si>
  <si>
    <t xml:space="preserve">    EPS - diluted($)</t>
  </si>
  <si>
    <t xml:space="preserve">    EPS - diluted - operating($)</t>
  </si>
  <si>
    <t xml:space="preserve">    Weighted average shares - Basic(M#)</t>
  </si>
  <si>
    <t xml:space="preserve">    Weighted average shares outstanding - diluted(M#)</t>
  </si>
  <si>
    <t xml:space="preserve">    Dividend per share($)</t>
  </si>
  <si>
    <t>Comcast Corporation | Segments</t>
  </si>
  <si>
    <t>Revenue</t>
  </si>
  <si>
    <t xml:space="preserve">        Total connectivity and platforms revenue</t>
  </si>
  <si>
    <t xml:space="preserve">        Total content and experiences revenue</t>
  </si>
  <si>
    <t xml:space="preserve">            Corporate and other</t>
  </si>
  <si>
    <t xml:space="preserve">            Eliminations</t>
  </si>
  <si>
    <t xml:space="preserve">        Corporate, other and eliminations</t>
  </si>
  <si>
    <t xml:space="preserve"> </t>
  </si>
  <si>
    <t>Costs and expenses excl. D&amp;A</t>
  </si>
  <si>
    <t xml:space="preserve">        Total connectivity and platforms - Costs and Exps excl. D&amp;A</t>
  </si>
  <si>
    <t xml:space="preserve">        Total content and experiences - Costs and exps excl. D&amp;A</t>
  </si>
  <si>
    <t xml:space="preserve">            Corporate and other - Costs and exps excl. D&amp;A</t>
  </si>
  <si>
    <t xml:space="preserve">            Eliminations - Costs and exps excl. D&amp;A</t>
  </si>
  <si>
    <t xml:space="preserve">        Corporate, other and eliminations excl. D&amp;A</t>
  </si>
  <si>
    <t>Adjusted EBITDA</t>
  </si>
  <si>
    <t xml:space="preserve">        Total connectivity and platforms - Adjusted EBITDA</t>
  </si>
  <si>
    <t xml:space="preserve">        Total Content and experiences - Adjusted EBITDA</t>
  </si>
  <si>
    <t xml:space="preserve">            Corporate and other - Adjusted EBITDA</t>
  </si>
  <si>
    <t xml:space="preserve">            Eliminations - Adjusted EBITDA</t>
  </si>
  <si>
    <t xml:space="preserve">        Corporate, other and eliminations - adjusted EBITDA</t>
  </si>
  <si>
    <t>Supplemental</t>
  </si>
  <si>
    <t xml:space="preserve">    NBCUniversal Adjusted EBITDA</t>
  </si>
  <si>
    <t xml:space="preserve">    Sky Adjusted EBITDA</t>
  </si>
  <si>
    <t xml:space="preserve">    Cable communications Adjusted EBITDA</t>
  </si>
  <si>
    <t xml:space="preserve">    Corporate and eliminations Adjusted EBITDA</t>
  </si>
  <si>
    <t>Comcast Corporation | Free Cash Flow</t>
  </si>
  <si>
    <t xml:space="preserve">        Net cash provided by (used in) operating activities</t>
  </si>
  <si>
    <t xml:space="preserve">            Capital expenditures</t>
  </si>
  <si>
    <t xml:space="preserve">            Cash paid for capitalized software and other intangibles</t>
  </si>
  <si>
    <t xml:space="preserve">        Capex (incl. intangible invest)</t>
  </si>
  <si>
    <t xml:space="preserve">    Free cash flow incl. economic stimulus</t>
  </si>
  <si>
    <t>FCF calculation</t>
  </si>
  <si>
    <t xml:space="preserve">        Adjusted EBITDA - FCF</t>
  </si>
  <si>
    <t xml:space="preserve">        Cash interest expense - FCF</t>
  </si>
  <si>
    <t xml:space="preserve">        Cash taxes - FCF</t>
  </si>
  <si>
    <t xml:space="preserve">        Change in operating assets and liabilities - FCF</t>
  </si>
  <si>
    <t xml:space="preserve">        Noncash share based compensation - FCF</t>
  </si>
  <si>
    <t xml:space="preserve">        Other adjustment - FCF</t>
  </si>
  <si>
    <t xml:space="preserve">        Adjustment - FCF</t>
  </si>
  <si>
    <t>Comcast Corporation | Connectivity and Platforms</t>
  </si>
  <si>
    <t>Domestic broadband residential customers</t>
  </si>
  <si>
    <t xml:space="preserve">        Domestic broadband residential customers(K#)</t>
  </si>
  <si>
    <t xml:space="preserve">        Avg domestic broadband residential customers(K#)</t>
  </si>
  <si>
    <t xml:space="preserve">        Average monthly domestic broadband residential revenue per subscriber($)</t>
  </si>
  <si>
    <t xml:space="preserve">    Domestic broadband revenue</t>
  </si>
  <si>
    <t>Domestic wireless customers</t>
  </si>
  <si>
    <t xml:space="preserve">        Total domestic wireless lines(K#)</t>
  </si>
  <si>
    <t xml:space="preserve">        Avg total domestic wireless lines(K#)</t>
  </si>
  <si>
    <t xml:space="preserve">        Average monthly total domestic wireless revenue per subscriber($)</t>
  </si>
  <si>
    <t xml:space="preserve">    Domestic wireless revenue</t>
  </si>
  <si>
    <t>International residential connectivity customer relationships</t>
  </si>
  <si>
    <t xml:space="preserve">        International residential connectivity &amp; platforms customer relationships(K#)</t>
  </si>
  <si>
    <t xml:space="preserve">        Avg international residential connectivity &amp; platforms customer relationships(K#)</t>
  </si>
  <si>
    <t xml:space="preserve">        Average monthly international residential customer relationship revenue per customer($)</t>
  </si>
  <si>
    <t xml:space="preserve">    International connectivity revenue</t>
  </si>
  <si>
    <t>Business services connectivity customer relationships</t>
  </si>
  <si>
    <t xml:space="preserve">        Business services connectivity customer relationships(K#)</t>
  </si>
  <si>
    <t xml:space="preserve">        Avg business services connectivity customer relationships(K#)</t>
  </si>
  <si>
    <t xml:space="preserve">        Average monthly business services connectivity revenue per cust relationship($)</t>
  </si>
  <si>
    <t xml:space="preserve">    Business services connectivity revenue</t>
  </si>
  <si>
    <t>Total domestic broadband customers</t>
  </si>
  <si>
    <t xml:space="preserve">        Total domestic broadband customers(K#)</t>
  </si>
  <si>
    <t xml:space="preserve">        Avg total domestic broadband customers(K#)</t>
  </si>
  <si>
    <t xml:space="preserve">        Average monthly domestic broadband revenue per customer($)</t>
  </si>
  <si>
    <t>Connectivity &amp; platforms revenue</t>
  </si>
  <si>
    <t xml:space="preserve">        Residential connectivity and platforms revenue</t>
  </si>
  <si>
    <t xml:space="preserve">        Business services connectivity revenue</t>
  </si>
  <si>
    <t xml:space="preserve">    Total connectivity and platforms revenue</t>
  </si>
  <si>
    <t>Connectivity &amp; platforms adjusted EBITDA</t>
  </si>
  <si>
    <t xml:space="preserve">        Residential connectivity platforms - Adjusted EBITDA</t>
  </si>
  <si>
    <t xml:space="preserve">        Business services connectivity - Adjusted EBITDA</t>
  </si>
  <si>
    <t xml:space="preserve">    Total connectivity and platforms - Adjusted EBITDA</t>
  </si>
  <si>
    <t>Residential connectivity &amp; platforms</t>
  </si>
  <si>
    <t xml:space="preserve">            Domestic broadband revenue</t>
  </si>
  <si>
    <t xml:space="preserve">            Domestic wireless revenue</t>
  </si>
  <si>
    <t xml:space="preserve">            International connectivity revenue</t>
  </si>
  <si>
    <t xml:space="preserve">        Residential connectivity revenue</t>
  </si>
  <si>
    <t xml:space="preserve">        Video platform revenue</t>
  </si>
  <si>
    <t xml:space="preserve">        Advertising platform revenue</t>
  </si>
  <si>
    <t xml:space="preserve">        Other platform revenue</t>
  </si>
  <si>
    <t xml:space="preserve">    Residential connectivity and platforms revenue</t>
  </si>
  <si>
    <t xml:space="preserve">        Programming - Connectivity and platforms</t>
  </si>
  <si>
    <t xml:space="preserve">        Non programming - Residential connectivity and platforms</t>
  </si>
  <si>
    <t xml:space="preserve">    Residential connectivity platforms - Costs and exps excl. D&amp;A</t>
  </si>
  <si>
    <t xml:space="preserve">    Residential connectivity platforms - Adjusted EBITDA</t>
  </si>
  <si>
    <t>Business services connectivity</t>
  </si>
  <si>
    <t xml:space="preserve">    Business services connectivity - Costs and Exps excl. D&amp;A</t>
  </si>
  <si>
    <t xml:space="preserve">    Business services connectivity - Adjusted EBITDA</t>
  </si>
  <si>
    <t xml:space="preserve">        Residential connectivity platforms - Costs and exps excl. D&amp;A</t>
  </si>
  <si>
    <t xml:space="preserve">        Business services connectivity - Costs and Exps excl. D&amp;A</t>
  </si>
  <si>
    <t xml:space="preserve">    Total connectivity and platforms - Costs and Exps excl. D&amp;A</t>
  </si>
  <si>
    <t xml:space="preserve">        Marketing Promotion - Connectivity and Platforms</t>
  </si>
  <si>
    <t xml:space="preserve">        Direct Product Costs - Connectivity and Platforms</t>
  </si>
  <si>
    <t xml:space="preserve">        Technical Support - Connectivity and Platforms</t>
  </si>
  <si>
    <t xml:space="preserve">        Customer Service - Connectivity and Platforms</t>
  </si>
  <si>
    <t xml:space="preserve">        Other - Connectivity and Platforms</t>
  </si>
  <si>
    <t>Comcast Corporation | Connectivity and Platforms - Customer Metrics</t>
  </si>
  <si>
    <t>Connectivity &amp; platforms: Customer metrics</t>
  </si>
  <si>
    <t xml:space="preserve">        Homes and businesses passed - net adds(K#)</t>
  </si>
  <si>
    <t xml:space="preserve">    Homes and businesses passed(K#)</t>
  </si>
  <si>
    <t>Customer relationships</t>
  </si>
  <si>
    <t xml:space="preserve">            Domestic residential connectivity &amp; platforms customer relationships net additions (losses)(K#)</t>
  </si>
  <si>
    <t xml:space="preserve">        Domestic residential connectivity &amp; platforms customer relationships(K#)</t>
  </si>
  <si>
    <t xml:space="preserve">            International residential connectivity &amp; platforms customer relationships net additions (losses)(K#)</t>
  </si>
  <si>
    <t xml:space="preserve">            Business services connectivity customer relationships net additions (losses)(K#)</t>
  </si>
  <si>
    <t xml:space="preserve">        Total customer relationships net additions (losses) - Connectivity and platforms(K#)</t>
  </si>
  <si>
    <t xml:space="preserve">    Total customer relationships - Connectivity and platforms(K#)</t>
  </si>
  <si>
    <t xml:space="preserve">    Average Total Customer Relationships - Connectivity and Platforms(K#)</t>
  </si>
  <si>
    <t xml:space="preserve">    Average monthly total revenue per customer relationship - Connectivity and platforms($)</t>
  </si>
  <si>
    <t xml:space="preserve">    Average monthly total adjusted EBITDA per customer relationship - Connectivity and platforms($)</t>
  </si>
  <si>
    <t>Domestic broadband</t>
  </si>
  <si>
    <t xml:space="preserve">            Domestic broadband residential net additions (losses)(K#)</t>
  </si>
  <si>
    <t xml:space="preserve">            Domestic broadband business services net additions (losses)(K#)</t>
  </si>
  <si>
    <t xml:space="preserve">        Domestic broadband business services customers(K#)</t>
  </si>
  <si>
    <t xml:space="preserve">        Total domestic broadband net additions (losses)(K#)</t>
  </si>
  <si>
    <t xml:space="preserve">    Total domestic broadband customers(K#)</t>
  </si>
  <si>
    <t xml:space="preserve">    Total domestic broadband penetration of homes &amp; businesses passed(%)</t>
  </si>
  <si>
    <t>Domestic broadband residential</t>
  </si>
  <si>
    <t>Domestic wireless</t>
  </si>
  <si>
    <t xml:space="preserve">        Total domestic wireless line net additions (losses)(K#)</t>
  </si>
  <si>
    <t xml:space="preserve">    Total domestic wireless lines(K#)</t>
  </si>
  <si>
    <t>Domestic video</t>
  </si>
  <si>
    <t xml:space="preserve">        Total domestic video net additions (losses)(K#)</t>
  </si>
  <si>
    <t xml:space="preserve">    Total domestic video customers(K#)</t>
  </si>
  <si>
    <t>Domestic voice</t>
  </si>
  <si>
    <t xml:space="preserve">        Total domestic voice net additions (losses)(K#)</t>
  </si>
  <si>
    <t xml:space="preserve">    Total domestic voice customers(K#)</t>
  </si>
  <si>
    <t>Comcast Corporation | Content &amp; Experiences</t>
  </si>
  <si>
    <t>Content &amp; experiences revenue</t>
  </si>
  <si>
    <t xml:space="preserve">        Media revenue - C&amp;E</t>
  </si>
  <si>
    <t xml:space="preserve">        Studios revenue- C&amp;E</t>
  </si>
  <si>
    <t xml:space="preserve">        Theme parks revenue - C&amp;E</t>
  </si>
  <si>
    <t xml:space="preserve">            Headquarters and others revenue - C&amp;E</t>
  </si>
  <si>
    <t xml:space="preserve">            Eliminations revenue - C&amp;E</t>
  </si>
  <si>
    <t xml:space="preserve">        Headquarters, other and elimination revenue - C&amp;E</t>
  </si>
  <si>
    <t xml:space="preserve">    Total content and experiences revenue</t>
  </si>
  <si>
    <t>Content &amp; experiences Adjusted EBITDA</t>
  </si>
  <si>
    <t xml:space="preserve">        Media - C&amp;E - Adjusted EBITDA</t>
  </si>
  <si>
    <t xml:space="preserve">        Studios - C&amp;E - Adjusted EBITDA</t>
  </si>
  <si>
    <t xml:space="preserve">        Theme parks - C&amp;E- Adjusted EBITDA</t>
  </si>
  <si>
    <t xml:space="preserve">            Headquarters and Other - C&amp;E - Adjusted EBITDA</t>
  </si>
  <si>
    <t xml:space="preserve">            Eliminations - C&amp;E - Adjusted EBITDA</t>
  </si>
  <si>
    <t xml:space="preserve">        Headquarters, other and elimination - C&amp;E - Adjusted EBITDA</t>
  </si>
  <si>
    <t xml:space="preserve">    Total Content and experiences - Adjusted EBITDA</t>
  </si>
  <si>
    <t>Media</t>
  </si>
  <si>
    <t xml:space="preserve">            Domestic advertising revenue</t>
  </si>
  <si>
    <t xml:space="preserve">            Domestic distribution revenue</t>
  </si>
  <si>
    <t xml:space="preserve">            International networks revenue</t>
  </si>
  <si>
    <t xml:space="preserve">            Other media revenue</t>
  </si>
  <si>
    <t xml:space="preserve">            Programming production - Media - Costs and exps excl. D&amp;A</t>
  </si>
  <si>
    <t xml:space="preserve">            Marketing and promotion - Media - Costs and exps excl. D&amp;A</t>
  </si>
  <si>
    <t xml:space="preserve">            Other - Media - Costs and exps excl. D&amp;A</t>
  </si>
  <si>
    <t xml:space="preserve">        Media - Costs and exps excl. D&amp;A</t>
  </si>
  <si>
    <t xml:space="preserve">    Media - C&amp;E - Adjusted EBITDA</t>
  </si>
  <si>
    <t>Studios</t>
  </si>
  <si>
    <t xml:space="preserve">            Content licensing revenue - Studios</t>
  </si>
  <si>
    <t xml:space="preserve">            Theatrical revenue - Studios</t>
  </si>
  <si>
    <t xml:space="preserve">            Other revenue - Studios</t>
  </si>
  <si>
    <t xml:space="preserve">            Programming production - Studios - Costs and exps excl. D&amp;A</t>
  </si>
  <si>
    <t xml:space="preserve">            Marketing and promotion - Studios - Costs and exps excl. D&amp;A</t>
  </si>
  <si>
    <t xml:space="preserve">            Other - Studios - Costs and exps excl. D&amp;A</t>
  </si>
  <si>
    <t xml:space="preserve">        Studios - Costs and exps excl. D&amp;A</t>
  </si>
  <si>
    <t xml:space="preserve">    Studios - C&amp;E - Adjusted EBITDA</t>
  </si>
  <si>
    <t>Theme parks</t>
  </si>
  <si>
    <t xml:space="preserve">        Theme parks - C&amp;E - Costs and exps excl. D&amp;A</t>
  </si>
  <si>
    <t xml:space="preserve">    Theme parks - C&amp;E- Adjusted EBITDA</t>
  </si>
  <si>
    <t>Theme parks - Prior to resegmentation</t>
  </si>
  <si>
    <t xml:space="preserve">        Theme parks revenue - Prior to resegmentation</t>
  </si>
  <si>
    <t xml:space="preserve">        Theme parks - Costs and exp excl D&amp;A - Prior to resegmentation</t>
  </si>
  <si>
    <t xml:space="preserve">    Theme parks - Adjusted EBITDA - Prior to resegmentation</t>
  </si>
  <si>
    <t xml:space="preserve">    Headquarters and Other - C&amp;E - Costs and exps excl. D&amp;A</t>
  </si>
  <si>
    <t xml:space="preserve">    Eliminations - C&amp;E - Costs and exps excl. D&amp;A</t>
  </si>
  <si>
    <t>Comcast Corporation | Peacock</t>
  </si>
  <si>
    <t xml:space="preserve">    Total sign-ups - Peacock(K#)</t>
  </si>
  <si>
    <t xml:space="preserve">    New sign-ups - Peacock(K#)</t>
  </si>
  <si>
    <t xml:space="preserve">        Ending subs - Premium peacock ad supported(K#)</t>
  </si>
  <si>
    <t xml:space="preserve">        Ending subs - Free Peacock(K#)</t>
  </si>
  <si>
    <t xml:space="preserve">    Ending MAUs - Ad supported - Peacock(K#)</t>
  </si>
  <si>
    <t xml:space="preserve">    Average MAU's Ad supported - Peacock(K#)</t>
  </si>
  <si>
    <t xml:space="preserve">        ARPU - MAU - Ad supported - Peacock($)</t>
  </si>
  <si>
    <t xml:space="preserve">    Peacock Advertising Revenue - Media</t>
  </si>
  <si>
    <t xml:space="preserve">            Ending subs - Premium peacock ad supported(K#)</t>
  </si>
  <si>
    <t xml:space="preserve">            Ending subs - Premium plus Peacock Ad free(K#)</t>
  </si>
  <si>
    <t xml:space="preserve">        Ending paid subs - Peacock(K#)</t>
  </si>
  <si>
    <t xml:space="preserve">    Ending subs - Peacock(K#)</t>
  </si>
  <si>
    <t xml:space="preserve">            Net adds - Paid subs - Peacock(K#)</t>
  </si>
  <si>
    <t xml:space="preserve">        Average paid subs - Peacock(K#)</t>
  </si>
  <si>
    <t xml:space="preserve">            Net adds - Peacock(K#)</t>
  </si>
  <si>
    <t xml:space="preserve">        Ending subs - Peacock(K#)</t>
  </si>
  <si>
    <t xml:space="preserve">        Average subs - Peacock(K#)</t>
  </si>
  <si>
    <t xml:space="preserve">        Blended ARPU - Peacock($)</t>
  </si>
  <si>
    <t xml:space="preserve">    Streaming - Peacock revenue</t>
  </si>
  <si>
    <t xml:space="preserve">        Peacock Advertising Revenue - Media</t>
  </si>
  <si>
    <t xml:space="preserve">        Peacock Distribution Revenue - Media</t>
  </si>
  <si>
    <t xml:space="preserve">        Peacock Other Revenue - Media</t>
  </si>
  <si>
    <t xml:space="preserve">        Programming and production - Peacock</t>
  </si>
  <si>
    <t xml:space="preserve">        Marketing, promotion and other - Peacock</t>
  </si>
  <si>
    <t xml:space="preserve">    Streaming Peacock costs and exp. excl D&amp;A</t>
  </si>
  <si>
    <t xml:space="preserve">    Streaming EBITDA - Peacock</t>
  </si>
  <si>
    <t>Comcast Corporation | Wireless</t>
  </si>
  <si>
    <t xml:space="preserve">            Beginning - Domestic wireless subscribers(K#)</t>
  </si>
  <si>
    <t xml:space="preserve">            Gross adds - Domestic wireless subscribers(K#)</t>
  </si>
  <si>
    <t xml:space="preserve">            Disconnects - Domestic wireless subscribers(K#)</t>
  </si>
  <si>
    <t xml:space="preserve">            Churn rate - Domestic wireless(%)</t>
  </si>
  <si>
    <t xml:space="preserve">            Total domestic wireless line net additions (losses)(K#)</t>
  </si>
  <si>
    <t xml:space="preserve">        Average monthly Wireless service revenue per subscriber($)</t>
  </si>
  <si>
    <t xml:space="preserve">    Domestic wireless service revenue</t>
  </si>
  <si>
    <t xml:space="preserve">        No. of devices sold(K#)</t>
  </si>
  <si>
    <t xml:space="preserve">        Equipment - Revenue per device($)</t>
  </si>
  <si>
    <t xml:space="preserve">    Domestic wireless equipment revenue</t>
  </si>
  <si>
    <t>Financials</t>
  </si>
  <si>
    <t xml:space="preserve">            Domestic wireless service revenue</t>
  </si>
  <si>
    <t xml:space="preserve">            Domestic wireless equipment revenue</t>
  </si>
  <si>
    <t xml:space="preserve">        Domestic wireless revenue</t>
  </si>
  <si>
    <t xml:space="preserve">            Cost of Services - Domestic wireless</t>
  </si>
  <si>
    <t xml:space="preserve">            Cost of equipment - Domestic wireless</t>
  </si>
  <si>
    <t xml:space="preserve">            SG&amp;A Expenses - Domestic wireless</t>
  </si>
  <si>
    <t xml:space="preserve">        Cash expenses - Domestic wireless</t>
  </si>
  <si>
    <t xml:space="preserve">    EBITDA - Domestic wireless</t>
  </si>
  <si>
    <t>Supplemental data</t>
  </si>
  <si>
    <t xml:space="preserve">                Gross adds - Wireless(K#)</t>
  </si>
  <si>
    <t xml:space="preserve">                Disconnects - Wireless(K#)</t>
  </si>
  <si>
    <t xml:space="preserve">                Churn rate - Wireless(%)</t>
  </si>
  <si>
    <t xml:space="preserve">            Net adds - Wireless(K#)</t>
  </si>
  <si>
    <t xml:space="preserve">        Ending wireless subs(K#)</t>
  </si>
  <si>
    <t xml:space="preserve">        Avg. wireless subs(K#)</t>
  </si>
  <si>
    <t xml:space="preserve">        ARPU - Service($)</t>
  </si>
  <si>
    <t xml:space="preserve">    Retail service revenues</t>
  </si>
  <si>
    <t>Comcast Corporation | Residential</t>
  </si>
  <si>
    <t xml:space="preserve">        Video residential penetration(%)</t>
  </si>
  <si>
    <t xml:space="preserve">            Video residential - net adds(K#)</t>
  </si>
  <si>
    <t xml:space="preserve">        Video residential subscribers(K#)</t>
  </si>
  <si>
    <t xml:space="preserve">        Avg. video residential subs.(K#)</t>
  </si>
  <si>
    <t xml:space="preserve">        Video revenue per residential subs.($)</t>
  </si>
  <si>
    <t xml:space="preserve">    Video revenue</t>
  </si>
  <si>
    <t xml:space="preserve">        HSI residential penetration(%)</t>
  </si>
  <si>
    <t xml:space="preserve">            HSI residential - net adds(K#)</t>
  </si>
  <si>
    <t xml:space="preserve">        HSI residential subscribers(K#)</t>
  </si>
  <si>
    <t xml:space="preserve">        Avg. HSI residential subs.(K#)</t>
  </si>
  <si>
    <t xml:space="preserve">        HSI revenue per residential subs.($)</t>
  </si>
  <si>
    <t xml:space="preserve">    High-speed internet revenue</t>
  </si>
  <si>
    <t xml:space="preserve">        Voice residential penetration(%)</t>
  </si>
  <si>
    <t xml:space="preserve">            Voice residential - net adds(K#)</t>
  </si>
  <si>
    <t xml:space="preserve">        Voice residential subscribers(K#)</t>
  </si>
  <si>
    <t xml:space="preserve">        Avg. voice residential subs.(K#)</t>
  </si>
  <si>
    <t xml:space="preserve">        Voice revenue per residential subs.($)</t>
  </si>
  <si>
    <t xml:space="preserve">    Voice revenue</t>
  </si>
  <si>
    <t xml:space="preserve">        Residential PSUs - net adds(K#)</t>
  </si>
  <si>
    <t xml:space="preserve">    Residential PSUs subscribers(K#)</t>
  </si>
  <si>
    <t xml:space="preserve">    Avg. residential PSUs subs(K#)</t>
  </si>
  <si>
    <t xml:space="preserve">            Residential customer relationship - net adds(K#)</t>
  </si>
  <si>
    <t xml:space="preserve">        Residential customer relationship(K#)</t>
  </si>
  <si>
    <t xml:space="preserve">        Avg. residential customer relationship(K#)</t>
  </si>
  <si>
    <t xml:space="preserve">        Revenue per residential customer($)</t>
  </si>
  <si>
    <t xml:space="preserve">    Residential customer revenue</t>
  </si>
  <si>
    <t xml:space="preserve">        Single product subscribers(K#)</t>
  </si>
  <si>
    <t xml:space="preserve">        Double product subscribers(K#)</t>
  </si>
  <si>
    <t xml:space="preserve">        Triple product subscribers(K#)</t>
  </si>
  <si>
    <t xml:space="preserve">    Residential customer relationship(K#)</t>
  </si>
  <si>
    <t>Comcast Corporation | Business services</t>
  </si>
  <si>
    <t xml:space="preserve">        Video business services customers - net adds(K#)</t>
  </si>
  <si>
    <t xml:space="preserve">    Video business services customers(K#)</t>
  </si>
  <si>
    <t xml:space="preserve">    Average Video business services customers(K#)</t>
  </si>
  <si>
    <t xml:space="preserve">        Broadband business services customers - net adds(K#)</t>
  </si>
  <si>
    <t xml:space="preserve">    Broadband business services customers(K#)</t>
  </si>
  <si>
    <t xml:space="preserve">    Average Broadband business services customers(K#)</t>
  </si>
  <si>
    <t xml:space="preserve">        Voice business services customers - net adds(K#)</t>
  </si>
  <si>
    <t xml:space="preserve">    Voice business services customers(K#)</t>
  </si>
  <si>
    <t xml:space="preserve">    Average Voice business services customers(K#)</t>
  </si>
  <si>
    <t xml:space="preserve">        Business services PSUs - net adds(K#)</t>
  </si>
  <si>
    <t xml:space="preserve">    Business services PSUs subscribers(K#)</t>
  </si>
  <si>
    <t xml:space="preserve">    Average Business services PSUs subs.(K#)</t>
  </si>
  <si>
    <t xml:space="preserve">                Business services customer relationships - net adds(K#)</t>
  </si>
  <si>
    <t xml:space="preserve">            Business services customer relationships(K#)</t>
  </si>
  <si>
    <t xml:space="preserve">            Average Business services customer relationships(K#)</t>
  </si>
  <si>
    <t xml:space="preserve">        Revenue per customer relationship - Business services($)</t>
  </si>
  <si>
    <t xml:space="preserve">    Business services revenue</t>
  </si>
  <si>
    <t>Comcast Corporation | Cash flow</t>
  </si>
  <si>
    <t xml:space="preserve">            Net income (CF)</t>
  </si>
  <si>
    <t xml:space="preserve">            Depreciation and amortization (CF)</t>
  </si>
  <si>
    <t xml:space="preserve">            Share-based compensation</t>
  </si>
  <si>
    <t xml:space="preserve">            Deferred income taxes (CF)</t>
  </si>
  <si>
    <t xml:space="preserve">            Total other operating activities</t>
  </si>
  <si>
    <t xml:space="preserve">                Change in current and noncurrent receivables, net</t>
  </si>
  <si>
    <t xml:space="preserve">                Change in film and television costs</t>
  </si>
  <si>
    <t xml:space="preserve">                Change in accounts payable and accrued expenses related to trade creditors</t>
  </si>
  <si>
    <t xml:space="preserve">                Change in other operating assets and liabilities</t>
  </si>
  <si>
    <t xml:space="preserve">            Changes in working capital</t>
  </si>
  <si>
    <t xml:space="preserve">                Capital expenditures</t>
  </si>
  <si>
    <t xml:space="preserve">                Cash paid for intangible assets</t>
  </si>
  <si>
    <t xml:space="preserve">            Capex (incl. intangible invest)</t>
  </si>
  <si>
    <t xml:space="preserve">            Total other investing activities</t>
  </si>
  <si>
    <t xml:space="preserve">        Net cash provided by (used in) investing activities</t>
  </si>
  <si>
    <t xml:space="preserve">            Net change in debt</t>
  </si>
  <si>
    <t xml:space="preserve">            Issue/(repurchase) of shares</t>
  </si>
  <si>
    <t xml:space="preserve">                Dividends paid</t>
  </si>
  <si>
    <t xml:space="preserve">                Distributions to noncontrolling interests and dividends for redeemable subsidiary preferred stock</t>
  </si>
  <si>
    <t xml:space="preserve">            Payment of dividends</t>
  </si>
  <si>
    <t xml:space="preserve">            Other financing activities</t>
  </si>
  <si>
    <t xml:space="preserve">        Net cash provided by (used in) financing activities</t>
  </si>
  <si>
    <t xml:space="preserve">    Impact of foreign currency on cash, cash equivalents and restricted cash</t>
  </si>
  <si>
    <t xml:space="preserve">    Increase (decrease) in cash and cash equivalents</t>
  </si>
  <si>
    <t xml:space="preserve">    Cash and cash equivalents, beginning of year</t>
  </si>
  <si>
    <t xml:space="preserve">    Cash and cash equivalents, end of year</t>
  </si>
  <si>
    <t>Comcast Corporation (CMCSA) — Q3 2026 Earnings First Look</t>
  </si>
  <si>
    <t>$M (except for as noted)</t>
  </si>
  <si>
    <t>Q3'25</t>
  </si>
  <si>
    <t>Q2'26</t>
  </si>
  <si>
    <t>Q3'26 (CON)</t>
  </si>
  <si>
    <t>Actual</t>
  </si>
  <si>
    <t>YoY Growth (3Q26 vs 3Q25)</t>
  </si>
  <si>
    <t>Delta (vs Con.)</t>
  </si>
  <si>
    <t>Total Revenue</t>
  </si>
  <si>
    <t>C&amp;P</t>
  </si>
  <si>
    <t>Residential</t>
  </si>
  <si>
    <t>Convergence Revenue</t>
  </si>
  <si>
    <t>Broadband Revenue</t>
  </si>
  <si>
    <t>Mobile Revenue</t>
  </si>
  <si>
    <t>Business Services</t>
  </si>
  <si>
    <t>C&amp;E</t>
  </si>
  <si>
    <t>Park</t>
  </si>
  <si>
    <t>Total EBITDA</t>
  </si>
  <si>
    <t>EBITDA Margin</t>
  </si>
  <si>
    <t>Adjusted EPS</t>
  </si>
  <si>
    <t>FCF</t>
  </si>
  <si>
    <t>Operational metrics</t>
  </si>
  <si>
    <t>Resi BB Net adds (in 000')</t>
  </si>
  <si>
    <t>Resi BB ARPU (implied)</t>
  </si>
  <si>
    <t>Video net adds (in 000')</t>
  </si>
  <si>
    <t>Wireless net adds (in 000')</t>
  </si>
  <si>
    <t>Peacock (EOP sub)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</si>
</sst>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"/>
    <numFmt numFmtId="165" formatCode="#,##0.00;\(#,##0.00\)"/>
    <numFmt numFmtId="166" formatCode="#,##0;\(#,##0\);&quot;-&quot;"/>
    <numFmt numFmtId="167" formatCode="0.0%;\(0.0%\);&quot;-&quot;"/>
    <numFmt numFmtId="168" formatCode="&quot;$&quot;0.00;\(&quot;$&quot;0.00\);&quot;-&quot;"/>
    <numFmt numFmtId="169" formatCode="0.0;\(0.0\);&quot;-&quot;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b/>
      <sz val="11"/>
      <color rgb="FF008000"/>
      <name val="Calibri"/>
    </font>
    <font>
      <b/>
      <sz val="11"/>
      <color rgb="FF0000FF"/>
      <name val="Calibri"/>
    </font>
    <font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8" fillId="3" borderId="2" xfId="0" applyFont="1" applyFill="1" applyBorder="1" applyAlignment="1">
      <alignment horizontal="right" vertical="center" wrapText="1"/>
    </xf>
    <xf numFmtId="166" fontId="9" fillId="4" borderId="0" xfId="0" applyNumberFormat="1" applyFont="1" applyFill="1" applyBorder="1" applyAlignment="1">
      <alignment horizontal="right"/>
    </xf>
    <xf numFmtId="166" fontId="10" fillId="4" borderId="0" xfId="0" applyNumberFormat="1" applyFont="1" applyFill="1" applyBorder="1" applyAlignment="1">
      <alignment horizontal="right"/>
    </xf>
    <xf numFmtId="167" fontId="5" fillId="4" borderId="0" xfId="0" applyNumberFormat="1" applyFont="1" applyFill="1" applyBorder="1" applyAlignment="1">
      <alignment horizontal="right"/>
    </xf>
    <xf numFmtId="166" fontId="11" fillId="0" borderId="0" xfId="0" applyNumberFormat="1" applyFont="1" applyBorder="1" applyAlignment="1">
      <alignment horizontal="right"/>
    </xf>
    <xf numFmtId="166" fontId="12" fillId="0" borderId="0" xfId="0" applyNumberFormat="1" applyFont="1" applyBorder="1" applyAlignment="1">
      <alignment horizontal="right"/>
    </xf>
    <xf numFmtId="167" fontId="6" fillId="0" borderId="0" xfId="0" applyNumberFormat="1" applyFont="1" applyBorder="1" applyAlignment="1">
      <alignment horizontal="right"/>
    </xf>
    <xf numFmtId="166" fontId="9" fillId="0" borderId="0" xfId="0" applyNumberFormat="1" applyFont="1" applyBorder="1" applyAlignment="1">
      <alignment horizontal="right"/>
    </xf>
    <xf numFmtId="166" fontId="10" fillId="0" borderId="0" xfId="0" applyNumberFormat="1" applyFont="1" applyBorder="1" applyAlignment="1">
      <alignment horizontal="right"/>
    </xf>
    <xf numFmtId="167" fontId="5" fillId="0" borderId="0" xfId="0" applyNumberFormat="1" applyFont="1" applyBorder="1" applyAlignment="1">
      <alignment horizontal="right"/>
    </xf>
    <xf numFmtId="166" fontId="5" fillId="0" borderId="0" xfId="0" applyNumberFormat="1" applyFont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168" fontId="9" fillId="4" borderId="0" xfId="0" applyNumberFormat="1" applyFont="1" applyFill="1" applyBorder="1" applyAlignment="1">
      <alignment horizontal="right"/>
    </xf>
    <xf numFmtId="168" fontId="10" fillId="4" borderId="0" xfId="0" applyNumberFormat="1" applyFont="1" applyFill="1" applyBorder="1" applyAlignment="1">
      <alignment horizontal="right"/>
    </xf>
    <xf numFmtId="0" fontId="6" fillId="5" borderId="0" xfId="0" applyFont="1" applyFill="1" applyBorder="1" applyAlignment="1">
      <alignment horizontal="right"/>
    </xf>
    <xf numFmtId="167" fontId="6" fillId="5" borderId="0" xfId="0" applyNumberFormat="1" applyFont="1" applyFill="1" applyBorder="1" applyAlignment="1">
      <alignment horizontal="right"/>
    </xf>
    <xf numFmtId="168" fontId="9" fillId="0" borderId="0" xfId="0" applyNumberFormat="1" applyFont="1" applyBorder="1" applyAlignment="1">
      <alignment horizontal="right"/>
    </xf>
    <xf numFmtId="168" fontId="10" fillId="0" borderId="0" xfId="0" applyNumberFormat="1" applyFont="1" applyBorder="1" applyAlignment="1">
      <alignment horizontal="right"/>
    </xf>
    <xf numFmtId="0" fontId="7" fillId="0" borderId="0" xfId="0" applyFont="1" applyBorder="1"/>
    <xf numFmtId="169" fontId="9" fillId="0" borderId="1" xfId="0" applyNumberFormat="1" applyFont="1" applyBorder="1" applyAlignment="1">
      <alignment horizontal="right"/>
    </xf>
    <xf numFmtId="169" fontId="10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0" fontId="8" fillId="3" borderId="3" xfId="0" applyFont="1" applyFill="1" applyBorder="1" applyAlignment="1">
      <alignment vertical="center" wrapText="1"/>
    </xf>
    <xf numFmtId="0" fontId="6" fillId="4" borderId="4" xfId="0" applyFont="1" applyFill="1" applyBorder="1"/>
    <xf numFmtId="0" fontId="6" fillId="0" borderId="4" xfId="0" applyFont="1" applyBorder="1" applyAlignment="1">
      <alignment indent="1"/>
    </xf>
    <xf numFmtId="0" fontId="5" fillId="0" borderId="4" xfId="0" applyFont="1" applyBorder="1" applyAlignment="1">
      <alignment indent="2"/>
    </xf>
    <xf numFmtId="0" fontId="13" fillId="0" borderId="4" xfId="0" applyFont="1" applyBorder="1" applyAlignment="1">
      <alignment indent="2"/>
    </xf>
    <xf numFmtId="0" fontId="5" fillId="0" borderId="4" xfId="0" applyFont="1" applyBorder="1"/>
    <xf numFmtId="0" fontId="6" fillId="5" borderId="4" xfId="0" applyFont="1" applyFill="1" applyBorder="1"/>
    <xf numFmtId="0" fontId="5" fillId="0" borderId="5" xfId="0" applyFont="1" applyBorder="1"/>
    <xf numFmtId="0" fontId="8" fillId="3" borderId="6" xfId="0" applyFont="1" applyFill="1" applyBorder="1" applyAlignment="1">
      <alignment horizontal="right" vertical="center" wrapText="1"/>
    </xf>
    <xf numFmtId="167" fontId="5" fillId="4" borderId="7" xfId="0" applyNumberFormat="1" applyFont="1" applyFill="1" applyBorder="1" applyAlignment="1">
      <alignment horizontal="right"/>
    </xf>
    <xf numFmtId="167" fontId="6" fillId="0" borderId="7" xfId="0" applyNumberFormat="1" applyFont="1" applyBorder="1" applyAlignment="1">
      <alignment horizontal="right"/>
    </xf>
    <xf numFmtId="167" fontId="5" fillId="0" borderId="7" xfId="0" applyNumberFormat="1" applyFont="1" applyBorder="1" applyAlignment="1">
      <alignment horizontal="right"/>
    </xf>
    <xf numFmtId="167" fontId="6" fillId="5" borderId="7" xfId="0" applyNumberFormat="1" applyFont="1" applyFill="1" applyBorder="1" applyAlignment="1">
      <alignment horizontal="right"/>
    </xf>
    <xf numFmtId="167" fontId="5" fillId="0" borderId="8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DD8487-D68F-40B8-BD3D-07E7FB38B21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e498211-85f7-403d-a19e-a560b5b230d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55BA-22F5-46AA-B73B-44E2BD430DBA}">
  <dimension ref="A1:G34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35.28515625" customWidth="1"/>
    <col min="2" max="5" width="14.85546875" customWidth="1"/>
    <col min="6" max="7" width="18.140625" customWidth="1"/>
  </cols>
  <sheetData>
    <row r="1" spans="1:7" ht="18.75" x14ac:dyDescent="0.3">
      <c r="A1" s="26" t="s">
        <v>381</v>
      </c>
      <c r="B1" s="18"/>
      <c r="C1" s="18"/>
      <c r="D1" s="18"/>
      <c r="E1" s="18"/>
      <c r="F1" s="18"/>
      <c r="G1" s="18"/>
    </row>
    <row r="2" spans="1:7" ht="30" customHeight="1" x14ac:dyDescent="0.25">
      <c r="A2" s="30" t="s">
        <v>382</v>
      </c>
      <c r="B2" s="7" t="s">
        <v>383</v>
      </c>
      <c r="C2" s="7" t="s">
        <v>384</v>
      </c>
      <c r="D2" s="7" t="s">
        <v>385</v>
      </c>
      <c r="E2" s="7" t="s">
        <v>386</v>
      </c>
      <c r="F2" s="7" t="s">
        <v>387</v>
      </c>
      <c r="G2" s="38" t="s">
        <v>388</v>
      </c>
    </row>
    <row r="3" spans="1:7" x14ac:dyDescent="0.25">
      <c r="A3" s="31" t="s">
        <v>389</v>
      </c>
      <c r="B3" s="8">
        <f>'SPG Segments'!D22</f>
        <v>29151</v>
      </c>
      <c r="C3" s="8">
        <f>'SPG Segments'!H22</f>
        <v>29568</v>
      </c>
      <c r="D3" s="8">
        <f>'SPG Segments'!I22</f>
        <v>29229.46</v>
      </c>
      <c r="E3" s="9"/>
      <c r="F3" s="10" t="str">
        <f>IF(E3="","",(E3-B3)/B3)</f>
        <v/>
      </c>
      <c r="G3" s="39" t="str">
        <f>IF(E3="","",(E3-D3)/ABS(D3))</f>
        <v/>
      </c>
    </row>
    <row r="4" spans="1:7" x14ac:dyDescent="0.25">
      <c r="A4" s="32" t="s">
        <v>390</v>
      </c>
      <c r="B4" s="11">
        <f>'SPG Conn &amp; Platforms'!D49</f>
        <v>20212</v>
      </c>
      <c r="C4" s="11">
        <f>'SPG Conn &amp; Platforms'!H49</f>
        <v>19795</v>
      </c>
      <c r="D4" s="11">
        <f>'SPG Conn &amp; Platforms'!I49</f>
        <v>19677.91</v>
      </c>
      <c r="E4" s="12"/>
      <c r="F4" s="13" t="str">
        <f>IF(E4="","",(E4-B4)/B4)</f>
        <v/>
      </c>
      <c r="G4" s="40" t="str">
        <f>IF(E4="","",(E4-D4)/ABS(D4))</f>
        <v/>
      </c>
    </row>
    <row r="5" spans="1:7" x14ac:dyDescent="0.25">
      <c r="A5" s="33" t="s">
        <v>391</v>
      </c>
      <c r="B5" s="14">
        <f>'SPG Conn &amp; Platforms'!D64</f>
        <v>17636</v>
      </c>
      <c r="C5" s="14">
        <f>'SPG Conn &amp; Platforms'!H64</f>
        <v>17124</v>
      </c>
      <c r="D5" s="14">
        <f>'SPG Conn &amp; Platforms'!I64</f>
        <v>17027.39</v>
      </c>
      <c r="E5" s="15"/>
      <c r="F5" s="16" t="str">
        <f>IF(E5="","",(E5-B5)/B5)</f>
        <v/>
      </c>
      <c r="G5" s="41" t="str">
        <f>IF(E5="","",(E5-D5)/ABS(D5))</f>
        <v/>
      </c>
    </row>
    <row r="6" spans="1:7" x14ac:dyDescent="0.25">
      <c r="A6" s="34" t="s">
        <v>392</v>
      </c>
      <c r="B6" s="17">
        <f>B7+B8</f>
        <v>7465</v>
      </c>
      <c r="C6" s="17">
        <f>C7+C8</f>
        <v>7287</v>
      </c>
      <c r="D6" s="17">
        <f>D7+D8</f>
        <v>7278.1900000000005</v>
      </c>
      <c r="E6" s="17" t="str">
        <f>IF(OR(E7="",E8=""),"",E7+E8)</f>
        <v/>
      </c>
      <c r="F6" s="16" t="str">
        <f>IF(E6="","",(E6-B6)/B6)</f>
        <v/>
      </c>
      <c r="G6" s="41" t="str">
        <f>IF(E6="","",(E6-D6)/ABS(D6))</f>
        <v/>
      </c>
    </row>
    <row r="7" spans="1:7" x14ac:dyDescent="0.25">
      <c r="A7" s="34" t="s">
        <v>393</v>
      </c>
      <c r="B7" s="14">
        <f>'SPG Conn &amp; Platforms'!D20</f>
        <v>6550</v>
      </c>
      <c r="C7" s="14">
        <f>'SPG Conn &amp; Platforms'!H20</f>
        <v>6280</v>
      </c>
      <c r="D7" s="14">
        <f>'SPG Conn &amp; Platforms'!I20</f>
        <v>6221.77</v>
      </c>
      <c r="E7" s="15"/>
      <c r="F7" s="16" t="str">
        <f>IF(E7="","",(E7-B7)/B7)</f>
        <v/>
      </c>
      <c r="G7" s="41" t="str">
        <f>IF(E7="","",(E7-D7)/ABS(D7))</f>
        <v/>
      </c>
    </row>
    <row r="8" spans="1:7" x14ac:dyDescent="0.25">
      <c r="A8" s="34" t="s">
        <v>394</v>
      </c>
      <c r="B8" s="14">
        <f>'SPG Wireless'!D28</f>
        <v>915</v>
      </c>
      <c r="C8" s="14">
        <f>'SPG Wireless'!H28</f>
        <v>1007</v>
      </c>
      <c r="D8" s="14">
        <f>'SPG Wireless'!I28</f>
        <v>1056.42</v>
      </c>
      <c r="E8" s="15"/>
      <c r="F8" s="16" t="str">
        <f>IF(E8="","",(E8-B8)/B8)</f>
        <v/>
      </c>
      <c r="G8" s="41" t="str">
        <f>IF(E8="","",(E8-D8)/ABS(D8))</f>
        <v/>
      </c>
    </row>
    <row r="9" spans="1:7" x14ac:dyDescent="0.25">
      <c r="A9" s="33" t="s">
        <v>395</v>
      </c>
      <c r="B9" s="14">
        <f>'SPG Conn &amp; Platforms'!D71</f>
        <v>2576</v>
      </c>
      <c r="C9" s="14">
        <f>'SPG Conn &amp; Platforms'!H71</f>
        <v>2671</v>
      </c>
      <c r="D9" s="14">
        <f>'SPG Conn &amp; Platforms'!I71</f>
        <v>2650.53</v>
      </c>
      <c r="E9" s="15"/>
      <c r="F9" s="16" t="str">
        <f>IF(E9="","",(E9-B9)/B9)</f>
        <v/>
      </c>
      <c r="G9" s="41" t="str">
        <f>IF(E9="","",(E9-D9)/ABS(D9))</f>
        <v/>
      </c>
    </row>
    <row r="10" spans="1:7" x14ac:dyDescent="0.25">
      <c r="A10" s="32" t="s">
        <v>396</v>
      </c>
      <c r="B10" s="11">
        <f>'SPG Content &amp; Experiences'!D23</f>
        <v>9897</v>
      </c>
      <c r="C10" s="11">
        <f>'SPG Content &amp; Experiences'!H23</f>
        <v>10728</v>
      </c>
      <c r="D10" s="11">
        <f>'SPG Content &amp; Experiences'!I23</f>
        <v>10519.29</v>
      </c>
      <c r="E10" s="12"/>
      <c r="F10" s="13" t="str">
        <f>IF(E10="","",(E10-B10)/B10)</f>
        <v/>
      </c>
      <c r="G10" s="40" t="str">
        <f>IF(E10="","",(E10-D10)/ABS(D10))</f>
        <v/>
      </c>
    </row>
    <row r="11" spans="1:7" x14ac:dyDescent="0.25">
      <c r="A11" s="33" t="s">
        <v>221</v>
      </c>
      <c r="B11" s="14">
        <f>'SPG Content &amp; Experiences'!D17</f>
        <v>4744</v>
      </c>
      <c r="C11" s="14">
        <f>'SPG Content &amp; Experiences'!H17</f>
        <v>5691</v>
      </c>
      <c r="D11" s="14">
        <f>'SPG Content &amp; Experiences'!I17</f>
        <v>5354.47</v>
      </c>
      <c r="E11" s="15"/>
      <c r="F11" s="16" t="str">
        <f>IF(E11="","",(E11-B11)/B11)</f>
        <v/>
      </c>
      <c r="G11" s="41" t="str">
        <f>IF(E11="","",(E11-D11)/ABS(D11))</f>
        <v/>
      </c>
    </row>
    <row r="12" spans="1:7" x14ac:dyDescent="0.25">
      <c r="A12" s="33" t="s">
        <v>231</v>
      </c>
      <c r="B12" s="14">
        <f>'SPG Content &amp; Experiences'!D18</f>
        <v>3000</v>
      </c>
      <c r="C12" s="14">
        <f>'SPG Content &amp; Experiences'!H18</f>
        <v>3040</v>
      </c>
      <c r="D12" s="14">
        <f>'SPG Content &amp; Experiences'!I18</f>
        <v>3076.95</v>
      </c>
      <c r="E12" s="15"/>
      <c r="F12" s="16" t="str">
        <f>IF(E12="","",(E12-B12)/B12)</f>
        <v/>
      </c>
      <c r="G12" s="41" t="str">
        <f>IF(E12="","",(E12-D12)/ABS(D12))</f>
        <v/>
      </c>
    </row>
    <row r="13" spans="1:7" x14ac:dyDescent="0.25">
      <c r="A13" s="33" t="s">
        <v>397</v>
      </c>
      <c r="B13" s="14">
        <f>'SPG Content &amp; Experiences'!D19</f>
        <v>2717</v>
      </c>
      <c r="C13" s="14">
        <f>'SPG Content &amp; Experiences'!H19</f>
        <v>2413</v>
      </c>
      <c r="D13" s="14">
        <f>'SPG Content &amp; Experiences'!I19</f>
        <v>2668.31</v>
      </c>
      <c r="E13" s="15"/>
      <c r="F13" s="16" t="str">
        <f>IF(E13="","",(E13-B13)/B13)</f>
        <v/>
      </c>
      <c r="G13" s="41" t="str">
        <f>IF(E13="","",(E13-D13)/ABS(D13))</f>
        <v/>
      </c>
    </row>
    <row r="14" spans="1:7" x14ac:dyDescent="0.25">
      <c r="A14" s="35"/>
      <c r="B14" s="19"/>
      <c r="C14" s="19"/>
      <c r="D14" s="19"/>
      <c r="E14" s="19"/>
      <c r="F14" s="16"/>
      <c r="G14" s="41"/>
    </row>
    <row r="15" spans="1:7" x14ac:dyDescent="0.25">
      <c r="A15" s="31" t="s">
        <v>398</v>
      </c>
      <c r="B15" s="8">
        <f>'SPG Segments'!D38</f>
        <v>9038</v>
      </c>
      <c r="C15" s="8">
        <f>'SPG Segments'!H38</f>
        <v>8923</v>
      </c>
      <c r="D15" s="8">
        <f>'SPG Segments'!I38</f>
        <v>8867.61</v>
      </c>
      <c r="E15" s="9"/>
      <c r="F15" s="10" t="str">
        <f>IF(E15="","",(E15-B15)/B15)</f>
        <v/>
      </c>
      <c r="G15" s="39" t="str">
        <f>IF(E15="","",(E15-D15)/ABS(D15))</f>
        <v/>
      </c>
    </row>
    <row r="16" spans="1:7" x14ac:dyDescent="0.25">
      <c r="A16" s="32" t="s">
        <v>390</v>
      </c>
      <c r="B16" s="11">
        <f>'SPG Conn &amp; Platforms'!D54</f>
        <v>7938</v>
      </c>
      <c r="C16" s="11">
        <f>'SPG Conn &amp; Platforms'!H54</f>
        <v>7964</v>
      </c>
      <c r="D16" s="11">
        <f>'SPG Conn &amp; Platforms'!I54</f>
        <v>7568.55</v>
      </c>
      <c r="E16" s="12"/>
      <c r="F16" s="13" t="str">
        <f>IF(E16="","",(E16-B16)/B16)</f>
        <v/>
      </c>
      <c r="G16" s="40" t="str">
        <f>IF(E16="","",(E16-D16)/ABS(D16))</f>
        <v/>
      </c>
    </row>
    <row r="17" spans="1:7" x14ac:dyDescent="0.25">
      <c r="A17" s="33" t="s">
        <v>391</v>
      </c>
      <c r="B17" s="14">
        <f>'SPG Conn &amp; Platforms'!D52</f>
        <v>6484</v>
      </c>
      <c r="C17" s="14">
        <f>'SPG Conn &amp; Platforms'!H52</f>
        <v>6448</v>
      </c>
      <c r="D17" s="14">
        <f>'SPG Conn &amp; Platforms'!I52</f>
        <v>6095.11</v>
      </c>
      <c r="E17" s="15"/>
      <c r="F17" s="16" t="str">
        <f>IF(E17="","",(E17-B17)/B17)</f>
        <v/>
      </c>
      <c r="G17" s="41" t="str">
        <f>IF(E17="","",(E17-D17)/ABS(D17))</f>
        <v/>
      </c>
    </row>
    <row r="18" spans="1:7" x14ac:dyDescent="0.25">
      <c r="A18" s="33" t="s">
        <v>395</v>
      </c>
      <c r="B18" s="14">
        <f>'SPG Conn &amp; Platforms'!D53</f>
        <v>1454</v>
      </c>
      <c r="C18" s="14">
        <f>'SPG Conn &amp; Platforms'!H53</f>
        <v>1516</v>
      </c>
      <c r="D18" s="14">
        <f>'SPG Conn &amp; Platforms'!I53</f>
        <v>1491.75</v>
      </c>
      <c r="E18" s="15"/>
      <c r="F18" s="16" t="str">
        <f>IF(E18="","",(E18-B18)/B18)</f>
        <v/>
      </c>
      <c r="G18" s="41" t="str">
        <f>IF(E18="","",(E18-D18)/ABS(D18))</f>
        <v/>
      </c>
    </row>
    <row r="19" spans="1:7" x14ac:dyDescent="0.25">
      <c r="A19" s="33" t="s">
        <v>399</v>
      </c>
      <c r="B19" s="16">
        <f>B16/B4</f>
        <v>0.39273698792796358</v>
      </c>
      <c r="C19" s="16">
        <f>C16/C4</f>
        <v>0.40232381914624904</v>
      </c>
      <c r="D19" s="16">
        <f>D16/D4</f>
        <v>0.38462163918830811</v>
      </c>
      <c r="E19" s="16" t="str">
        <f>IF(OR(E16="",E4=""),"",E16/E4)</f>
        <v/>
      </c>
      <c r="F19" s="16" t="str">
        <f>IF(E19="","",E19-B19)</f>
        <v/>
      </c>
      <c r="G19" s="41" t="str">
        <f>IF(E19="","",E19-D19)</f>
        <v/>
      </c>
    </row>
    <row r="20" spans="1:7" x14ac:dyDescent="0.25">
      <c r="A20" s="32" t="s">
        <v>396</v>
      </c>
      <c r="B20" s="11">
        <f>'SPG Content &amp; Experiences'!D32</f>
        <v>1392</v>
      </c>
      <c r="C20" s="11">
        <f>'SPG Content &amp; Experiences'!H32</f>
        <v>1329</v>
      </c>
      <c r="D20" s="11">
        <f>'SPG Content &amp; Experiences'!I32</f>
        <v>1609.76</v>
      </c>
      <c r="E20" s="12"/>
      <c r="F20" s="13" t="str">
        <f>IF(E20="","",(E20-B20)/B20)</f>
        <v/>
      </c>
      <c r="G20" s="40" t="str">
        <f>IF(E20="","",(E20-D20)/ABS(D20))</f>
        <v/>
      </c>
    </row>
    <row r="21" spans="1:7" x14ac:dyDescent="0.25">
      <c r="A21" s="33" t="s">
        <v>221</v>
      </c>
      <c r="B21" s="14">
        <f>'SPG Content &amp; Experiences'!D26</f>
        <v>247</v>
      </c>
      <c r="C21" s="14">
        <f>'SPG Content &amp; Experiences'!H26</f>
        <v>708</v>
      </c>
      <c r="D21" s="14">
        <f>'SPG Content &amp; Experiences'!I26</f>
        <v>595.66999999999996</v>
      </c>
      <c r="E21" s="15"/>
      <c r="F21" s="16" t="str">
        <f>IF(E21="","",(E21-B21)/B21)</f>
        <v/>
      </c>
      <c r="G21" s="41" t="str">
        <f>IF(E21="","",(E21-D21)/ABS(D21))</f>
        <v/>
      </c>
    </row>
    <row r="22" spans="1:7" x14ac:dyDescent="0.25">
      <c r="A22" s="33" t="s">
        <v>231</v>
      </c>
      <c r="B22" s="14">
        <f>'SPG Content &amp; Experiences'!D27</f>
        <v>338</v>
      </c>
      <c r="C22" s="14">
        <f>'SPG Content &amp; Experiences'!H27</f>
        <v>202</v>
      </c>
      <c r="D22" s="14">
        <f>'SPG Content &amp; Experiences'!I27</f>
        <v>400.42</v>
      </c>
      <c r="E22" s="15"/>
      <c r="F22" s="16" t="str">
        <f>IF(E22="","",(E22-B22)/B22)</f>
        <v/>
      </c>
      <c r="G22" s="41" t="str">
        <f>IF(E22="","",(E22-D22)/ABS(D22))</f>
        <v/>
      </c>
    </row>
    <row r="23" spans="1:7" x14ac:dyDescent="0.25">
      <c r="A23" s="33" t="s">
        <v>397</v>
      </c>
      <c r="B23" s="14">
        <f>'SPG Content &amp; Experiences'!D28</f>
        <v>940.4</v>
      </c>
      <c r="C23" s="14">
        <f>'SPG Content &amp; Experiences'!H28</f>
        <v>608</v>
      </c>
      <c r="D23" s="14">
        <f>'SPG Content &amp; Experiences'!I28</f>
        <v>789.64</v>
      </c>
      <c r="E23" s="15"/>
      <c r="F23" s="16" t="str">
        <f>IF(E23="","",(E23-B23)/B23)</f>
        <v/>
      </c>
      <c r="G23" s="41" t="str">
        <f>IF(E23="","",(E23-D23)/ABS(D23))</f>
        <v/>
      </c>
    </row>
    <row r="24" spans="1:7" x14ac:dyDescent="0.25">
      <c r="A24" s="33" t="s">
        <v>399</v>
      </c>
      <c r="B24" s="16">
        <f>B20/B10</f>
        <v>0.1406486814186117</v>
      </c>
      <c r="C24" s="16">
        <f>C20/C10</f>
        <v>0.1238814317673378</v>
      </c>
      <c r="D24" s="16">
        <f>D20/D10</f>
        <v>0.15302933943260427</v>
      </c>
      <c r="E24" s="16" t="str">
        <f>IF(OR(E20="",E10=""),"",E20/E10)</f>
        <v/>
      </c>
      <c r="F24" s="16" t="str">
        <f>IF(E24="","",E24-B24)</f>
        <v/>
      </c>
      <c r="G24" s="41" t="str">
        <f>IF(E24="","",E24-D24)</f>
        <v/>
      </c>
    </row>
    <row r="25" spans="1:7" x14ac:dyDescent="0.25">
      <c r="A25" s="35"/>
      <c r="B25" s="19"/>
      <c r="C25" s="19"/>
      <c r="D25" s="19"/>
      <c r="E25" s="19"/>
      <c r="F25" s="16"/>
      <c r="G25" s="41"/>
    </row>
    <row r="26" spans="1:7" x14ac:dyDescent="0.25">
      <c r="A26" s="31" t="s">
        <v>400</v>
      </c>
      <c r="B26" s="20">
        <f>'SPG Income Statement'!D40</f>
        <v>0.95</v>
      </c>
      <c r="C26" s="20">
        <f>'SPG Income Statement'!H40</f>
        <v>1.04</v>
      </c>
      <c r="D26" s="20">
        <f>'SPG Income Statement'!I40</f>
        <v>0.97</v>
      </c>
      <c r="E26" s="21"/>
      <c r="F26" s="10" t="str">
        <f>IF(E26="","",(E26-B26)/B26)</f>
        <v/>
      </c>
      <c r="G26" s="39" t="str">
        <f>IF(E26="","",(E26-D26)/ABS(D26))</f>
        <v/>
      </c>
    </row>
    <row r="27" spans="1:7" x14ac:dyDescent="0.25">
      <c r="A27" s="31" t="s">
        <v>401</v>
      </c>
      <c r="B27" s="8">
        <f>'SPG Free Cash Flow'!D20</f>
        <v>4945</v>
      </c>
      <c r="C27" s="8">
        <f>'SPG Free Cash Flow'!H20</f>
        <v>4604</v>
      </c>
      <c r="D27" s="8">
        <f>'SPG Free Cash Flow'!I20</f>
        <v>3425.71</v>
      </c>
      <c r="E27" s="9"/>
      <c r="F27" s="10" t="str">
        <f>IF(E27="","",(E27-B27)/B27)</f>
        <v/>
      </c>
      <c r="G27" s="39" t="str">
        <f>IF(E27="","",(E27-D27)/ABS(D27))</f>
        <v/>
      </c>
    </row>
    <row r="28" spans="1:7" x14ac:dyDescent="0.25">
      <c r="A28" s="35"/>
      <c r="B28" s="19"/>
      <c r="C28" s="19"/>
      <c r="D28" s="19"/>
      <c r="E28" s="19"/>
      <c r="F28" s="16"/>
      <c r="G28" s="41"/>
    </row>
    <row r="29" spans="1:7" x14ac:dyDescent="0.25">
      <c r="A29" s="36" t="s">
        <v>402</v>
      </c>
      <c r="B29" s="22"/>
      <c r="C29" s="22"/>
      <c r="D29" s="22"/>
      <c r="E29" s="22"/>
      <c r="F29" s="23"/>
      <c r="G29" s="42"/>
    </row>
    <row r="30" spans="1:7" x14ac:dyDescent="0.25">
      <c r="A30" s="35" t="s">
        <v>403</v>
      </c>
      <c r="B30" s="14">
        <f>'SPG C&amp;P Customer Metrics'!D36</f>
        <v>-91</v>
      </c>
      <c r="C30" s="14">
        <f>'SPG C&amp;P Customer Metrics'!H36</f>
        <v>-167</v>
      </c>
      <c r="D30" s="14">
        <f>'SPG C&amp;P Customer Metrics'!I36</f>
        <v>-135.59</v>
      </c>
      <c r="E30" s="15"/>
      <c r="F30" s="16" t="str">
        <f>IF(E30="","",(E30-B30)/B30)</f>
        <v/>
      </c>
      <c r="G30" s="41" t="str">
        <f>IF(E30="","",(E30-D30)/ABS(D30))</f>
        <v/>
      </c>
    </row>
    <row r="31" spans="1:7" x14ac:dyDescent="0.25">
      <c r="A31" s="35" t="s">
        <v>404</v>
      </c>
      <c r="B31" s="24">
        <f>'SPG C&amp;P Customer Metrics'!D46</f>
        <v>75.44</v>
      </c>
      <c r="C31" s="24">
        <f>'SPG C&amp;P Customer Metrics'!H46</f>
        <v>73.27</v>
      </c>
      <c r="D31" s="24">
        <f>'SPG C&amp;P Customer Metrics'!I46</f>
        <v>72.959999999999994</v>
      </c>
      <c r="E31" s="25"/>
      <c r="F31" s="16" t="str">
        <f>IF(E31="","",(E31-B31)/B31)</f>
        <v/>
      </c>
      <c r="G31" s="41" t="str">
        <f>IF(E31="","",(E31-D31)/ABS(D31))</f>
        <v/>
      </c>
    </row>
    <row r="32" spans="1:7" x14ac:dyDescent="0.25">
      <c r="A32" s="35" t="s">
        <v>405</v>
      </c>
      <c r="B32" s="14">
        <f>'SPG C&amp;P Customer Metrics'!D53</f>
        <v>-256</v>
      </c>
      <c r="C32" s="14">
        <f>'SPG C&amp;P Customer Metrics'!H53</f>
        <v>-280</v>
      </c>
      <c r="D32" s="14">
        <f>'SPG C&amp;P Customer Metrics'!I53</f>
        <v>-246.9</v>
      </c>
      <c r="E32" s="15"/>
      <c r="F32" s="16" t="str">
        <f>IF(E32="","",(E32-B32)/B32)</f>
        <v/>
      </c>
      <c r="G32" s="41" t="str">
        <f>IF(E32="","",(E32-D32)/ABS(D32))</f>
        <v/>
      </c>
    </row>
    <row r="33" spans="1:7" x14ac:dyDescent="0.25">
      <c r="A33" s="35" t="s">
        <v>406</v>
      </c>
      <c r="B33" s="14">
        <f>'SPG C&amp;P Customer Metrics'!D50</f>
        <v>414</v>
      </c>
      <c r="C33" s="14">
        <f>'SPG C&amp;P Customer Metrics'!H50</f>
        <v>448</v>
      </c>
      <c r="D33" s="14">
        <f>'SPG C&amp;P Customer Metrics'!I50</f>
        <v>399.29</v>
      </c>
      <c r="E33" s="15"/>
      <c r="F33" s="16" t="str">
        <f>IF(E33="","",(E33-B33)/B33)</f>
        <v/>
      </c>
      <c r="G33" s="41" t="str">
        <f>IF(E33="","",(E33-D33)/ABS(D33))</f>
        <v/>
      </c>
    </row>
    <row r="34" spans="1:7" x14ac:dyDescent="0.25">
      <c r="A34" s="37" t="s">
        <v>407</v>
      </c>
      <c r="B34" s="27">
        <f>'SPG Peacock'!D28/1000</f>
        <v>41</v>
      </c>
      <c r="C34" s="27">
        <f>'SPG Peacock'!H28/1000</f>
        <v>48</v>
      </c>
      <c r="D34" s="27">
        <f>'SPG Peacock'!I28/1000</f>
        <v>48.221879999999999</v>
      </c>
      <c r="E34" s="28"/>
      <c r="F34" s="29" t="str">
        <f>IF(E34="","",(E34-B34)/B34)</f>
        <v/>
      </c>
      <c r="G34" s="43" t="str">
        <f>IF(E34="","",(E34-D34)/ABS(D34))</f>
        <v/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9209-C73C-4A17-B8FB-9D6B44865534}">
  <sheetPr>
    <tabColor theme="6"/>
  </sheetPr>
  <dimension ref="A1"/>
  <sheetViews>
    <sheetView workbookViewId="0">
      <selection activeCell="G33" sqref="G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6A3F-FAEF-4FF4-8189-39CA19C90AD1}">
  <dimension ref="A2:AE43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0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s="3" t="s">
        <v>48</v>
      </c>
      <c r="B16" s="2">
        <v>27865</v>
      </c>
      <c r="C16" s="2">
        <v>28249</v>
      </c>
      <c r="D16" s="2">
        <v>29151</v>
      </c>
      <c r="E16" s="2">
        <v>30287</v>
      </c>
      <c r="F16" s="2">
        <v>115552</v>
      </c>
      <c r="G16" s="2">
        <v>30892</v>
      </c>
      <c r="H16" s="2">
        <v>29568</v>
      </c>
      <c r="I16" s="2">
        <v>29229.46</v>
      </c>
      <c r="J16" s="2">
        <v>30096.76</v>
      </c>
      <c r="K16" s="2">
        <v>119902.79</v>
      </c>
      <c r="L16" s="2">
        <v>29232.16</v>
      </c>
      <c r="M16" s="2">
        <v>29071.52</v>
      </c>
      <c r="N16" s="2">
        <v>28889.77</v>
      </c>
      <c r="O16" s="2">
        <v>30006.17</v>
      </c>
      <c r="P16" s="2">
        <v>117534.94</v>
      </c>
      <c r="Q16" s="2">
        <v>29428.42</v>
      </c>
      <c r="R16" s="2">
        <v>29256.84</v>
      </c>
      <c r="S16" s="2">
        <v>30939.39</v>
      </c>
      <c r="T16" s="2">
        <v>30410.85</v>
      </c>
      <c r="U16" s="2">
        <v>120340.38</v>
      </c>
      <c r="V16" s="2">
        <v>29699.41</v>
      </c>
      <c r="W16" s="2">
        <v>29443.43</v>
      </c>
      <c r="X16" s="2">
        <v>29425.33</v>
      </c>
      <c r="Y16" s="2">
        <v>30534.94</v>
      </c>
      <c r="Z16" s="2">
        <v>119319.01</v>
      </c>
      <c r="AA16" s="2">
        <v>31312.12</v>
      </c>
      <c r="AB16" s="2">
        <v>29925.52</v>
      </c>
      <c r="AC16" s="2">
        <v>29876.6</v>
      </c>
      <c r="AD16" s="2">
        <v>30986.23</v>
      </c>
      <c r="AE16" s="2">
        <v>122294.14</v>
      </c>
    </row>
    <row r="17" spans="1:31" x14ac:dyDescent="0.25">
      <c r="A17" s="3" t="s">
        <v>49</v>
      </c>
      <c r="B17" s="2">
        <v>19170</v>
      </c>
      <c r="C17" s="2">
        <v>18826</v>
      </c>
      <c r="D17" s="2">
        <v>20113</v>
      </c>
      <c r="E17" s="2">
        <v>22989</v>
      </c>
      <c r="F17" s="2">
        <v>81098</v>
      </c>
      <c r="G17" s="2">
        <v>22925</v>
      </c>
      <c r="H17" s="2">
        <v>20645</v>
      </c>
      <c r="I17" s="2">
        <v>20349.169999999998</v>
      </c>
      <c r="J17" s="2">
        <v>22678.22</v>
      </c>
      <c r="K17" s="2">
        <v>86776.23</v>
      </c>
      <c r="L17" s="2">
        <v>21231.38</v>
      </c>
      <c r="M17" s="2">
        <v>20184.310000000001</v>
      </c>
      <c r="N17" s="2">
        <v>19962.22</v>
      </c>
      <c r="O17" s="2">
        <v>22332.76</v>
      </c>
      <c r="P17" s="2">
        <v>84173.96</v>
      </c>
      <c r="Q17" s="2">
        <v>21319.98</v>
      </c>
      <c r="R17" s="2">
        <v>20268.68</v>
      </c>
      <c r="S17" s="2">
        <v>21817.52</v>
      </c>
      <c r="T17" s="2">
        <v>22662.51</v>
      </c>
      <c r="U17" s="2">
        <v>86309.48</v>
      </c>
      <c r="V17" s="2">
        <v>21551.81</v>
      </c>
      <c r="W17" s="2">
        <v>20322.91</v>
      </c>
      <c r="X17" s="2">
        <v>20206.810000000001</v>
      </c>
      <c r="Y17" s="2">
        <v>22686.03</v>
      </c>
      <c r="Z17" s="2">
        <v>85081.04</v>
      </c>
      <c r="AA17" s="2">
        <v>22962.76</v>
      </c>
      <c r="AB17" s="2">
        <v>20655.099999999999</v>
      </c>
      <c r="AC17" s="2">
        <v>20498.39</v>
      </c>
      <c r="AD17" s="2">
        <v>22887.16</v>
      </c>
      <c r="AE17" s="2">
        <v>87294.06</v>
      </c>
    </row>
    <row r="18" spans="1:31" x14ac:dyDescent="0.25">
      <c r="A18" s="3" t="s">
        <v>50</v>
      </c>
      <c r="B18" s="2">
        <v>8695</v>
      </c>
      <c r="C18" s="2">
        <v>9423</v>
      </c>
      <c r="D18" s="2">
        <v>9038</v>
      </c>
      <c r="E18" s="2">
        <v>7298</v>
      </c>
      <c r="F18" s="2">
        <v>34454</v>
      </c>
      <c r="G18" s="2">
        <v>7967</v>
      </c>
      <c r="H18" s="2">
        <v>8923</v>
      </c>
      <c r="I18" s="2">
        <v>8867.61</v>
      </c>
      <c r="J18" s="2">
        <v>7422.42</v>
      </c>
      <c r="K18" s="2">
        <v>33164.19</v>
      </c>
      <c r="L18" s="2">
        <v>8035.64</v>
      </c>
      <c r="M18" s="2">
        <v>8864.77</v>
      </c>
      <c r="N18" s="2">
        <v>8868.4699999999993</v>
      </c>
      <c r="O18" s="2">
        <v>7609</v>
      </c>
      <c r="P18" s="2">
        <v>33333.85</v>
      </c>
      <c r="Q18" s="2">
        <v>8122.09</v>
      </c>
      <c r="R18" s="2">
        <v>8914.82</v>
      </c>
      <c r="S18" s="2">
        <v>9026.42</v>
      </c>
      <c r="T18" s="2">
        <v>7659.09</v>
      </c>
      <c r="U18" s="2">
        <v>33967.78</v>
      </c>
      <c r="V18" s="2">
        <v>8158.34</v>
      </c>
      <c r="W18" s="2">
        <v>8989.6</v>
      </c>
      <c r="X18" s="2">
        <v>9054.84</v>
      </c>
      <c r="Y18" s="2">
        <v>7733.29</v>
      </c>
      <c r="Z18" s="2">
        <v>34127.15</v>
      </c>
      <c r="AA18" s="2">
        <v>8241.84</v>
      </c>
      <c r="AB18" s="2">
        <v>9099.61</v>
      </c>
      <c r="AC18" s="2">
        <v>9198.4599999999991</v>
      </c>
      <c r="AD18" s="2">
        <v>7956.13</v>
      </c>
      <c r="AE18" s="2">
        <v>34809.51</v>
      </c>
    </row>
    <row r="19" spans="1:31" x14ac:dyDescent="0.25">
      <c r="A19" t="s">
        <v>51</v>
      </c>
      <c r="B19" s="2">
        <v>2231</v>
      </c>
      <c r="C19" s="2">
        <v>2349</v>
      </c>
      <c r="D19" s="2">
        <v>2353</v>
      </c>
      <c r="E19" s="2">
        <v>2393</v>
      </c>
      <c r="F19" s="2">
        <v>9326</v>
      </c>
      <c r="G19" s="2">
        <v>2333</v>
      </c>
      <c r="H19" s="2">
        <v>2391</v>
      </c>
      <c r="I19" s="2">
        <v>2349.9699999999998</v>
      </c>
      <c r="J19" s="2">
        <v>2373.61</v>
      </c>
      <c r="K19" s="2">
        <v>9410.61</v>
      </c>
      <c r="L19" s="2">
        <v>2358.11</v>
      </c>
      <c r="M19" s="2">
        <v>2392.0500000000002</v>
      </c>
      <c r="N19" s="2">
        <v>2363.81</v>
      </c>
      <c r="O19" s="2">
        <v>2382.4499999999998</v>
      </c>
      <c r="P19" s="2">
        <v>9582.01</v>
      </c>
      <c r="Q19" s="2">
        <v>2348.5300000000002</v>
      </c>
      <c r="R19" s="2">
        <v>2391.8000000000002</v>
      </c>
      <c r="S19" s="2">
        <v>2412.19</v>
      </c>
      <c r="T19" s="2">
        <v>2444.36</v>
      </c>
      <c r="U19" s="2">
        <v>9744.82</v>
      </c>
      <c r="V19" s="2">
        <v>2430.9</v>
      </c>
      <c r="W19" s="2">
        <v>2465.94</v>
      </c>
      <c r="X19" s="2">
        <v>2423.56</v>
      </c>
      <c r="Y19" s="2">
        <v>2446.11</v>
      </c>
      <c r="Z19" s="2">
        <v>9933.48</v>
      </c>
      <c r="AA19" s="2">
        <v>2435.65</v>
      </c>
      <c r="AB19" s="2">
        <v>2472.84</v>
      </c>
      <c r="AC19" s="2">
        <v>2439.92</v>
      </c>
      <c r="AD19" s="2">
        <v>2463.54</v>
      </c>
      <c r="AE19" s="2">
        <v>10047.780000000001</v>
      </c>
    </row>
    <row r="20" spans="1:31" x14ac:dyDescent="0.25">
      <c r="A20" t="s">
        <v>52</v>
      </c>
      <c r="B20" s="2">
        <v>1618</v>
      </c>
      <c r="C20" s="2">
        <v>1805</v>
      </c>
      <c r="D20" s="2">
        <v>1666</v>
      </c>
      <c r="E20" s="2">
        <v>1794</v>
      </c>
      <c r="F20" s="2">
        <v>6883</v>
      </c>
      <c r="G20" s="2">
        <v>1533</v>
      </c>
      <c r="H20" s="2">
        <v>1297</v>
      </c>
      <c r="I20" s="2">
        <v>1396.77</v>
      </c>
      <c r="J20" s="2">
        <v>1393.85</v>
      </c>
      <c r="K20" s="2">
        <v>5609.59</v>
      </c>
      <c r="L20" s="2">
        <v>1323.38</v>
      </c>
      <c r="M20" s="2">
        <v>1251.75</v>
      </c>
      <c r="N20" s="2">
        <v>1323.6</v>
      </c>
      <c r="O20" s="2">
        <v>1343.82</v>
      </c>
      <c r="P20" s="2">
        <v>5212.58</v>
      </c>
      <c r="Q20" s="2">
        <v>1306.3699999999999</v>
      </c>
      <c r="R20" s="2">
        <v>1279.76</v>
      </c>
      <c r="S20" s="2">
        <v>1346.61</v>
      </c>
      <c r="T20" s="2">
        <v>1329.01</v>
      </c>
      <c r="U20" s="2">
        <v>5176.5</v>
      </c>
      <c r="V20" s="2">
        <v>1303.8699999999999</v>
      </c>
      <c r="W20" s="2">
        <v>1272.44</v>
      </c>
      <c r="X20" s="2">
        <v>1292.96</v>
      </c>
      <c r="Y20" s="2">
        <v>1313.96</v>
      </c>
      <c r="Z20" s="2">
        <v>4946.54</v>
      </c>
      <c r="AA20" s="2">
        <v>1344.75</v>
      </c>
      <c r="AB20" s="2">
        <v>1277.75</v>
      </c>
      <c r="AC20" s="2">
        <v>1296.8599999999999</v>
      </c>
      <c r="AD20" s="2">
        <v>1315.74</v>
      </c>
      <c r="AE20" s="2">
        <v>4953.76</v>
      </c>
    </row>
    <row r="21" spans="1:31" x14ac:dyDescent="0.25">
      <c r="A21" s="3" t="s">
        <v>53</v>
      </c>
      <c r="B21" s="2">
        <v>3849</v>
      </c>
      <c r="C21" s="2">
        <v>4154</v>
      </c>
      <c r="D21" s="2">
        <v>4020</v>
      </c>
      <c r="E21" s="2">
        <v>4187</v>
      </c>
      <c r="F21" s="2">
        <v>16210</v>
      </c>
      <c r="G21" s="2">
        <v>3866</v>
      </c>
      <c r="H21" s="2">
        <v>3688</v>
      </c>
      <c r="I21" s="2">
        <v>3785.68</v>
      </c>
      <c r="J21" s="2">
        <v>3814.22</v>
      </c>
      <c r="K21" s="2">
        <v>15125.74</v>
      </c>
      <c r="L21" s="2">
        <v>3758.04</v>
      </c>
      <c r="M21" s="2">
        <v>3716.72</v>
      </c>
      <c r="N21" s="2">
        <v>3793.71</v>
      </c>
      <c r="O21" s="2">
        <v>3842.65</v>
      </c>
      <c r="P21" s="2">
        <v>15065.61</v>
      </c>
      <c r="Q21" s="2">
        <v>3709.96</v>
      </c>
      <c r="R21" s="2">
        <v>3677.4</v>
      </c>
      <c r="S21" s="2">
        <v>3802.91</v>
      </c>
      <c r="T21" s="2">
        <v>3837.1</v>
      </c>
      <c r="U21" s="2">
        <v>15145.1</v>
      </c>
      <c r="V21" s="2">
        <v>3781.74</v>
      </c>
      <c r="W21" s="2">
        <v>3758.57</v>
      </c>
      <c r="X21" s="2">
        <v>3768.61</v>
      </c>
      <c r="Y21" s="2">
        <v>3810.11</v>
      </c>
      <c r="Z21" s="2">
        <v>15141.66</v>
      </c>
      <c r="AA21" s="2">
        <v>3825.86</v>
      </c>
      <c r="AB21" s="2">
        <v>3773.78</v>
      </c>
      <c r="AC21" s="2">
        <v>3791.01</v>
      </c>
      <c r="AD21" s="2">
        <v>3831.65</v>
      </c>
      <c r="AE21" s="2">
        <v>15263.18</v>
      </c>
    </row>
    <row r="22" spans="1:31" x14ac:dyDescent="0.25">
      <c r="A22" t="s">
        <v>54</v>
      </c>
      <c r="B22" s="2">
        <v>25</v>
      </c>
      <c r="C22" s="2">
        <v>137</v>
      </c>
      <c r="D22" s="2">
        <v>116</v>
      </c>
      <c r="E22" s="2">
        <v>225</v>
      </c>
      <c r="F22" s="2">
        <v>634</v>
      </c>
      <c r="G22" s="2">
        <v>-72</v>
      </c>
      <c r="H22" s="2">
        <v>75</v>
      </c>
      <c r="I22" s="2" t="s">
        <v>55</v>
      </c>
      <c r="J22" s="2" t="s">
        <v>55</v>
      </c>
      <c r="K22" s="2">
        <v>112.12</v>
      </c>
      <c r="L22" s="2" t="s">
        <v>55</v>
      </c>
      <c r="M22" s="2">
        <v>-1</v>
      </c>
      <c r="N22" s="2" t="s">
        <v>55</v>
      </c>
      <c r="O22" s="2" t="s">
        <v>55</v>
      </c>
      <c r="P22" s="2">
        <v>1</v>
      </c>
      <c r="Q22" s="2" t="s">
        <v>55</v>
      </c>
      <c r="R22" s="2" t="s">
        <v>55</v>
      </c>
      <c r="S22" s="2" t="s">
        <v>55</v>
      </c>
      <c r="T22" s="2" t="s">
        <v>55</v>
      </c>
      <c r="U22" s="2">
        <v>1</v>
      </c>
      <c r="V22" s="2" t="s">
        <v>55</v>
      </c>
      <c r="W22" s="2" t="s">
        <v>55</v>
      </c>
      <c r="X22" s="2" t="s">
        <v>55</v>
      </c>
      <c r="Y22" s="2" t="s">
        <v>55</v>
      </c>
      <c r="Z22" s="2">
        <v>1</v>
      </c>
      <c r="AA22" s="2" t="s">
        <v>55</v>
      </c>
      <c r="AB22" s="2" t="s">
        <v>55</v>
      </c>
      <c r="AC22" s="2" t="s">
        <v>55</v>
      </c>
      <c r="AD22" s="2" t="s">
        <v>55</v>
      </c>
      <c r="AE22" s="2">
        <v>1</v>
      </c>
    </row>
    <row r="23" spans="1:31" x14ac:dyDescent="0.25">
      <c r="A23" s="3" t="s">
        <v>56</v>
      </c>
      <c r="B23" s="2">
        <v>23043</v>
      </c>
      <c r="C23" s="2">
        <v>22257</v>
      </c>
      <c r="D23" s="2">
        <v>24250</v>
      </c>
      <c r="E23" s="2">
        <v>27401</v>
      </c>
      <c r="F23" s="2">
        <v>103035</v>
      </c>
      <c r="G23" s="2">
        <v>27322</v>
      </c>
      <c r="H23" s="2">
        <v>24408</v>
      </c>
      <c r="I23" s="2">
        <v>24073.71</v>
      </c>
      <c r="J23" s="2">
        <v>26435.02</v>
      </c>
      <c r="K23" s="2">
        <v>101841.75</v>
      </c>
      <c r="L23" s="2">
        <v>24942.62</v>
      </c>
      <c r="M23" s="2">
        <v>23875.52</v>
      </c>
      <c r="N23" s="2">
        <v>23779.09</v>
      </c>
      <c r="O23" s="2">
        <v>26175.64</v>
      </c>
      <c r="P23" s="2">
        <v>99057.81</v>
      </c>
      <c r="Q23" s="2">
        <v>24992.55</v>
      </c>
      <c r="R23" s="2">
        <v>23950.59</v>
      </c>
      <c r="S23" s="2">
        <v>25641.58</v>
      </c>
      <c r="T23" s="2">
        <v>26495.32</v>
      </c>
      <c r="U23" s="2">
        <v>101305.24</v>
      </c>
      <c r="V23" s="2">
        <v>25289.23</v>
      </c>
      <c r="W23" s="2">
        <v>24114.85</v>
      </c>
      <c r="X23" s="2">
        <v>24053.52</v>
      </c>
      <c r="Y23" s="2">
        <v>26516.51</v>
      </c>
      <c r="Z23" s="2">
        <v>100136.37</v>
      </c>
      <c r="AA23" s="2">
        <v>26875.13</v>
      </c>
      <c r="AB23" s="2">
        <v>24469.14</v>
      </c>
      <c r="AC23" s="2">
        <v>24386.86</v>
      </c>
      <c r="AD23" s="2">
        <v>26779.18</v>
      </c>
      <c r="AE23" s="2">
        <v>102468.05</v>
      </c>
    </row>
    <row r="24" spans="1:31" x14ac:dyDescent="0.25">
      <c r="A24" s="3" t="s">
        <v>57</v>
      </c>
      <c r="B24" s="2">
        <v>5658</v>
      </c>
      <c r="C24" s="2">
        <v>5129</v>
      </c>
      <c r="D24" s="2">
        <v>4901</v>
      </c>
      <c r="E24" s="2">
        <v>3488</v>
      </c>
      <c r="F24" s="2">
        <v>20672</v>
      </c>
      <c r="G24" s="2">
        <v>4135</v>
      </c>
      <c r="H24" s="2">
        <v>5160</v>
      </c>
      <c r="I24" s="2">
        <v>5095.43</v>
      </c>
      <c r="J24" s="2">
        <v>3583.71</v>
      </c>
      <c r="K24" s="2">
        <v>17963.32</v>
      </c>
      <c r="L24" s="2">
        <v>4313.42</v>
      </c>
      <c r="M24" s="2">
        <v>5149.3900000000003</v>
      </c>
      <c r="N24" s="2">
        <v>5087.04</v>
      </c>
      <c r="O24" s="2">
        <v>3799.99</v>
      </c>
      <c r="P24" s="2">
        <v>18309.259999999998</v>
      </c>
      <c r="Q24" s="2">
        <v>4477.9399999999996</v>
      </c>
      <c r="R24" s="2">
        <v>5237.51</v>
      </c>
      <c r="S24" s="2">
        <v>5276.56</v>
      </c>
      <c r="T24" s="2">
        <v>3878.54</v>
      </c>
      <c r="U24" s="2">
        <v>18887.330000000002</v>
      </c>
      <c r="V24" s="2">
        <v>4457.46</v>
      </c>
      <c r="W24" s="2">
        <v>5247.35</v>
      </c>
      <c r="X24" s="2">
        <v>5337.06</v>
      </c>
      <c r="Y24" s="2">
        <v>3973.54</v>
      </c>
      <c r="Z24" s="2">
        <v>19022.080000000002</v>
      </c>
      <c r="AA24" s="2">
        <v>4497.55</v>
      </c>
      <c r="AB24" s="2">
        <v>5374.89</v>
      </c>
      <c r="AC24" s="2">
        <v>5455.27</v>
      </c>
      <c r="AD24" s="2">
        <v>4160.79</v>
      </c>
      <c r="AE24" s="2">
        <v>19587.95</v>
      </c>
    </row>
    <row r="25" spans="1:31" x14ac:dyDescent="0.25">
      <c r="A25" t="s">
        <v>58</v>
      </c>
      <c r="B25" s="2">
        <v>1050</v>
      </c>
      <c r="C25" s="2">
        <v>1105</v>
      </c>
      <c r="D25" s="2">
        <v>1128</v>
      </c>
      <c r="E25" s="2">
        <v>1126</v>
      </c>
      <c r="F25" s="2">
        <v>4409</v>
      </c>
      <c r="G25" s="2">
        <v>1094</v>
      </c>
      <c r="H25" s="2">
        <v>1052</v>
      </c>
      <c r="I25" s="2">
        <v>1014.6</v>
      </c>
      <c r="J25" s="2">
        <v>1012.33</v>
      </c>
      <c r="K25" s="2">
        <v>4172.93</v>
      </c>
      <c r="L25" s="2">
        <v>1004.38</v>
      </c>
      <c r="M25" s="2">
        <v>1000.18</v>
      </c>
      <c r="N25" s="2">
        <v>1000.21</v>
      </c>
      <c r="O25" s="2">
        <v>1002.11</v>
      </c>
      <c r="P25" s="2">
        <v>3993.73</v>
      </c>
      <c r="Q25" s="2">
        <v>995.05</v>
      </c>
      <c r="R25" s="2">
        <v>990.43</v>
      </c>
      <c r="S25" s="2">
        <v>993.24</v>
      </c>
      <c r="T25" s="2">
        <v>994.02</v>
      </c>
      <c r="U25" s="2">
        <v>3908.06</v>
      </c>
      <c r="V25" s="2">
        <v>1007.43</v>
      </c>
      <c r="W25" s="2">
        <v>1002.77</v>
      </c>
      <c r="X25" s="2">
        <v>1005.59</v>
      </c>
      <c r="Y25" s="2">
        <v>1005.41</v>
      </c>
      <c r="Z25" s="2">
        <v>3866.16</v>
      </c>
      <c r="AA25" s="2">
        <v>1003.84</v>
      </c>
      <c r="AB25" s="2">
        <v>999.36</v>
      </c>
      <c r="AC25" s="2">
        <v>1002.3</v>
      </c>
      <c r="AD25" s="2">
        <v>1003.24</v>
      </c>
      <c r="AE25" s="2">
        <v>3822.26</v>
      </c>
    </row>
    <row r="26" spans="1:31" x14ac:dyDescent="0.25">
      <c r="A26" t="s">
        <v>59</v>
      </c>
      <c r="B26" s="2">
        <v>-24</v>
      </c>
      <c r="C26" s="2">
        <v>136</v>
      </c>
      <c r="D26" s="2">
        <v>-60</v>
      </c>
      <c r="E26" s="2">
        <v>-72</v>
      </c>
      <c r="F26" s="2">
        <v>-20</v>
      </c>
      <c r="G26" s="2">
        <v>-5</v>
      </c>
      <c r="H26" s="2">
        <v>-13</v>
      </c>
      <c r="I26" s="2">
        <v>-21.9</v>
      </c>
      <c r="J26" s="2">
        <v>-47.5</v>
      </c>
      <c r="K26" s="2">
        <v>-19.71</v>
      </c>
      <c r="L26" s="2">
        <v>-23.61</v>
      </c>
      <c r="M26" s="2">
        <v>-15.96</v>
      </c>
      <c r="N26" s="2">
        <v>-20.25</v>
      </c>
      <c r="O26" s="2">
        <v>-0.91</v>
      </c>
      <c r="P26" s="2">
        <v>105.78</v>
      </c>
      <c r="Q26" s="2" t="s">
        <v>55</v>
      </c>
      <c r="R26" s="2" t="s">
        <v>55</v>
      </c>
      <c r="S26" s="2" t="s">
        <v>55</v>
      </c>
      <c r="T26" s="2" t="s">
        <v>55</v>
      </c>
      <c r="U26" s="2">
        <v>197.68</v>
      </c>
      <c r="V26" s="2" t="s">
        <v>55</v>
      </c>
      <c r="W26" s="2" t="s">
        <v>55</v>
      </c>
      <c r="X26" s="2" t="s">
        <v>55</v>
      </c>
      <c r="Y26" s="2" t="s">
        <v>55</v>
      </c>
      <c r="Z26" s="2">
        <v>221.58</v>
      </c>
      <c r="AA26" s="2" t="s">
        <v>55</v>
      </c>
      <c r="AB26" s="2" t="s">
        <v>55</v>
      </c>
      <c r="AC26" s="2" t="s">
        <v>55</v>
      </c>
      <c r="AD26" s="2" t="s">
        <v>55</v>
      </c>
      <c r="AE26" s="2">
        <v>263.17</v>
      </c>
    </row>
    <row r="27" spans="1:31" x14ac:dyDescent="0.25">
      <c r="A27" t="s">
        <v>60</v>
      </c>
      <c r="B27" s="2">
        <v>102</v>
      </c>
      <c r="C27" s="2">
        <v>9652</v>
      </c>
      <c r="D27" s="2">
        <v>212</v>
      </c>
      <c r="E27" s="2">
        <v>148</v>
      </c>
      <c r="F27" s="2">
        <v>10114</v>
      </c>
      <c r="G27" s="2">
        <v>87</v>
      </c>
      <c r="H27" s="2">
        <v>232</v>
      </c>
      <c r="I27" s="2">
        <v>102.34</v>
      </c>
      <c r="J27" s="2">
        <v>93.51</v>
      </c>
      <c r="K27" s="2">
        <v>361.56</v>
      </c>
      <c r="L27" s="2">
        <v>112.33</v>
      </c>
      <c r="M27" s="2">
        <v>100.07</v>
      </c>
      <c r="N27" s="2">
        <v>111.18</v>
      </c>
      <c r="O27" s="2">
        <v>90.01</v>
      </c>
      <c r="P27" s="2">
        <v>361.38</v>
      </c>
      <c r="Q27" s="2">
        <v>88.73</v>
      </c>
      <c r="R27" s="2">
        <v>88.37</v>
      </c>
      <c r="S27" s="2">
        <v>91.64</v>
      </c>
      <c r="T27" s="2">
        <v>89.85</v>
      </c>
      <c r="U27" s="2">
        <v>356.46</v>
      </c>
      <c r="V27" s="2">
        <v>86.69</v>
      </c>
      <c r="W27" s="2">
        <v>86.24</v>
      </c>
      <c r="X27" s="2">
        <v>89.41</v>
      </c>
      <c r="Y27" s="2">
        <v>87.04</v>
      </c>
      <c r="Z27" s="2">
        <v>341.92</v>
      </c>
      <c r="AA27" s="2">
        <v>83.28</v>
      </c>
      <c r="AB27" s="2">
        <v>84.42</v>
      </c>
      <c r="AC27" s="2">
        <v>89.21</v>
      </c>
      <c r="AD27" s="2">
        <v>88.34</v>
      </c>
      <c r="AE27" s="2">
        <v>334.73</v>
      </c>
    </row>
    <row r="28" spans="1:31" x14ac:dyDescent="0.25">
      <c r="A28" s="3" t="s">
        <v>61</v>
      </c>
      <c r="B28" s="2">
        <v>78</v>
      </c>
      <c r="C28" s="2">
        <v>9788</v>
      </c>
      <c r="D28" s="2">
        <v>152</v>
      </c>
      <c r="E28" s="2">
        <v>76</v>
      </c>
      <c r="F28" s="2">
        <v>10094</v>
      </c>
      <c r="G28" s="2">
        <v>82</v>
      </c>
      <c r="H28" s="2">
        <v>219</v>
      </c>
      <c r="I28" s="2">
        <v>83.58</v>
      </c>
      <c r="J28" s="2">
        <v>65.2</v>
      </c>
      <c r="K28" s="2">
        <v>312.87</v>
      </c>
      <c r="L28" s="2">
        <v>79.099999999999994</v>
      </c>
      <c r="M28" s="2">
        <v>98.72</v>
      </c>
      <c r="N28" s="2">
        <v>100.16</v>
      </c>
      <c r="O28" s="2">
        <v>92.26</v>
      </c>
      <c r="P28" s="2">
        <v>388.63</v>
      </c>
      <c r="Q28" s="2">
        <v>63.04</v>
      </c>
      <c r="R28" s="2">
        <v>113.27</v>
      </c>
      <c r="S28" s="2">
        <v>106.31</v>
      </c>
      <c r="T28" s="2">
        <v>98.47</v>
      </c>
      <c r="U28" s="2">
        <v>426.83</v>
      </c>
      <c r="V28" s="2">
        <v>63.87</v>
      </c>
      <c r="W28" s="2">
        <v>116.59</v>
      </c>
      <c r="X28" s="2">
        <v>109.19</v>
      </c>
      <c r="Y28" s="2">
        <v>100.8</v>
      </c>
      <c r="Z28" s="2">
        <v>432.33</v>
      </c>
      <c r="AA28" s="2">
        <v>64.319999999999993</v>
      </c>
      <c r="AB28" s="2">
        <v>120.2</v>
      </c>
      <c r="AC28" s="2">
        <v>112.93</v>
      </c>
      <c r="AD28" s="2">
        <v>104.65</v>
      </c>
      <c r="AE28" s="2">
        <v>452</v>
      </c>
    </row>
    <row r="29" spans="1:31" x14ac:dyDescent="0.25">
      <c r="A29" t="s">
        <v>62</v>
      </c>
      <c r="B29" s="2">
        <v>-194</v>
      </c>
      <c r="C29" s="2">
        <v>-29</v>
      </c>
      <c r="D29" s="2">
        <v>-90</v>
      </c>
      <c r="E29" s="2">
        <v>-278</v>
      </c>
      <c r="F29" s="2">
        <v>-591</v>
      </c>
      <c r="G29" s="2">
        <v>-391</v>
      </c>
      <c r="H29" s="2">
        <v>285</v>
      </c>
      <c r="I29" s="2">
        <v>-51.39</v>
      </c>
      <c r="J29" s="2">
        <v>-107.99</v>
      </c>
      <c r="K29" s="2">
        <v>-98.55</v>
      </c>
      <c r="L29" s="2">
        <v>-200.45</v>
      </c>
      <c r="M29" s="2">
        <v>172</v>
      </c>
      <c r="N29" s="2">
        <v>-65.650000000000006</v>
      </c>
      <c r="O29" s="2">
        <v>-151.47999999999999</v>
      </c>
      <c r="P29" s="2">
        <v>-155.11000000000001</v>
      </c>
      <c r="Q29" s="2">
        <v>-320.62</v>
      </c>
      <c r="R29" s="2">
        <v>233.7</v>
      </c>
      <c r="S29" s="2">
        <v>-68.040000000000006</v>
      </c>
      <c r="T29" s="2">
        <v>-210.17</v>
      </c>
      <c r="U29" s="2">
        <v>-188.45</v>
      </c>
      <c r="V29" s="2">
        <v>-295.60000000000002</v>
      </c>
      <c r="W29" s="2">
        <v>215.46</v>
      </c>
      <c r="X29" s="2">
        <v>-63.43</v>
      </c>
      <c r="Y29" s="2">
        <v>-195.93</v>
      </c>
      <c r="Z29" s="2">
        <v>-177.97</v>
      </c>
      <c r="AA29" s="2">
        <v>-275.58</v>
      </c>
      <c r="AB29" s="2">
        <v>200.87</v>
      </c>
      <c r="AC29" s="2">
        <v>-59.75</v>
      </c>
      <c r="AD29" s="2">
        <v>-184.55</v>
      </c>
      <c r="AE29" s="2">
        <v>-169.2</v>
      </c>
    </row>
    <row r="30" spans="1:31" x14ac:dyDescent="0.25">
      <c r="A30" s="3" t="s">
        <v>63</v>
      </c>
      <c r="B30" s="2">
        <v>-1166</v>
      </c>
      <c r="C30" s="2">
        <v>8654</v>
      </c>
      <c r="D30" s="2">
        <v>-1066</v>
      </c>
      <c r="E30" s="2">
        <v>-1328</v>
      </c>
      <c r="F30" s="2">
        <v>5094</v>
      </c>
      <c r="G30" s="2">
        <v>-1403</v>
      </c>
      <c r="H30" s="2">
        <v>-548</v>
      </c>
      <c r="I30" s="2">
        <v>-995.08</v>
      </c>
      <c r="J30" s="2">
        <v>-1031.72</v>
      </c>
      <c r="K30" s="2">
        <v>-3979.9</v>
      </c>
      <c r="L30" s="2">
        <v>-1034.1300000000001</v>
      </c>
      <c r="M30" s="2">
        <v>-883.79</v>
      </c>
      <c r="N30" s="2">
        <v>-969.46</v>
      </c>
      <c r="O30" s="2">
        <v>-1006.87</v>
      </c>
      <c r="P30" s="2">
        <v>-3840.86</v>
      </c>
      <c r="Q30" s="2">
        <v>-1051.56</v>
      </c>
      <c r="R30" s="2">
        <v>-889.53</v>
      </c>
      <c r="S30" s="2">
        <v>-970.38</v>
      </c>
      <c r="T30" s="2">
        <v>-1009.64</v>
      </c>
      <c r="U30" s="2">
        <v>-3750.23</v>
      </c>
      <c r="V30" s="2">
        <v>-1064.51</v>
      </c>
      <c r="W30" s="2">
        <v>-891.25</v>
      </c>
      <c r="X30" s="2">
        <v>-976.92</v>
      </c>
      <c r="Y30" s="2">
        <v>-1018.19</v>
      </c>
      <c r="Z30" s="2">
        <v>-3677.98</v>
      </c>
      <c r="AA30" s="2">
        <v>-1055.01</v>
      </c>
      <c r="AB30" s="2">
        <v>-890.45</v>
      </c>
      <c r="AC30" s="2">
        <v>-970.98</v>
      </c>
      <c r="AD30" s="2">
        <v>-1011.11</v>
      </c>
      <c r="AE30" s="2">
        <v>-3615.95</v>
      </c>
    </row>
    <row r="31" spans="1:31" x14ac:dyDescent="0.25">
      <c r="A31" s="3" t="s">
        <v>64</v>
      </c>
      <c r="B31" s="2">
        <v>4492</v>
      </c>
      <c r="C31" s="2">
        <v>13783</v>
      </c>
      <c r="D31" s="2">
        <v>3835</v>
      </c>
      <c r="E31" s="2">
        <v>2160</v>
      </c>
      <c r="F31" s="2">
        <v>25766</v>
      </c>
      <c r="G31" s="2">
        <v>2732</v>
      </c>
      <c r="H31" s="2">
        <v>4612</v>
      </c>
      <c r="I31" s="2">
        <v>4080.04</v>
      </c>
      <c r="J31" s="2">
        <v>2559.64</v>
      </c>
      <c r="K31" s="2">
        <v>13947.19</v>
      </c>
      <c r="L31" s="2">
        <v>3247.61</v>
      </c>
      <c r="M31" s="2">
        <v>4231.33</v>
      </c>
      <c r="N31" s="2">
        <v>4117.58</v>
      </c>
      <c r="O31" s="2">
        <v>2793.12</v>
      </c>
      <c r="P31" s="2">
        <v>14437.94</v>
      </c>
      <c r="Q31" s="2">
        <v>3426.38</v>
      </c>
      <c r="R31" s="2">
        <v>4347.9799999999996</v>
      </c>
      <c r="S31" s="2">
        <v>4306.18</v>
      </c>
      <c r="T31" s="2">
        <v>2868.91</v>
      </c>
      <c r="U31" s="2">
        <v>15084.83</v>
      </c>
      <c r="V31" s="2">
        <v>3392.95</v>
      </c>
      <c r="W31" s="2">
        <v>4356.1099999999997</v>
      </c>
      <c r="X31" s="2">
        <v>4360.1499999999996</v>
      </c>
      <c r="Y31" s="2">
        <v>2955.35</v>
      </c>
      <c r="Z31" s="2">
        <v>15381.58</v>
      </c>
      <c r="AA31" s="2">
        <v>3442.53</v>
      </c>
      <c r="AB31" s="2">
        <v>4484.43</v>
      </c>
      <c r="AC31" s="2">
        <v>4484.29</v>
      </c>
      <c r="AD31" s="2">
        <v>3149.68</v>
      </c>
      <c r="AE31" s="2">
        <v>16002.52</v>
      </c>
    </row>
    <row r="32" spans="1:31" x14ac:dyDescent="0.25">
      <c r="A32" s="3" t="s">
        <v>65</v>
      </c>
      <c r="B32" s="2">
        <v>1196</v>
      </c>
      <c r="C32" s="2">
        <v>3603</v>
      </c>
      <c r="D32" s="2">
        <v>1218</v>
      </c>
      <c r="E32" s="2">
        <v>89</v>
      </c>
      <c r="F32" s="2">
        <v>6106</v>
      </c>
      <c r="G32" s="2">
        <v>706</v>
      </c>
      <c r="H32" s="2">
        <v>1194</v>
      </c>
      <c r="I32" s="2">
        <v>1043.19</v>
      </c>
      <c r="J32" s="2">
        <v>633.55999999999995</v>
      </c>
      <c r="K32" s="2">
        <v>3576.73</v>
      </c>
      <c r="L32" s="2">
        <v>816.86</v>
      </c>
      <c r="M32" s="2">
        <v>1059.07</v>
      </c>
      <c r="N32" s="2">
        <v>1030.94</v>
      </c>
      <c r="O32" s="2">
        <v>702.32</v>
      </c>
      <c r="P32" s="2">
        <v>3687.62</v>
      </c>
      <c r="Q32" s="2">
        <v>882.89</v>
      </c>
      <c r="R32" s="2">
        <v>1113.28</v>
      </c>
      <c r="S32" s="2">
        <v>1104.1400000000001</v>
      </c>
      <c r="T32" s="2">
        <v>739.86</v>
      </c>
      <c r="U32" s="2">
        <v>3881.62</v>
      </c>
      <c r="V32" s="2">
        <v>875.91</v>
      </c>
      <c r="W32" s="2">
        <v>1116.79</v>
      </c>
      <c r="X32" s="2">
        <v>1117.54</v>
      </c>
      <c r="Y32" s="2">
        <v>766.36</v>
      </c>
      <c r="Z32" s="2">
        <v>3962.45</v>
      </c>
      <c r="AA32" s="2">
        <v>888.27</v>
      </c>
      <c r="AB32" s="2">
        <v>1149.73</v>
      </c>
      <c r="AC32" s="2">
        <v>1149.48</v>
      </c>
      <c r="AD32" s="2">
        <v>814.46</v>
      </c>
      <c r="AE32" s="2">
        <v>4119.7299999999996</v>
      </c>
    </row>
    <row r="33" spans="1:31" x14ac:dyDescent="0.25">
      <c r="A33" s="3" t="s">
        <v>66</v>
      </c>
      <c r="B33" s="2">
        <v>3296</v>
      </c>
      <c r="C33" s="2">
        <v>10180</v>
      </c>
      <c r="D33" s="2">
        <v>2617</v>
      </c>
      <c r="E33" s="2">
        <v>2071</v>
      </c>
      <c r="F33" s="2">
        <v>19660</v>
      </c>
      <c r="G33" s="2">
        <v>2026</v>
      </c>
      <c r="H33" s="2">
        <v>3419</v>
      </c>
      <c r="I33" s="2">
        <v>3045.58</v>
      </c>
      <c r="J33" s="2">
        <v>1935.77</v>
      </c>
      <c r="K33" s="2">
        <v>10412.459999999999</v>
      </c>
      <c r="L33" s="2">
        <v>2457.02</v>
      </c>
      <c r="M33" s="2">
        <v>3190.84</v>
      </c>
      <c r="N33" s="2">
        <v>3086.64</v>
      </c>
      <c r="O33" s="2">
        <v>2090.8000000000002</v>
      </c>
      <c r="P33" s="2">
        <v>10788.92</v>
      </c>
      <c r="Q33" s="2">
        <v>2543.5</v>
      </c>
      <c r="R33" s="2">
        <v>3234.82</v>
      </c>
      <c r="S33" s="2">
        <v>3202.03</v>
      </c>
      <c r="T33" s="2">
        <v>2129.0500000000002</v>
      </c>
      <c r="U33" s="2">
        <v>11268.46</v>
      </c>
      <c r="V33" s="2">
        <v>2517.0300000000002</v>
      </c>
      <c r="W33" s="2">
        <v>3239.46</v>
      </c>
      <c r="X33" s="2">
        <v>3242.61</v>
      </c>
      <c r="Y33" s="2">
        <v>2188.9899999999998</v>
      </c>
      <c r="Z33" s="2">
        <v>11419.2</v>
      </c>
      <c r="AA33" s="2">
        <v>2554.2600000000002</v>
      </c>
      <c r="AB33" s="2">
        <v>3334.85</v>
      </c>
      <c r="AC33" s="2">
        <v>3334.81</v>
      </c>
      <c r="AD33" s="2">
        <v>2335.2199999999998</v>
      </c>
      <c r="AE33" s="2">
        <v>11882.86</v>
      </c>
    </row>
    <row r="34" spans="1:31" x14ac:dyDescent="0.25">
      <c r="A34" s="3" t="s">
        <v>67</v>
      </c>
      <c r="B34" s="2">
        <v>-79</v>
      </c>
      <c r="C34" s="2">
        <v>-79</v>
      </c>
      <c r="D34" s="2">
        <v>-83</v>
      </c>
      <c r="E34" s="2">
        <v>-97</v>
      </c>
      <c r="F34" s="2">
        <v>-338</v>
      </c>
      <c r="G34" s="2">
        <v>-147</v>
      </c>
      <c r="H34" s="2">
        <v>-107</v>
      </c>
      <c r="I34" s="2">
        <v>-83.82</v>
      </c>
      <c r="J34" s="2">
        <v>-94.23</v>
      </c>
      <c r="K34" s="2">
        <v>-420.84</v>
      </c>
      <c r="L34" s="2">
        <v>-82.79</v>
      </c>
      <c r="M34" s="2">
        <v>-93.66</v>
      </c>
      <c r="N34" s="2">
        <v>-69.77</v>
      </c>
      <c r="O34" s="2">
        <v>-88.63</v>
      </c>
      <c r="P34" s="2">
        <v>-340.1</v>
      </c>
      <c r="Q34" s="2">
        <v>-79.91</v>
      </c>
      <c r="R34" s="2">
        <v>-89.02</v>
      </c>
      <c r="S34" s="2">
        <v>-51.81</v>
      </c>
      <c r="T34" s="2">
        <v>-76.209999999999994</v>
      </c>
      <c r="U34" s="2">
        <v>-330.62</v>
      </c>
      <c r="V34" s="2">
        <v>-69.92</v>
      </c>
      <c r="W34" s="2">
        <v>-75.08</v>
      </c>
      <c r="X34" s="2">
        <v>-29.34</v>
      </c>
      <c r="Y34" s="2">
        <v>-58</v>
      </c>
      <c r="Z34" s="2">
        <v>-303.39999999999998</v>
      </c>
      <c r="AA34" s="2">
        <v>-71.010000000000005</v>
      </c>
      <c r="AB34" s="2">
        <v>-64.36</v>
      </c>
      <c r="AC34" s="2">
        <v>-12.59</v>
      </c>
      <c r="AD34" s="2">
        <v>-40.46</v>
      </c>
      <c r="AE34" s="2">
        <v>-290</v>
      </c>
    </row>
    <row r="35" spans="1:31" x14ac:dyDescent="0.25">
      <c r="A35" s="3" t="s">
        <v>68</v>
      </c>
      <c r="B35" s="2">
        <v>3375</v>
      </c>
      <c r="C35" s="2">
        <v>10259</v>
      </c>
      <c r="D35" s="2">
        <v>2700</v>
      </c>
      <c r="E35" s="2">
        <v>2168</v>
      </c>
      <c r="F35" s="2">
        <v>19998</v>
      </c>
      <c r="G35" s="2">
        <v>2174</v>
      </c>
      <c r="H35" s="2">
        <v>3526</v>
      </c>
      <c r="I35" s="2">
        <v>3120.67</v>
      </c>
      <c r="J35" s="2">
        <v>2020.31</v>
      </c>
      <c r="K35" s="2">
        <v>10789.06</v>
      </c>
      <c r="L35" s="2">
        <v>2513.54</v>
      </c>
      <c r="M35" s="2">
        <v>3266.01</v>
      </c>
      <c r="N35" s="2">
        <v>3156.41</v>
      </c>
      <c r="O35" s="2">
        <v>2179.4299999999998</v>
      </c>
      <c r="P35" s="2">
        <v>11090.47</v>
      </c>
      <c r="Q35" s="2">
        <v>2623.41</v>
      </c>
      <c r="R35" s="2">
        <v>3323.84</v>
      </c>
      <c r="S35" s="2">
        <v>3253.84</v>
      </c>
      <c r="T35" s="2">
        <v>2205.25</v>
      </c>
      <c r="U35" s="2">
        <v>11533.88</v>
      </c>
      <c r="V35" s="2">
        <v>2586.9499999999998</v>
      </c>
      <c r="W35" s="2">
        <v>3314.55</v>
      </c>
      <c r="X35" s="2">
        <v>3271.95</v>
      </c>
      <c r="Y35" s="2">
        <v>2246.9899999999998</v>
      </c>
      <c r="Z35" s="2">
        <v>11722.6</v>
      </c>
      <c r="AA35" s="2">
        <v>2625.27</v>
      </c>
      <c r="AB35" s="2">
        <v>3399.21</v>
      </c>
      <c r="AC35" s="2">
        <v>3347.39</v>
      </c>
      <c r="AD35" s="2">
        <v>2375.6799999999998</v>
      </c>
      <c r="AE35" s="2">
        <v>12172.86</v>
      </c>
    </row>
    <row r="36" spans="1:31" x14ac:dyDescent="0.25">
      <c r="A36" t="s">
        <v>69</v>
      </c>
      <c r="B36" s="2">
        <v>757</v>
      </c>
      <c r="C36" s="2">
        <v>-6471</v>
      </c>
      <c r="D36" s="2">
        <v>793</v>
      </c>
      <c r="E36" s="2">
        <v>895</v>
      </c>
      <c r="F36" s="2">
        <v>-4026</v>
      </c>
      <c r="G36" s="2">
        <v>690</v>
      </c>
      <c r="H36" s="2">
        <v>185</v>
      </c>
      <c r="I36" s="2">
        <v>382.75</v>
      </c>
      <c r="J36" s="2">
        <v>359.49</v>
      </c>
      <c r="K36" s="2">
        <v>1601.38</v>
      </c>
      <c r="L36" s="2">
        <v>392.53</v>
      </c>
      <c r="M36" s="2">
        <v>362.03</v>
      </c>
      <c r="N36" s="2">
        <v>393.08</v>
      </c>
      <c r="O36" s="2">
        <v>362.77</v>
      </c>
      <c r="P36" s="2">
        <v>1487.87</v>
      </c>
      <c r="Q36" s="2">
        <v>454.55</v>
      </c>
      <c r="R36" s="2">
        <v>354.08</v>
      </c>
      <c r="S36" s="2">
        <v>401.3</v>
      </c>
      <c r="T36" s="2">
        <v>391.95</v>
      </c>
      <c r="U36" s="2">
        <v>1448.02</v>
      </c>
      <c r="V36" s="2">
        <v>468.82</v>
      </c>
      <c r="W36" s="2">
        <v>359.61</v>
      </c>
      <c r="X36" s="2">
        <v>403.01</v>
      </c>
      <c r="Y36" s="2">
        <v>415.82</v>
      </c>
      <c r="Z36" s="2">
        <v>1477.71</v>
      </c>
      <c r="AA36" s="2">
        <v>457.16</v>
      </c>
      <c r="AB36" s="2">
        <v>347.99</v>
      </c>
      <c r="AC36" s="2">
        <v>389.73</v>
      </c>
      <c r="AD36" s="2">
        <v>402.45</v>
      </c>
      <c r="AE36" s="2">
        <v>1444.6</v>
      </c>
    </row>
    <row r="37" spans="1:31" x14ac:dyDescent="0.25">
      <c r="A37" s="3" t="s">
        <v>70</v>
      </c>
      <c r="B37" s="2">
        <v>4132</v>
      </c>
      <c r="C37" s="2">
        <v>4653</v>
      </c>
      <c r="D37" s="2">
        <v>3493</v>
      </c>
      <c r="E37" s="2">
        <v>3062</v>
      </c>
      <c r="F37" s="2">
        <v>15972</v>
      </c>
      <c r="G37" s="2">
        <v>2863</v>
      </c>
      <c r="H37" s="2">
        <v>3710</v>
      </c>
      <c r="I37" s="2">
        <v>3463.72</v>
      </c>
      <c r="J37" s="2">
        <v>2355.12</v>
      </c>
      <c r="K37" s="2">
        <v>12384.21</v>
      </c>
      <c r="L37" s="2">
        <v>2882.53</v>
      </c>
      <c r="M37" s="2">
        <v>3631.29</v>
      </c>
      <c r="N37" s="2">
        <v>3571.25</v>
      </c>
      <c r="O37" s="2">
        <v>2582.3000000000002</v>
      </c>
      <c r="P37" s="2">
        <v>12526.77</v>
      </c>
      <c r="Q37" s="2">
        <v>3077.96</v>
      </c>
      <c r="R37" s="2">
        <v>3677.92</v>
      </c>
      <c r="S37" s="2">
        <v>3655.14</v>
      </c>
      <c r="T37" s="2">
        <v>2597.21</v>
      </c>
      <c r="U37" s="2">
        <v>12942.5</v>
      </c>
      <c r="V37" s="2">
        <v>3055.78</v>
      </c>
      <c r="W37" s="2">
        <v>3674.15</v>
      </c>
      <c r="X37" s="2">
        <v>3674.96</v>
      </c>
      <c r="Y37" s="2">
        <v>2662.81</v>
      </c>
      <c r="Z37" s="2">
        <v>13126.66</v>
      </c>
      <c r="AA37" s="2">
        <v>3082.43</v>
      </c>
      <c r="AB37" s="2">
        <v>3747.19</v>
      </c>
      <c r="AC37" s="2">
        <v>3737.13</v>
      </c>
      <c r="AD37" s="2">
        <v>2778.12</v>
      </c>
      <c r="AE37" s="2">
        <v>13586.02</v>
      </c>
    </row>
    <row r="38" spans="1:31" x14ac:dyDescent="0.25">
      <c r="A38" s="3" t="s">
        <v>71</v>
      </c>
      <c r="B38" s="2">
        <v>0.9</v>
      </c>
      <c r="C38" s="2">
        <v>2.99</v>
      </c>
      <c r="D38" s="2">
        <v>0.91</v>
      </c>
      <c r="E38" s="2">
        <v>0.6</v>
      </c>
      <c r="F38" s="2">
        <v>5.41</v>
      </c>
      <c r="G38" s="2">
        <v>0.61</v>
      </c>
      <c r="H38" s="2">
        <v>0.99</v>
      </c>
      <c r="I38" s="2">
        <v>0.88</v>
      </c>
      <c r="J38" s="2">
        <v>0.55000000000000004</v>
      </c>
      <c r="K38" s="2">
        <v>3.02</v>
      </c>
      <c r="L38" s="2">
        <v>0.7</v>
      </c>
      <c r="M38" s="2">
        <v>0.95</v>
      </c>
      <c r="N38" s="2">
        <v>0.91</v>
      </c>
      <c r="O38" s="2">
        <v>0.64</v>
      </c>
      <c r="P38" s="2">
        <v>3.19</v>
      </c>
      <c r="Q38" s="2">
        <v>0.74</v>
      </c>
      <c r="R38" s="2">
        <v>1.01</v>
      </c>
      <c r="S38" s="2">
        <v>0.96</v>
      </c>
      <c r="T38" s="2">
        <v>0.71</v>
      </c>
      <c r="U38" s="2">
        <v>3.48</v>
      </c>
      <c r="V38" s="2">
        <v>0.78</v>
      </c>
      <c r="W38" s="2">
        <v>1.06</v>
      </c>
      <c r="X38" s="2">
        <v>1.01</v>
      </c>
      <c r="Y38" s="2">
        <v>0.71</v>
      </c>
      <c r="Z38" s="2">
        <v>3.7</v>
      </c>
      <c r="AA38" s="2">
        <v>0.85</v>
      </c>
      <c r="AB38" s="2">
        <v>1.1399999999999999</v>
      </c>
      <c r="AC38" s="2">
        <v>1.08</v>
      </c>
      <c r="AD38" s="2">
        <v>0.78</v>
      </c>
      <c r="AE38" s="2">
        <v>4.1399999999999997</v>
      </c>
    </row>
    <row r="39" spans="1:31" x14ac:dyDescent="0.25">
      <c r="A39" s="3" t="s">
        <v>72</v>
      </c>
      <c r="B39" s="2">
        <v>0.67</v>
      </c>
      <c r="C39" s="2">
        <v>2.75</v>
      </c>
      <c r="D39" s="2">
        <v>0.73</v>
      </c>
      <c r="E39" s="2">
        <v>0.6</v>
      </c>
      <c r="F39" s="2">
        <v>5.39</v>
      </c>
      <c r="G39" s="2">
        <v>0.6</v>
      </c>
      <c r="H39" s="2">
        <v>0.99</v>
      </c>
      <c r="I39" s="2">
        <v>0.88</v>
      </c>
      <c r="J39" s="2">
        <v>0.56000000000000005</v>
      </c>
      <c r="K39" s="2">
        <v>3.01</v>
      </c>
      <c r="L39" s="2">
        <v>0.71</v>
      </c>
      <c r="M39" s="2">
        <v>0.92</v>
      </c>
      <c r="N39" s="2">
        <v>0.9</v>
      </c>
      <c r="O39" s="2">
        <v>0.63</v>
      </c>
      <c r="P39" s="2">
        <v>3.15</v>
      </c>
      <c r="Q39" s="2">
        <v>0.76</v>
      </c>
      <c r="R39" s="2">
        <v>0.98</v>
      </c>
      <c r="S39" s="2">
        <v>0.97</v>
      </c>
      <c r="T39" s="2">
        <v>0.67</v>
      </c>
      <c r="U39" s="2">
        <v>3.44</v>
      </c>
      <c r="V39" s="2">
        <v>0.78</v>
      </c>
      <c r="W39" s="2">
        <v>1.01</v>
      </c>
      <c r="X39" s="2">
        <v>1.02</v>
      </c>
      <c r="Y39" s="2">
        <v>0.71</v>
      </c>
      <c r="Z39" s="2">
        <v>3.64</v>
      </c>
      <c r="AA39" s="2">
        <v>0.84</v>
      </c>
      <c r="AB39" s="2">
        <v>1.0900000000000001</v>
      </c>
      <c r="AC39" s="2">
        <v>1.0900000000000001</v>
      </c>
      <c r="AD39" s="2">
        <v>0.79</v>
      </c>
      <c r="AE39" s="2">
        <v>4</v>
      </c>
    </row>
    <row r="40" spans="1:31" x14ac:dyDescent="0.25">
      <c r="A40" s="3" t="s">
        <v>73</v>
      </c>
      <c r="B40" s="2">
        <v>0.87</v>
      </c>
      <c r="C40" s="2">
        <v>1.02</v>
      </c>
      <c r="D40" s="2">
        <v>0.95</v>
      </c>
      <c r="E40" s="2">
        <v>0.84</v>
      </c>
      <c r="F40" s="2">
        <v>4.3099999999999996</v>
      </c>
      <c r="G40" s="2">
        <v>0.79</v>
      </c>
      <c r="H40" s="2">
        <v>1.04</v>
      </c>
      <c r="I40" s="2">
        <v>0.97</v>
      </c>
      <c r="J40" s="2">
        <v>0.66</v>
      </c>
      <c r="K40" s="2">
        <v>3.46</v>
      </c>
      <c r="L40" s="2">
        <v>0.81</v>
      </c>
      <c r="M40" s="2">
        <v>1.02</v>
      </c>
      <c r="N40" s="2">
        <v>1.02</v>
      </c>
      <c r="O40" s="2">
        <v>0.74</v>
      </c>
      <c r="P40" s="2">
        <v>3.56</v>
      </c>
      <c r="Q40" s="2">
        <v>0.9</v>
      </c>
      <c r="R40" s="2">
        <v>1.08</v>
      </c>
      <c r="S40" s="2">
        <v>1.0900000000000001</v>
      </c>
      <c r="T40" s="2">
        <v>0.78</v>
      </c>
      <c r="U40" s="2">
        <v>3.85</v>
      </c>
      <c r="V40" s="2">
        <v>0.93</v>
      </c>
      <c r="W40" s="2">
        <v>1.1299999999999999</v>
      </c>
      <c r="X40" s="2">
        <v>1.1399999999999999</v>
      </c>
      <c r="Y40" s="2">
        <v>0.84</v>
      </c>
      <c r="Z40" s="2">
        <v>4.08</v>
      </c>
      <c r="AA40" s="2">
        <v>0.98</v>
      </c>
      <c r="AB40" s="2">
        <v>1.21</v>
      </c>
      <c r="AC40" s="2">
        <v>1.22</v>
      </c>
      <c r="AD40" s="2">
        <v>0.92</v>
      </c>
      <c r="AE40" s="2">
        <v>4.47</v>
      </c>
    </row>
    <row r="41" spans="1:31" x14ac:dyDescent="0.25">
      <c r="A41" s="3" t="s">
        <v>74</v>
      </c>
      <c r="B41" s="2">
        <v>3766.02</v>
      </c>
      <c r="C41" s="2">
        <v>3721.12</v>
      </c>
      <c r="D41" s="2">
        <v>3679</v>
      </c>
      <c r="E41" s="2">
        <v>3629</v>
      </c>
      <c r="F41" s="2">
        <v>3699</v>
      </c>
      <c r="G41" s="2">
        <v>3590.54</v>
      </c>
      <c r="H41" s="2">
        <v>3564</v>
      </c>
      <c r="I41" s="2">
        <v>3565.15</v>
      </c>
      <c r="J41" s="2">
        <v>3570.98</v>
      </c>
      <c r="K41" s="2">
        <v>3579.8</v>
      </c>
      <c r="L41" s="2">
        <v>3596.24</v>
      </c>
      <c r="M41" s="2">
        <v>3600.24</v>
      </c>
      <c r="N41" s="2">
        <v>3581.5</v>
      </c>
      <c r="O41" s="2">
        <v>3553.94</v>
      </c>
      <c r="P41" s="2">
        <v>3531.75</v>
      </c>
      <c r="Q41" s="2">
        <v>3516.73</v>
      </c>
      <c r="R41" s="2">
        <v>3474.32</v>
      </c>
      <c r="S41" s="2">
        <v>3432.98</v>
      </c>
      <c r="T41" s="2">
        <v>3392.67</v>
      </c>
      <c r="U41" s="2">
        <v>3398.67</v>
      </c>
      <c r="V41" s="2">
        <v>3352.58</v>
      </c>
      <c r="W41" s="2">
        <v>3314.26</v>
      </c>
      <c r="X41" s="2">
        <v>3276.91</v>
      </c>
      <c r="Y41" s="2">
        <v>3240.51</v>
      </c>
      <c r="Z41" s="2">
        <v>3290.14</v>
      </c>
      <c r="AA41" s="2">
        <v>3204.6</v>
      </c>
      <c r="AB41" s="2">
        <v>3170.58</v>
      </c>
      <c r="AC41" s="2">
        <v>3137.44</v>
      </c>
      <c r="AD41" s="2">
        <v>3105.15</v>
      </c>
      <c r="AE41" s="2">
        <v>3149.85</v>
      </c>
    </row>
    <row r="42" spans="1:31" x14ac:dyDescent="0.25">
      <c r="A42" s="3" t="s">
        <v>75</v>
      </c>
      <c r="B42" s="2">
        <v>3784</v>
      </c>
      <c r="C42" s="2">
        <v>3727</v>
      </c>
      <c r="D42" s="2">
        <v>3689</v>
      </c>
      <c r="E42" s="2">
        <v>3636</v>
      </c>
      <c r="F42" s="2">
        <v>3709</v>
      </c>
      <c r="G42" s="2">
        <v>3617</v>
      </c>
      <c r="H42" s="2">
        <v>3570</v>
      </c>
      <c r="I42" s="2">
        <v>3568.28</v>
      </c>
      <c r="J42" s="2">
        <v>3567.71</v>
      </c>
      <c r="K42" s="2">
        <v>3587.76</v>
      </c>
      <c r="L42" s="2">
        <v>3555.22</v>
      </c>
      <c r="M42" s="2">
        <v>3551.13</v>
      </c>
      <c r="N42" s="2">
        <v>3518.44</v>
      </c>
      <c r="O42" s="2">
        <v>3485.63</v>
      </c>
      <c r="P42" s="2">
        <v>3531.24</v>
      </c>
      <c r="Q42" s="2">
        <v>3445.02</v>
      </c>
      <c r="R42" s="2">
        <v>3403.58</v>
      </c>
      <c r="S42" s="2">
        <v>3361.02</v>
      </c>
      <c r="T42" s="2">
        <v>3321.67</v>
      </c>
      <c r="U42" s="2">
        <v>3383.38</v>
      </c>
      <c r="V42" s="2">
        <v>3316.46</v>
      </c>
      <c r="W42" s="2">
        <v>3280.7</v>
      </c>
      <c r="X42" s="2">
        <v>3243.38</v>
      </c>
      <c r="Y42" s="2">
        <v>3209.02</v>
      </c>
      <c r="Z42" s="2">
        <v>3263.49</v>
      </c>
      <c r="AA42" s="2">
        <v>3176.11</v>
      </c>
      <c r="AB42" s="2">
        <v>3143.89</v>
      </c>
      <c r="AC42" s="2">
        <v>3109.88</v>
      </c>
      <c r="AD42" s="2">
        <v>3078.16</v>
      </c>
      <c r="AE42" s="2">
        <v>3118.75</v>
      </c>
    </row>
    <row r="43" spans="1:31" x14ac:dyDescent="0.25">
      <c r="A43" s="3" t="s">
        <v>76</v>
      </c>
      <c r="B43" s="2">
        <v>0.33</v>
      </c>
      <c r="C43" s="2">
        <v>0.33</v>
      </c>
      <c r="D43" s="2">
        <v>0.33</v>
      </c>
      <c r="E43" s="2">
        <v>0.33</v>
      </c>
      <c r="F43" s="2">
        <v>1.32</v>
      </c>
      <c r="G43" s="2">
        <v>0.33</v>
      </c>
      <c r="H43" s="2">
        <v>0.33</v>
      </c>
      <c r="I43" s="2">
        <v>0.33</v>
      </c>
      <c r="J43" s="2">
        <v>0.33</v>
      </c>
      <c r="K43" s="2">
        <v>1.33</v>
      </c>
      <c r="L43" s="2">
        <v>0.34</v>
      </c>
      <c r="M43" s="2">
        <v>0.35</v>
      </c>
      <c r="N43" s="2">
        <v>0.35</v>
      </c>
      <c r="O43" s="2">
        <v>0.35</v>
      </c>
      <c r="P43" s="2">
        <v>1.39</v>
      </c>
      <c r="Q43" s="2">
        <v>0.36</v>
      </c>
      <c r="R43" s="2">
        <v>0.37</v>
      </c>
      <c r="S43" s="2">
        <v>0.37</v>
      </c>
      <c r="T43" s="2">
        <v>0.37</v>
      </c>
      <c r="U43" s="2">
        <v>1.46</v>
      </c>
      <c r="V43" s="2">
        <v>0.38</v>
      </c>
      <c r="W43" s="2">
        <v>0.39</v>
      </c>
      <c r="X43" s="2">
        <v>0.39</v>
      </c>
      <c r="Y43" s="2">
        <v>0.39</v>
      </c>
      <c r="Z43" s="2">
        <v>1.54</v>
      </c>
      <c r="AA43" s="2">
        <v>0.4</v>
      </c>
      <c r="AB43" s="2">
        <v>0.42</v>
      </c>
      <c r="AC43" s="2">
        <v>0.42</v>
      </c>
      <c r="AD43" s="2">
        <v>0.42</v>
      </c>
      <c r="AE43" s="2">
        <v>1.62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5CD5-4CF1-44C7-AE25-436DC0009A1B}">
  <dimension ref="A2:AE44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77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s="3" t="s">
        <v>78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t="s">
        <v>79</v>
      </c>
      <c r="B17" s="2">
        <v>20161</v>
      </c>
      <c r="C17" s="2">
        <v>20414</v>
      </c>
      <c r="D17" s="2">
        <v>20212</v>
      </c>
      <c r="E17" s="2">
        <v>20282</v>
      </c>
      <c r="F17" s="2">
        <v>81069</v>
      </c>
      <c r="G17" s="2">
        <v>19962</v>
      </c>
      <c r="H17" s="2">
        <v>19795</v>
      </c>
      <c r="I17" s="2">
        <v>19677.91</v>
      </c>
      <c r="J17" s="2">
        <v>19893.98</v>
      </c>
      <c r="K17" s="2">
        <v>79329.570000000007</v>
      </c>
      <c r="L17" s="2">
        <v>19611.38</v>
      </c>
      <c r="M17" s="2">
        <v>19489.810000000001</v>
      </c>
      <c r="N17" s="2">
        <v>19338</v>
      </c>
      <c r="O17" s="2">
        <v>19534.55</v>
      </c>
      <c r="P17" s="2">
        <v>78171.990000000005</v>
      </c>
      <c r="Q17" s="2">
        <v>19508.57</v>
      </c>
      <c r="R17" s="2">
        <v>19392.88</v>
      </c>
      <c r="S17" s="2">
        <v>19311.310000000001</v>
      </c>
      <c r="T17" s="2">
        <v>19564.47</v>
      </c>
      <c r="U17" s="2">
        <v>77831.83</v>
      </c>
      <c r="V17" s="2">
        <v>19474.87</v>
      </c>
      <c r="W17" s="2">
        <v>19370.900000000001</v>
      </c>
      <c r="X17" s="2">
        <v>19255.8</v>
      </c>
      <c r="Y17" s="2">
        <v>19480.689999999999</v>
      </c>
      <c r="Z17" s="2">
        <v>77326.17</v>
      </c>
      <c r="AA17" s="2">
        <v>19502.400000000001</v>
      </c>
      <c r="AB17" s="2">
        <v>19416.88</v>
      </c>
      <c r="AC17" s="2">
        <v>19329.09</v>
      </c>
      <c r="AD17" s="2">
        <v>19604.16</v>
      </c>
      <c r="AE17" s="2">
        <v>77398.34</v>
      </c>
    </row>
    <row r="18" spans="1:31" x14ac:dyDescent="0.25">
      <c r="A18" t="s">
        <v>80</v>
      </c>
      <c r="B18" s="2">
        <v>8546</v>
      </c>
      <c r="C18" s="2">
        <v>8728</v>
      </c>
      <c r="D18" s="2">
        <v>9897</v>
      </c>
      <c r="E18" s="2">
        <v>10941</v>
      </c>
      <c r="F18" s="2">
        <v>38114</v>
      </c>
      <c r="G18" s="2">
        <v>11941</v>
      </c>
      <c r="H18" s="2">
        <v>10728</v>
      </c>
      <c r="I18" s="2">
        <v>10519.29</v>
      </c>
      <c r="J18" s="2">
        <v>11188.49</v>
      </c>
      <c r="K18" s="2">
        <v>44372.14</v>
      </c>
      <c r="L18" s="2">
        <v>10500.26</v>
      </c>
      <c r="M18" s="2">
        <v>10471.82</v>
      </c>
      <c r="N18" s="2">
        <v>10540.21</v>
      </c>
      <c r="O18" s="2">
        <v>11446.38</v>
      </c>
      <c r="P18" s="2">
        <v>43316.08</v>
      </c>
      <c r="Q18" s="2">
        <v>10879.31</v>
      </c>
      <c r="R18" s="2">
        <v>10821.01</v>
      </c>
      <c r="S18" s="2">
        <v>12674.61</v>
      </c>
      <c r="T18" s="2">
        <v>11823.91</v>
      </c>
      <c r="U18" s="2">
        <v>46512.26</v>
      </c>
      <c r="V18" s="2">
        <v>11200.91</v>
      </c>
      <c r="W18" s="2">
        <v>11037.75</v>
      </c>
      <c r="X18" s="2">
        <v>11171.84</v>
      </c>
      <c r="Y18" s="2">
        <v>12042.92</v>
      </c>
      <c r="Z18" s="2">
        <v>46069.93</v>
      </c>
      <c r="AA18" s="2">
        <v>12826.75</v>
      </c>
      <c r="AB18" s="2">
        <v>11486.95</v>
      </c>
      <c r="AC18" s="2">
        <v>11564.81</v>
      </c>
      <c r="AD18" s="2">
        <v>12386.32</v>
      </c>
      <c r="AE18" s="2">
        <v>49005.919999999998</v>
      </c>
    </row>
    <row r="19" spans="1:31" x14ac:dyDescent="0.25">
      <c r="A19" t="s">
        <v>81</v>
      </c>
      <c r="B19" s="2">
        <v>390</v>
      </c>
      <c r="C19" s="2">
        <v>322</v>
      </c>
      <c r="D19" s="2">
        <v>315</v>
      </c>
      <c r="E19" s="2">
        <v>379</v>
      </c>
      <c r="F19" s="2">
        <v>1406</v>
      </c>
      <c r="G19" s="2">
        <v>424</v>
      </c>
      <c r="H19" s="2">
        <v>368</v>
      </c>
      <c r="I19" s="2">
        <v>331.91</v>
      </c>
      <c r="J19" s="2">
        <v>371.72</v>
      </c>
      <c r="K19" s="2">
        <v>1598.54</v>
      </c>
      <c r="L19" s="2">
        <v>404.79</v>
      </c>
      <c r="M19" s="2">
        <v>365.8</v>
      </c>
      <c r="N19" s="2">
        <v>331.89</v>
      </c>
      <c r="O19" s="2">
        <v>374.11</v>
      </c>
      <c r="P19" s="2">
        <v>1481.95</v>
      </c>
      <c r="Q19" s="2">
        <v>391.06</v>
      </c>
      <c r="R19" s="2">
        <v>349.95</v>
      </c>
      <c r="S19" s="2">
        <v>312.27999999999997</v>
      </c>
      <c r="T19" s="2">
        <v>359.35</v>
      </c>
      <c r="U19" s="2">
        <v>1480.75</v>
      </c>
      <c r="V19" s="2">
        <v>386.99</v>
      </c>
      <c r="W19" s="2">
        <v>347.44</v>
      </c>
      <c r="X19" s="2">
        <v>311.54000000000002</v>
      </c>
      <c r="Y19" s="2">
        <v>357.71</v>
      </c>
      <c r="Z19" s="2">
        <v>1481.27</v>
      </c>
      <c r="AA19" s="2">
        <v>387.97</v>
      </c>
      <c r="AB19" s="2">
        <v>347.68</v>
      </c>
      <c r="AC19" s="2">
        <v>311.08999999999997</v>
      </c>
      <c r="AD19" s="2">
        <v>358.33</v>
      </c>
      <c r="AE19" s="2">
        <v>1488.61</v>
      </c>
    </row>
    <row r="20" spans="1:31" x14ac:dyDescent="0.25">
      <c r="A20" t="s">
        <v>82</v>
      </c>
      <c r="B20" s="2">
        <v>-1231</v>
      </c>
      <c r="C20" s="2">
        <v>-1217</v>
      </c>
      <c r="D20" s="2">
        <v>-1273</v>
      </c>
      <c r="E20" s="2">
        <v>-1315</v>
      </c>
      <c r="F20" s="2">
        <v>-5036</v>
      </c>
      <c r="G20" s="2">
        <v>-1435</v>
      </c>
      <c r="H20" s="2">
        <v>-1324</v>
      </c>
      <c r="I20" s="2">
        <v>-1306.51</v>
      </c>
      <c r="J20" s="2">
        <v>-1348.61</v>
      </c>
      <c r="K20" s="2">
        <v>-5417.1</v>
      </c>
      <c r="L20" s="2">
        <v>-1366.65</v>
      </c>
      <c r="M20" s="2">
        <v>-1330.36</v>
      </c>
      <c r="N20" s="2">
        <v>-1319.45</v>
      </c>
      <c r="O20" s="2">
        <v>-1352.74</v>
      </c>
      <c r="P20" s="2">
        <v>-5343.01</v>
      </c>
      <c r="Q20" s="2">
        <v>-1343.16</v>
      </c>
      <c r="R20" s="2">
        <v>-1307.1400000000001</v>
      </c>
      <c r="S20" s="2">
        <v>-1365.85</v>
      </c>
      <c r="T20" s="2">
        <v>-1342.81</v>
      </c>
      <c r="U20" s="2">
        <v>-5447.51</v>
      </c>
      <c r="V20" s="2">
        <v>-1357.6</v>
      </c>
      <c r="W20" s="2">
        <v>-1314.19</v>
      </c>
      <c r="X20" s="2">
        <v>-1314.71</v>
      </c>
      <c r="Y20" s="2">
        <v>-1355.16</v>
      </c>
      <c r="Z20" s="2">
        <v>-5469.96</v>
      </c>
      <c r="AA20" s="2">
        <v>-1406.01</v>
      </c>
      <c r="AB20" s="2">
        <v>-1329.72</v>
      </c>
      <c r="AC20" s="2">
        <v>-1331.72</v>
      </c>
      <c r="AD20" s="2">
        <v>-1373.95</v>
      </c>
      <c r="AE20" s="2">
        <v>-5616.33</v>
      </c>
    </row>
    <row r="21" spans="1:31" x14ac:dyDescent="0.25">
      <c r="A21" s="3" t="s">
        <v>83</v>
      </c>
      <c r="B21" s="2">
        <v>-841</v>
      </c>
      <c r="C21" s="2">
        <v>-895</v>
      </c>
      <c r="D21" s="2">
        <v>-958</v>
      </c>
      <c r="E21" s="2">
        <v>-936</v>
      </c>
      <c r="F21" s="2">
        <v>-3630</v>
      </c>
      <c r="G21" s="2">
        <v>-1011</v>
      </c>
      <c r="H21" s="2">
        <v>-956</v>
      </c>
      <c r="I21" s="2">
        <v>-976.59</v>
      </c>
      <c r="J21" s="2">
        <v>-974.37</v>
      </c>
      <c r="K21" s="2">
        <v>-3828.49</v>
      </c>
      <c r="L21" s="2">
        <v>-966.33</v>
      </c>
      <c r="M21" s="2">
        <v>-963.79</v>
      </c>
      <c r="N21" s="2">
        <v>-988.44</v>
      </c>
      <c r="O21" s="2">
        <v>-974.75</v>
      </c>
      <c r="P21" s="2">
        <v>-3885.57</v>
      </c>
      <c r="Q21" s="2">
        <v>-959.47</v>
      </c>
      <c r="R21" s="2">
        <v>-957.05</v>
      </c>
      <c r="S21" s="2">
        <v>-1046.53</v>
      </c>
      <c r="T21" s="2">
        <v>-977.53</v>
      </c>
      <c r="U21" s="2">
        <v>-3990.43</v>
      </c>
      <c r="V21" s="2">
        <v>-976.38</v>
      </c>
      <c r="W21" s="2">
        <v>-965.22</v>
      </c>
      <c r="X21" s="2">
        <v>-1002.32</v>
      </c>
      <c r="Y21" s="2">
        <v>-988.67</v>
      </c>
      <c r="Z21" s="2">
        <v>-3982.79</v>
      </c>
      <c r="AA21" s="2">
        <v>-1017.03</v>
      </c>
      <c r="AB21" s="2">
        <v>-978.32</v>
      </c>
      <c r="AC21" s="2">
        <v>-1017.3</v>
      </c>
      <c r="AD21" s="2">
        <v>-1004.25</v>
      </c>
      <c r="AE21" s="2">
        <v>-4112.5600000000004</v>
      </c>
    </row>
    <row r="22" spans="1:31" x14ac:dyDescent="0.25">
      <c r="A22" s="3" t="s">
        <v>48</v>
      </c>
      <c r="B22" s="2">
        <v>27865</v>
      </c>
      <c r="C22" s="2">
        <v>28249</v>
      </c>
      <c r="D22" s="2">
        <v>29151</v>
      </c>
      <c r="E22" s="2">
        <v>30287</v>
      </c>
      <c r="F22" s="2">
        <v>115552</v>
      </c>
      <c r="G22" s="2">
        <v>30892</v>
      </c>
      <c r="H22" s="2">
        <v>29568</v>
      </c>
      <c r="I22" s="2">
        <v>29229.46</v>
      </c>
      <c r="J22" s="2">
        <v>30096.76</v>
      </c>
      <c r="K22" s="2">
        <v>119902.79</v>
      </c>
      <c r="L22" s="2">
        <v>29232.16</v>
      </c>
      <c r="M22" s="2">
        <v>29071.52</v>
      </c>
      <c r="N22" s="2">
        <v>28889.77</v>
      </c>
      <c r="O22" s="2">
        <v>30006.17</v>
      </c>
      <c r="P22" s="2">
        <v>117534.94</v>
      </c>
      <c r="Q22" s="2">
        <v>29428.42</v>
      </c>
      <c r="R22" s="2">
        <v>29256.84</v>
      </c>
      <c r="S22" s="2">
        <v>30939.39</v>
      </c>
      <c r="T22" s="2">
        <v>30410.85</v>
      </c>
      <c r="U22" s="2">
        <v>120340.38</v>
      </c>
      <c r="V22" s="2">
        <v>29699.41</v>
      </c>
      <c r="W22" s="2">
        <v>29443.43</v>
      </c>
      <c r="X22" s="2">
        <v>29425.33</v>
      </c>
      <c r="Y22" s="2">
        <v>30534.94</v>
      </c>
      <c r="Z22" s="2">
        <v>119319.01</v>
      </c>
      <c r="AA22" s="2">
        <v>31312.12</v>
      </c>
      <c r="AB22" s="2">
        <v>29925.52</v>
      </c>
      <c r="AC22" s="2">
        <v>29876.6</v>
      </c>
      <c r="AD22" s="2">
        <v>30986.23</v>
      </c>
      <c r="AE22" s="2">
        <v>122294.14</v>
      </c>
    </row>
    <row r="23" spans="1:31" x14ac:dyDescent="0.25">
      <c r="A23" s="3" t="s">
        <v>84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s="3" t="s">
        <v>85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t="s">
        <v>86</v>
      </c>
      <c r="B25" s="2">
        <v>11896</v>
      </c>
      <c r="C25" s="2">
        <v>11964</v>
      </c>
      <c r="D25" s="2">
        <v>12274</v>
      </c>
      <c r="E25" s="2">
        <v>12846</v>
      </c>
      <c r="F25" s="2">
        <v>48980</v>
      </c>
      <c r="G25" s="2">
        <v>12053</v>
      </c>
      <c r="H25" s="2">
        <v>11830</v>
      </c>
      <c r="I25" s="2">
        <v>12098.09</v>
      </c>
      <c r="J25" s="2">
        <v>12651.19</v>
      </c>
      <c r="K25" s="2">
        <v>48632.23</v>
      </c>
      <c r="L25" s="2">
        <v>11864.01</v>
      </c>
      <c r="M25" s="2">
        <v>11626.76</v>
      </c>
      <c r="N25" s="2">
        <v>11819.52</v>
      </c>
      <c r="O25" s="2">
        <v>12310.38</v>
      </c>
      <c r="P25" s="2">
        <v>47811</v>
      </c>
      <c r="Q25" s="2">
        <v>11768.39</v>
      </c>
      <c r="R25" s="2">
        <v>11579.72</v>
      </c>
      <c r="S25" s="2">
        <v>11842.3</v>
      </c>
      <c r="T25" s="2">
        <v>12402.32</v>
      </c>
      <c r="U25" s="2">
        <v>47407.11</v>
      </c>
      <c r="V25" s="2">
        <v>11719.49</v>
      </c>
      <c r="W25" s="2">
        <v>11542.93</v>
      </c>
      <c r="X25" s="2">
        <v>11810.46</v>
      </c>
      <c r="Y25" s="2">
        <v>12387.55</v>
      </c>
      <c r="Z25" s="2">
        <v>47028.68</v>
      </c>
      <c r="AA25" s="2">
        <v>11739.86</v>
      </c>
      <c r="AB25" s="2">
        <v>11573.57</v>
      </c>
      <c r="AC25" s="2">
        <v>11857.3</v>
      </c>
      <c r="AD25" s="2">
        <v>12445.9</v>
      </c>
      <c r="AE25" s="2">
        <v>46862.37</v>
      </c>
    </row>
    <row r="26" spans="1:31" x14ac:dyDescent="0.25">
      <c r="A26" t="s">
        <v>87</v>
      </c>
      <c r="B26" s="2">
        <v>7932</v>
      </c>
      <c r="C26" s="2">
        <v>7490</v>
      </c>
      <c r="D26" s="2">
        <v>8507</v>
      </c>
      <c r="E26" s="2">
        <v>10666</v>
      </c>
      <c r="F26" s="2">
        <v>34593</v>
      </c>
      <c r="G26" s="2">
        <v>11609</v>
      </c>
      <c r="H26" s="2">
        <v>9399</v>
      </c>
      <c r="I26" s="2">
        <v>8877.66</v>
      </c>
      <c r="J26" s="2">
        <v>10565.15</v>
      </c>
      <c r="K26" s="2">
        <v>40450.410000000003</v>
      </c>
      <c r="L26" s="2">
        <v>9874.52</v>
      </c>
      <c r="M26" s="2">
        <v>9133.67</v>
      </c>
      <c r="N26" s="2">
        <v>8861.75</v>
      </c>
      <c r="O26" s="2">
        <v>10625.75</v>
      </c>
      <c r="P26" s="2">
        <v>38781.15</v>
      </c>
      <c r="Q26" s="2">
        <v>10069.33</v>
      </c>
      <c r="R26" s="2">
        <v>9362.23</v>
      </c>
      <c r="S26" s="2">
        <v>10765.86</v>
      </c>
      <c r="T26" s="2">
        <v>10830.34</v>
      </c>
      <c r="U26" s="2">
        <v>41330.47</v>
      </c>
      <c r="V26" s="2">
        <v>10331.74</v>
      </c>
      <c r="W26" s="2">
        <v>9490.14</v>
      </c>
      <c r="X26" s="2">
        <v>9144.92</v>
      </c>
      <c r="Y26" s="2">
        <v>10857.68</v>
      </c>
      <c r="Z26" s="2">
        <v>40533.769999999997</v>
      </c>
      <c r="AA26" s="2">
        <v>11810.76</v>
      </c>
      <c r="AB26" s="2">
        <v>9775.61</v>
      </c>
      <c r="AC26" s="2">
        <v>9383.61</v>
      </c>
      <c r="AD26" s="2">
        <v>11028.08</v>
      </c>
      <c r="AE26" s="2">
        <v>42789.96</v>
      </c>
    </row>
    <row r="27" spans="1:31" x14ac:dyDescent="0.25">
      <c r="A27" t="s">
        <v>88</v>
      </c>
      <c r="B27" s="2">
        <v>585</v>
      </c>
      <c r="C27" s="2">
        <v>609</v>
      </c>
      <c r="D27" s="2">
        <v>587</v>
      </c>
      <c r="E27" s="2">
        <v>793</v>
      </c>
      <c r="F27" s="2">
        <v>2574</v>
      </c>
      <c r="G27" s="2">
        <v>669</v>
      </c>
      <c r="H27" s="2">
        <v>742</v>
      </c>
      <c r="I27" s="2">
        <v>632.23</v>
      </c>
      <c r="J27" s="2">
        <v>731.66</v>
      </c>
      <c r="K27" s="2">
        <v>2960.92</v>
      </c>
      <c r="L27" s="2">
        <v>666.15</v>
      </c>
      <c r="M27" s="2">
        <v>712.81</v>
      </c>
      <c r="N27" s="2">
        <v>612.89</v>
      </c>
      <c r="O27" s="2">
        <v>749.49</v>
      </c>
      <c r="P27" s="2">
        <v>2721.19</v>
      </c>
      <c r="Q27" s="2">
        <v>657.26</v>
      </c>
      <c r="R27" s="2">
        <v>744.3</v>
      </c>
      <c r="S27" s="2">
        <v>624.76</v>
      </c>
      <c r="T27" s="2">
        <v>763.27</v>
      </c>
      <c r="U27" s="2">
        <v>2778.89</v>
      </c>
      <c r="V27" s="2">
        <v>661.32</v>
      </c>
      <c r="W27" s="2">
        <v>757.32</v>
      </c>
      <c r="X27" s="2">
        <v>638.54999999999995</v>
      </c>
      <c r="Y27" s="2">
        <v>767.36</v>
      </c>
      <c r="Z27" s="2">
        <v>2812.79</v>
      </c>
      <c r="AA27" s="2">
        <v>666.79</v>
      </c>
      <c r="AB27" s="2">
        <v>767.45</v>
      </c>
      <c r="AC27" s="2">
        <v>641.99</v>
      </c>
      <c r="AD27" s="2">
        <v>775.31</v>
      </c>
      <c r="AE27" s="2">
        <v>2858.12</v>
      </c>
    </row>
    <row r="28" spans="1:31" x14ac:dyDescent="0.25">
      <c r="A28" t="s">
        <v>89</v>
      </c>
      <c r="B28" s="2">
        <v>-1244</v>
      </c>
      <c r="C28" s="2">
        <v>-1237</v>
      </c>
      <c r="D28" s="2">
        <v>-1254</v>
      </c>
      <c r="E28" s="2">
        <v>-1315</v>
      </c>
      <c r="F28" s="2">
        <v>-5050</v>
      </c>
      <c r="G28" s="2">
        <v>-1404</v>
      </c>
      <c r="H28" s="2">
        <v>-1327</v>
      </c>
      <c r="I28" s="2">
        <v>-1303.22</v>
      </c>
      <c r="J28" s="2">
        <v>-1361.05</v>
      </c>
      <c r="K28" s="2">
        <v>-5399.48</v>
      </c>
      <c r="L28" s="2">
        <v>-1390.5</v>
      </c>
      <c r="M28" s="2">
        <v>-1352.2</v>
      </c>
      <c r="N28" s="2">
        <v>-1331.17</v>
      </c>
      <c r="O28" s="2">
        <v>-1377.56</v>
      </c>
      <c r="P28" s="2">
        <v>-5401.57</v>
      </c>
      <c r="Q28" s="2">
        <v>-1400.73</v>
      </c>
      <c r="R28" s="2">
        <v>-1350.35</v>
      </c>
      <c r="S28" s="2">
        <v>-1376.74</v>
      </c>
      <c r="T28" s="2">
        <v>-1401.16</v>
      </c>
      <c r="U28" s="2">
        <v>-5493.57</v>
      </c>
      <c r="V28" s="2">
        <v>-1435.64</v>
      </c>
      <c r="W28" s="2">
        <v>-1392.41</v>
      </c>
      <c r="X28" s="2">
        <v>-1393.66</v>
      </c>
      <c r="Y28" s="2">
        <v>-1461.18</v>
      </c>
      <c r="Z28" s="2">
        <v>-5576.12</v>
      </c>
      <c r="AA28" s="2">
        <v>-1511.44</v>
      </c>
      <c r="AB28" s="2">
        <v>-1431.82</v>
      </c>
      <c r="AC28" s="2">
        <v>-1434.23</v>
      </c>
      <c r="AD28" s="2">
        <v>-1506.52</v>
      </c>
      <c r="AE28" s="2">
        <v>-5750.7</v>
      </c>
    </row>
    <row r="29" spans="1:31" x14ac:dyDescent="0.25">
      <c r="A29" s="3" t="s">
        <v>90</v>
      </c>
      <c r="B29" s="2">
        <v>-659</v>
      </c>
      <c r="C29" s="2">
        <v>-628</v>
      </c>
      <c r="D29" s="2">
        <v>-667</v>
      </c>
      <c r="E29" s="2">
        <v>-522</v>
      </c>
      <c r="F29" s="2">
        <v>-2476</v>
      </c>
      <c r="G29" s="2">
        <v>-735</v>
      </c>
      <c r="H29" s="2">
        <v>-585</v>
      </c>
      <c r="I29" s="2">
        <v>-676.86</v>
      </c>
      <c r="J29" s="2">
        <v>-633.74</v>
      </c>
      <c r="K29" s="2">
        <v>-2462.7600000000002</v>
      </c>
      <c r="L29" s="2">
        <v>-728.93</v>
      </c>
      <c r="M29" s="2">
        <v>-647.71</v>
      </c>
      <c r="N29" s="2">
        <v>-721.9</v>
      </c>
      <c r="O29" s="2">
        <v>-635.30999999999995</v>
      </c>
      <c r="P29" s="2">
        <v>-2698.7</v>
      </c>
      <c r="Q29" s="2">
        <v>-746.97</v>
      </c>
      <c r="R29" s="2">
        <v>-626.04</v>
      </c>
      <c r="S29" s="2">
        <v>-751.03</v>
      </c>
      <c r="T29" s="2">
        <v>-647.52</v>
      </c>
      <c r="U29" s="2">
        <v>-2731.55</v>
      </c>
      <c r="V29" s="2">
        <v>-770.99</v>
      </c>
      <c r="W29" s="2">
        <v>-652.82000000000005</v>
      </c>
      <c r="X29" s="2">
        <v>-753.15</v>
      </c>
      <c r="Y29" s="2">
        <v>-691.86</v>
      </c>
      <c r="Z29" s="2">
        <v>-2777.02</v>
      </c>
      <c r="AA29" s="2">
        <v>-823.74</v>
      </c>
      <c r="AB29" s="2">
        <v>-674.78</v>
      </c>
      <c r="AC29" s="2">
        <v>-780.99</v>
      </c>
      <c r="AD29" s="2">
        <v>-719.91</v>
      </c>
      <c r="AE29" s="2">
        <v>-2893.35</v>
      </c>
    </row>
    <row r="30" spans="1:31" x14ac:dyDescent="0.25">
      <c r="A30" s="3" t="s">
        <v>49</v>
      </c>
      <c r="B30" s="2">
        <v>19170</v>
      </c>
      <c r="C30" s="2">
        <v>18826</v>
      </c>
      <c r="D30" s="2">
        <v>20113</v>
      </c>
      <c r="E30" s="2">
        <v>22989</v>
      </c>
      <c r="F30" s="2">
        <v>81098</v>
      </c>
      <c r="G30" s="2">
        <v>22925</v>
      </c>
      <c r="H30" s="2">
        <v>20645</v>
      </c>
      <c r="I30" s="2">
        <v>20349.169999999998</v>
      </c>
      <c r="J30" s="2">
        <v>22678.22</v>
      </c>
      <c r="K30" s="2">
        <v>86776.23</v>
      </c>
      <c r="L30" s="2">
        <v>21231.38</v>
      </c>
      <c r="M30" s="2">
        <v>20184.310000000001</v>
      </c>
      <c r="N30" s="2">
        <v>19962.22</v>
      </c>
      <c r="O30" s="2">
        <v>22332.76</v>
      </c>
      <c r="P30" s="2">
        <v>84173.96</v>
      </c>
      <c r="Q30" s="2">
        <v>21319.98</v>
      </c>
      <c r="R30" s="2">
        <v>20268.68</v>
      </c>
      <c r="S30" s="2">
        <v>21817.52</v>
      </c>
      <c r="T30" s="2">
        <v>22662.51</v>
      </c>
      <c r="U30" s="2">
        <v>86309.48</v>
      </c>
      <c r="V30" s="2">
        <v>21551.81</v>
      </c>
      <c r="W30" s="2">
        <v>20322.91</v>
      </c>
      <c r="X30" s="2">
        <v>20206.810000000001</v>
      </c>
      <c r="Y30" s="2">
        <v>22686.03</v>
      </c>
      <c r="Z30" s="2">
        <v>85081.04</v>
      </c>
      <c r="AA30" s="2">
        <v>22962.76</v>
      </c>
      <c r="AB30" s="2">
        <v>20655.099999999999</v>
      </c>
      <c r="AC30" s="2">
        <v>20498.39</v>
      </c>
      <c r="AD30" s="2">
        <v>22887.16</v>
      </c>
      <c r="AE30" s="2">
        <v>87294.06</v>
      </c>
    </row>
    <row r="31" spans="1:31" x14ac:dyDescent="0.25">
      <c r="A31" s="3" t="s">
        <v>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3" t="s">
        <v>91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5">
      <c r="A33" t="s">
        <v>92</v>
      </c>
      <c r="B33" s="2">
        <v>8264</v>
      </c>
      <c r="C33" s="2">
        <v>8450</v>
      </c>
      <c r="D33" s="2">
        <v>7938</v>
      </c>
      <c r="E33" s="2">
        <v>7437</v>
      </c>
      <c r="F33" s="2">
        <v>32089</v>
      </c>
      <c r="G33" s="2">
        <v>7910</v>
      </c>
      <c r="H33" s="2">
        <v>7964</v>
      </c>
      <c r="I33" s="2">
        <v>7568.55</v>
      </c>
      <c r="J33" s="2">
        <v>7256.55</v>
      </c>
      <c r="K33" s="2">
        <v>30699.78</v>
      </c>
      <c r="L33" s="2">
        <v>7740.79</v>
      </c>
      <c r="M33" s="2">
        <v>7846.8</v>
      </c>
      <c r="N33" s="2">
        <v>7518.48</v>
      </c>
      <c r="O33" s="2">
        <v>7224.17</v>
      </c>
      <c r="P33" s="2">
        <v>30358.14</v>
      </c>
      <c r="Q33" s="2">
        <v>7740.18</v>
      </c>
      <c r="R33" s="2">
        <v>7813.16</v>
      </c>
      <c r="S33" s="2">
        <v>7469.01</v>
      </c>
      <c r="T33" s="2">
        <v>7162.15</v>
      </c>
      <c r="U33" s="2">
        <v>30414.22</v>
      </c>
      <c r="V33" s="2">
        <v>7755.39</v>
      </c>
      <c r="W33" s="2">
        <v>7827.97</v>
      </c>
      <c r="X33" s="2">
        <v>7445.35</v>
      </c>
      <c r="Y33" s="2">
        <v>7093.15</v>
      </c>
      <c r="Z33" s="2">
        <v>30297.5</v>
      </c>
      <c r="AA33" s="2">
        <v>7762.54</v>
      </c>
      <c r="AB33" s="2">
        <v>7843.31</v>
      </c>
      <c r="AC33" s="2">
        <v>7471.8</v>
      </c>
      <c r="AD33" s="2">
        <v>7158.26</v>
      </c>
      <c r="AE33" s="2">
        <v>30535.97</v>
      </c>
    </row>
    <row r="34" spans="1:31" x14ac:dyDescent="0.25">
      <c r="A34" t="s">
        <v>93</v>
      </c>
      <c r="B34" s="2">
        <v>614</v>
      </c>
      <c r="C34" s="2">
        <v>1241</v>
      </c>
      <c r="D34" s="2">
        <v>1392</v>
      </c>
      <c r="E34" s="2">
        <v>275</v>
      </c>
      <c r="F34" s="2">
        <v>3521</v>
      </c>
      <c r="G34" s="2">
        <v>331</v>
      </c>
      <c r="H34" s="2">
        <v>1329</v>
      </c>
      <c r="I34" s="2">
        <v>1609.76</v>
      </c>
      <c r="J34" s="2">
        <v>581.84</v>
      </c>
      <c r="K34" s="2">
        <v>3848.34</v>
      </c>
      <c r="L34" s="2">
        <v>566.37</v>
      </c>
      <c r="M34" s="2">
        <v>1339.86</v>
      </c>
      <c r="N34" s="2">
        <v>1661.17</v>
      </c>
      <c r="O34" s="2">
        <v>796</v>
      </c>
      <c r="P34" s="2">
        <v>4357.17</v>
      </c>
      <c r="Q34" s="2">
        <v>721.96</v>
      </c>
      <c r="R34" s="2">
        <v>1475.83</v>
      </c>
      <c r="S34" s="2">
        <v>1931.16</v>
      </c>
      <c r="T34" s="2">
        <v>946.86</v>
      </c>
      <c r="U34" s="2">
        <v>5038.68</v>
      </c>
      <c r="V34" s="2">
        <v>763.26</v>
      </c>
      <c r="W34" s="2">
        <v>1561.51</v>
      </c>
      <c r="X34" s="2">
        <v>1989.69</v>
      </c>
      <c r="Y34" s="2">
        <v>1089.93</v>
      </c>
      <c r="Z34" s="2">
        <v>5365.75</v>
      </c>
      <c r="AA34" s="2">
        <v>845.54</v>
      </c>
      <c r="AB34" s="2">
        <v>1697.39</v>
      </c>
      <c r="AC34" s="2">
        <v>2109.6799999999998</v>
      </c>
      <c r="AD34" s="2">
        <v>1241.02</v>
      </c>
      <c r="AE34" s="2">
        <v>5903.78</v>
      </c>
    </row>
    <row r="35" spans="1:31" x14ac:dyDescent="0.25">
      <c r="A35" t="s">
        <v>94</v>
      </c>
      <c r="B35" s="2">
        <v>-195</v>
      </c>
      <c r="C35" s="2">
        <v>-287</v>
      </c>
      <c r="D35" s="2">
        <v>-272</v>
      </c>
      <c r="E35" s="2">
        <v>-414</v>
      </c>
      <c r="F35" s="2">
        <v>-1168</v>
      </c>
      <c r="G35" s="2">
        <v>-244</v>
      </c>
      <c r="H35" s="2">
        <v>-374</v>
      </c>
      <c r="I35" s="2">
        <v>-296.47000000000003</v>
      </c>
      <c r="J35" s="2">
        <v>-400.62</v>
      </c>
      <c r="K35" s="2">
        <v>-1322.21</v>
      </c>
      <c r="L35" s="2">
        <v>-255</v>
      </c>
      <c r="M35" s="2">
        <v>-354.72</v>
      </c>
      <c r="N35" s="2">
        <v>-278.48</v>
      </c>
      <c r="O35" s="2">
        <v>-384.22</v>
      </c>
      <c r="P35" s="2">
        <v>-1252.78</v>
      </c>
      <c r="Q35" s="2">
        <v>-261.79000000000002</v>
      </c>
      <c r="R35" s="2">
        <v>-374.53</v>
      </c>
      <c r="S35" s="2">
        <v>-299.82</v>
      </c>
      <c r="T35" s="2">
        <v>-392</v>
      </c>
      <c r="U35" s="2">
        <v>-1300.5899999999999</v>
      </c>
      <c r="V35" s="2">
        <v>-268.97000000000003</v>
      </c>
      <c r="W35" s="2">
        <v>-382.52</v>
      </c>
      <c r="X35" s="2">
        <v>-307.27999999999997</v>
      </c>
      <c r="Y35" s="2">
        <v>-396.14</v>
      </c>
      <c r="Z35" s="2">
        <v>-1341.9</v>
      </c>
      <c r="AA35" s="2">
        <v>-272.60000000000002</v>
      </c>
      <c r="AB35" s="2">
        <v>-389.66</v>
      </c>
      <c r="AC35" s="2">
        <v>-311.45</v>
      </c>
      <c r="AD35" s="2">
        <v>-402</v>
      </c>
      <c r="AE35" s="2">
        <v>-1374.76</v>
      </c>
    </row>
    <row r="36" spans="1:31" x14ac:dyDescent="0.25">
      <c r="A36" t="s">
        <v>95</v>
      </c>
      <c r="B36" s="2">
        <v>13</v>
      </c>
      <c r="C36" s="2">
        <v>21</v>
      </c>
      <c r="D36" s="2">
        <v>-19</v>
      </c>
      <c r="E36" s="2" t="s">
        <v>55</v>
      </c>
      <c r="F36" s="2">
        <v>13</v>
      </c>
      <c r="G36" s="2">
        <v>-31</v>
      </c>
      <c r="H36" s="2">
        <v>3</v>
      </c>
      <c r="I36" s="2">
        <v>-16.89</v>
      </c>
      <c r="J36" s="2">
        <v>-57.88</v>
      </c>
      <c r="K36" s="2">
        <v>-58.93</v>
      </c>
      <c r="L36" s="2">
        <v>-14.02</v>
      </c>
      <c r="M36" s="2">
        <v>3.53</v>
      </c>
      <c r="N36" s="2">
        <v>-18.57</v>
      </c>
      <c r="O36" s="2">
        <v>-7.2</v>
      </c>
      <c r="P36" s="2">
        <v>-50.4</v>
      </c>
      <c r="Q36" s="2">
        <v>-10.47</v>
      </c>
      <c r="R36" s="2">
        <v>5.05</v>
      </c>
      <c r="S36" s="2">
        <v>-20.11</v>
      </c>
      <c r="T36" s="2" t="s">
        <v>55</v>
      </c>
      <c r="U36" s="2">
        <v>-70.88</v>
      </c>
      <c r="V36" s="2">
        <v>-6.37</v>
      </c>
      <c r="W36" s="2">
        <v>5.5</v>
      </c>
      <c r="X36" s="2">
        <v>-20.350000000000001</v>
      </c>
      <c r="Y36" s="2" t="s">
        <v>55</v>
      </c>
      <c r="Z36" s="2">
        <v>-74.900000000000006</v>
      </c>
      <c r="AA36" s="2">
        <v>-6.84</v>
      </c>
      <c r="AB36" s="2">
        <v>5.54</v>
      </c>
      <c r="AC36" s="2">
        <v>-20.66</v>
      </c>
      <c r="AD36" s="2" t="s">
        <v>55</v>
      </c>
      <c r="AE36" s="2">
        <v>-76.849999999999994</v>
      </c>
    </row>
    <row r="37" spans="1:31" x14ac:dyDescent="0.25">
      <c r="A37" s="3" t="s">
        <v>96</v>
      </c>
      <c r="B37" s="2">
        <v>-181</v>
      </c>
      <c r="C37" s="2">
        <v>-267</v>
      </c>
      <c r="D37" s="2">
        <v>-291</v>
      </c>
      <c r="E37" s="2">
        <v>-414</v>
      </c>
      <c r="F37" s="2">
        <v>-1154</v>
      </c>
      <c r="G37" s="2">
        <v>-276</v>
      </c>
      <c r="H37" s="2">
        <v>-371</v>
      </c>
      <c r="I37" s="2">
        <v>-310.35000000000002</v>
      </c>
      <c r="J37" s="2">
        <v>-409.08</v>
      </c>
      <c r="K37" s="2">
        <v>-1371.9</v>
      </c>
      <c r="L37" s="2">
        <v>-271.94</v>
      </c>
      <c r="M37" s="2">
        <v>-350.1</v>
      </c>
      <c r="N37" s="2">
        <v>-298.89</v>
      </c>
      <c r="O37" s="2">
        <v>-377.52</v>
      </c>
      <c r="P37" s="2">
        <v>-1302.6099999999999</v>
      </c>
      <c r="Q37" s="2">
        <v>-274.23</v>
      </c>
      <c r="R37" s="2">
        <v>-374.09</v>
      </c>
      <c r="S37" s="2">
        <v>-320.7</v>
      </c>
      <c r="T37" s="2">
        <v>-393.37</v>
      </c>
      <c r="U37" s="2">
        <v>-1374.92</v>
      </c>
      <c r="V37" s="2">
        <v>-279.45</v>
      </c>
      <c r="W37" s="2">
        <v>-383.56</v>
      </c>
      <c r="X37" s="2">
        <v>-329.36</v>
      </c>
      <c r="Y37" s="2">
        <v>-399.43</v>
      </c>
      <c r="Z37" s="2">
        <v>-1400.04</v>
      </c>
      <c r="AA37" s="2">
        <v>-284.67</v>
      </c>
      <c r="AB37" s="2">
        <v>-392.04</v>
      </c>
      <c r="AC37" s="2">
        <v>-335.2</v>
      </c>
      <c r="AD37" s="2">
        <v>-406.84</v>
      </c>
      <c r="AE37" s="2">
        <v>-1440.51</v>
      </c>
    </row>
    <row r="38" spans="1:31" x14ac:dyDescent="0.25">
      <c r="A38" s="3" t="s">
        <v>50</v>
      </c>
      <c r="B38" s="2">
        <v>8695</v>
      </c>
      <c r="C38" s="2">
        <v>9423</v>
      </c>
      <c r="D38" s="2">
        <v>9038</v>
      </c>
      <c r="E38" s="2">
        <v>7298</v>
      </c>
      <c r="F38" s="2">
        <v>34454</v>
      </c>
      <c r="G38" s="2">
        <v>7967</v>
      </c>
      <c r="H38" s="2">
        <v>8923</v>
      </c>
      <c r="I38" s="2">
        <v>8867.61</v>
      </c>
      <c r="J38" s="2">
        <v>7422.42</v>
      </c>
      <c r="K38" s="2">
        <v>33164.19</v>
      </c>
      <c r="L38" s="2">
        <v>8035.64</v>
      </c>
      <c r="M38" s="2">
        <v>8864.77</v>
      </c>
      <c r="N38" s="2">
        <v>8868.4699999999993</v>
      </c>
      <c r="O38" s="2">
        <v>7609</v>
      </c>
      <c r="P38" s="2">
        <v>33333.85</v>
      </c>
      <c r="Q38" s="2">
        <v>8122.09</v>
      </c>
      <c r="R38" s="2">
        <v>8914.82</v>
      </c>
      <c r="S38" s="2">
        <v>9026.42</v>
      </c>
      <c r="T38" s="2">
        <v>7659.09</v>
      </c>
      <c r="U38" s="2">
        <v>33967.78</v>
      </c>
      <c r="V38" s="2">
        <v>8158.34</v>
      </c>
      <c r="W38" s="2">
        <v>8989.6</v>
      </c>
      <c r="X38" s="2">
        <v>9054.84</v>
      </c>
      <c r="Y38" s="2">
        <v>7733.29</v>
      </c>
      <c r="Z38" s="2">
        <v>34127.15</v>
      </c>
      <c r="AA38" s="2">
        <v>8241.84</v>
      </c>
      <c r="AB38" s="2">
        <v>9099.61</v>
      </c>
      <c r="AC38" s="2">
        <v>9198.4599999999991</v>
      </c>
      <c r="AD38" s="2">
        <v>7956.13</v>
      </c>
      <c r="AE38" s="2">
        <v>34809.51</v>
      </c>
    </row>
    <row r="39" spans="1:31" x14ac:dyDescent="0.25">
      <c r="A39" s="3" t="s">
        <v>84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3" t="s">
        <v>97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s="3" t="s">
        <v>98</v>
      </c>
      <c r="B41" s="2">
        <v>628.80999999999995</v>
      </c>
      <c r="C41" s="2">
        <v>911.72</v>
      </c>
      <c r="D41" s="2">
        <v>1012.32</v>
      </c>
      <c r="E41" s="2">
        <v>387.26</v>
      </c>
      <c r="F41" s="2">
        <v>3810.48</v>
      </c>
      <c r="G41" s="2">
        <v>713.01</v>
      </c>
      <c r="H41" s="2">
        <v>1192.3900000000001</v>
      </c>
      <c r="I41" s="2">
        <v>1307.33</v>
      </c>
      <c r="J41" s="2">
        <v>664.93</v>
      </c>
      <c r="K41" s="2">
        <v>4924.82</v>
      </c>
      <c r="L41" s="2">
        <v>1764.88</v>
      </c>
      <c r="M41" s="2">
        <v>1228.21</v>
      </c>
      <c r="N41" s="2">
        <v>1440.23</v>
      </c>
      <c r="O41" s="2">
        <v>1583.61</v>
      </c>
      <c r="P41" s="2">
        <v>4402.13</v>
      </c>
      <c r="Q41" s="2" t="s">
        <v>55</v>
      </c>
      <c r="R41" s="2" t="s">
        <v>55</v>
      </c>
      <c r="S41" s="2" t="s">
        <v>55</v>
      </c>
      <c r="T41" s="2" t="s">
        <v>55</v>
      </c>
      <c r="U41" s="2">
        <v>4527.5600000000004</v>
      </c>
      <c r="V41" s="2" t="s">
        <v>55</v>
      </c>
      <c r="W41" s="2" t="s">
        <v>55</v>
      </c>
      <c r="X41" s="2" t="s">
        <v>55</v>
      </c>
      <c r="Y41" s="2" t="s">
        <v>55</v>
      </c>
      <c r="Z41" s="2">
        <v>4862.5200000000004</v>
      </c>
      <c r="AA41" s="2" t="s">
        <v>55</v>
      </c>
      <c r="AB41" s="2" t="s">
        <v>55</v>
      </c>
      <c r="AC41" s="2" t="s">
        <v>55</v>
      </c>
      <c r="AD41" s="2" t="s">
        <v>55</v>
      </c>
      <c r="AE41" s="2">
        <v>5461.25</v>
      </c>
    </row>
    <row r="42" spans="1:31" x14ac:dyDescent="0.25">
      <c r="A42" s="3" t="s">
        <v>99</v>
      </c>
      <c r="B42" s="2">
        <v>256.19</v>
      </c>
      <c r="C42" s="2">
        <v>210.4</v>
      </c>
      <c r="D42" s="2">
        <v>112.97</v>
      </c>
      <c r="E42" s="2">
        <v>-159.97999999999999</v>
      </c>
      <c r="F42" s="2">
        <v>983.23</v>
      </c>
      <c r="G42" s="2">
        <v>195.24</v>
      </c>
      <c r="H42" s="2">
        <v>274.7</v>
      </c>
      <c r="I42" s="2">
        <v>406.48</v>
      </c>
      <c r="J42" s="2">
        <v>57.14</v>
      </c>
      <c r="K42" s="2">
        <v>1359.29</v>
      </c>
      <c r="L42" s="2">
        <v>104.31</v>
      </c>
      <c r="M42" s="2">
        <v>104.14</v>
      </c>
      <c r="N42" s="2">
        <v>116.9</v>
      </c>
      <c r="O42" s="2">
        <v>131.76</v>
      </c>
      <c r="P42" s="2">
        <v>1339.25</v>
      </c>
      <c r="Q42" s="2" t="s">
        <v>55</v>
      </c>
      <c r="R42" s="2" t="s">
        <v>55</v>
      </c>
      <c r="S42" s="2" t="s">
        <v>55</v>
      </c>
      <c r="T42" s="2" t="s">
        <v>55</v>
      </c>
      <c r="U42" s="2">
        <v>1569.47</v>
      </c>
      <c r="V42" s="2" t="s">
        <v>55</v>
      </c>
      <c r="W42" s="2" t="s">
        <v>55</v>
      </c>
      <c r="X42" s="2" t="s">
        <v>55</v>
      </c>
      <c r="Y42" s="2" t="s">
        <v>55</v>
      </c>
      <c r="Z42" s="2">
        <v>1502.12</v>
      </c>
      <c r="AA42" s="2" t="s">
        <v>55</v>
      </c>
      <c r="AB42" s="2" t="s">
        <v>55</v>
      </c>
      <c r="AC42" s="2" t="s">
        <v>55</v>
      </c>
      <c r="AD42" s="2" t="s">
        <v>55</v>
      </c>
      <c r="AE42" s="2">
        <v>1755.56</v>
      </c>
    </row>
    <row r="43" spans="1:31" x14ac:dyDescent="0.25">
      <c r="A43" s="3" t="s">
        <v>100</v>
      </c>
      <c r="B43" s="2">
        <v>7631.05</v>
      </c>
      <c r="C43" s="2">
        <v>7818.21</v>
      </c>
      <c r="D43" s="2">
        <v>7688.96</v>
      </c>
      <c r="E43" s="2">
        <v>7461.49</v>
      </c>
      <c r="F43" s="2">
        <v>30908.62</v>
      </c>
      <c r="G43" s="2">
        <v>6729</v>
      </c>
      <c r="H43" s="2">
        <v>6816.81</v>
      </c>
      <c r="I43" s="2">
        <v>6552.51</v>
      </c>
      <c r="J43" s="2">
        <v>6467.82</v>
      </c>
      <c r="K43" s="2">
        <v>29305.19</v>
      </c>
      <c r="L43" s="2">
        <v>5315.61</v>
      </c>
      <c r="M43" s="2">
        <v>5335.73</v>
      </c>
      <c r="N43" s="2">
        <v>5320.02</v>
      </c>
      <c r="O43" s="2">
        <v>4866.38</v>
      </c>
      <c r="P43" s="2">
        <v>28056.35</v>
      </c>
      <c r="Q43" s="2" t="s">
        <v>55</v>
      </c>
      <c r="R43" s="2" t="s">
        <v>55</v>
      </c>
      <c r="S43" s="2" t="s">
        <v>55</v>
      </c>
      <c r="T43" s="2" t="s">
        <v>55</v>
      </c>
      <c r="U43" s="2">
        <v>32064.63</v>
      </c>
      <c r="V43" s="2" t="s">
        <v>55</v>
      </c>
      <c r="W43" s="2" t="s">
        <v>55</v>
      </c>
      <c r="X43" s="2" t="s">
        <v>55</v>
      </c>
      <c r="Y43" s="2" t="s">
        <v>55</v>
      </c>
      <c r="Z43" s="2">
        <v>31943.14</v>
      </c>
      <c r="AA43" s="2" t="s">
        <v>55</v>
      </c>
      <c r="AB43" s="2" t="s">
        <v>55</v>
      </c>
      <c r="AC43" s="2" t="s">
        <v>55</v>
      </c>
      <c r="AD43" s="2" t="s">
        <v>55</v>
      </c>
      <c r="AE43" s="2">
        <v>32307.11</v>
      </c>
    </row>
    <row r="44" spans="1:31" x14ac:dyDescent="0.25">
      <c r="A44" s="3" t="s">
        <v>101</v>
      </c>
      <c r="B44" s="2">
        <v>173.05</v>
      </c>
      <c r="C44" s="2">
        <v>644.30999999999995</v>
      </c>
      <c r="D44" s="2">
        <v>-25.27</v>
      </c>
      <c r="E44" s="2">
        <v>-231.6</v>
      </c>
      <c r="F44" s="2">
        <v>91.1</v>
      </c>
      <c r="G44" s="2">
        <v>618.83000000000004</v>
      </c>
      <c r="H44" s="2">
        <v>648.61</v>
      </c>
      <c r="I44" s="2">
        <v>508.85</v>
      </c>
      <c r="J44" s="2">
        <v>262.14999999999998</v>
      </c>
      <c r="K44" s="2">
        <v>1143.8399999999999</v>
      </c>
      <c r="L44" s="2">
        <v>-492.71</v>
      </c>
      <c r="M44" s="2">
        <v>764.38</v>
      </c>
      <c r="N44" s="2">
        <v>1044.67</v>
      </c>
      <c r="O44" s="2">
        <v>2152.08</v>
      </c>
      <c r="P44" s="2">
        <v>642.61</v>
      </c>
      <c r="Q44" s="2" t="s">
        <v>55</v>
      </c>
      <c r="R44" s="2" t="s">
        <v>55</v>
      </c>
      <c r="S44" s="2">
        <v>800</v>
      </c>
      <c r="T44" s="2" t="s">
        <v>55</v>
      </c>
      <c r="U44" s="2">
        <v>-423.41</v>
      </c>
      <c r="V44" s="2">
        <v>600</v>
      </c>
      <c r="W44" s="2" t="s">
        <v>55</v>
      </c>
      <c r="X44" s="2">
        <v>-800</v>
      </c>
      <c r="Y44" s="2" t="s">
        <v>55</v>
      </c>
      <c r="Z44" s="2">
        <v>-708.74</v>
      </c>
      <c r="AA44" s="2">
        <v>50</v>
      </c>
      <c r="AB44" s="2" t="s">
        <v>55</v>
      </c>
      <c r="AC44" s="2" t="s">
        <v>55</v>
      </c>
      <c r="AD44" s="2" t="s">
        <v>55</v>
      </c>
      <c r="AE44" s="2">
        <v>-577.41999999999996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10CA-0088-4F81-B80F-E4DC7CE988C2}">
  <dimension ref="A2:AE33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102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t="s">
        <v>103</v>
      </c>
      <c r="B16" s="2">
        <v>8294</v>
      </c>
      <c r="C16" s="2">
        <v>7815</v>
      </c>
      <c r="D16" s="2">
        <v>8693</v>
      </c>
      <c r="E16" s="2">
        <v>8841</v>
      </c>
      <c r="F16" s="2">
        <v>33643</v>
      </c>
      <c r="G16" s="2">
        <v>6891</v>
      </c>
      <c r="H16" s="2">
        <v>8092</v>
      </c>
      <c r="I16" s="2">
        <v>7001.35</v>
      </c>
      <c r="J16" s="2">
        <v>6018.83</v>
      </c>
      <c r="K16" s="2">
        <v>27655.01</v>
      </c>
      <c r="L16" s="2">
        <v>6135.92</v>
      </c>
      <c r="M16" s="2">
        <v>6783.34</v>
      </c>
      <c r="N16" s="2">
        <v>7258.61</v>
      </c>
      <c r="O16" s="2">
        <v>6465.71</v>
      </c>
      <c r="P16" s="2">
        <v>26871.55</v>
      </c>
      <c r="Q16" s="2">
        <v>6319</v>
      </c>
      <c r="R16" s="2">
        <v>6848.69</v>
      </c>
      <c r="S16" s="2">
        <v>7316.64</v>
      </c>
      <c r="T16" s="2">
        <v>6670.71</v>
      </c>
      <c r="U16" s="2">
        <v>27855.68</v>
      </c>
      <c r="V16" s="2">
        <v>6303.2</v>
      </c>
      <c r="W16" s="2">
        <v>6892.89</v>
      </c>
      <c r="X16" s="2">
        <v>7248.68</v>
      </c>
      <c r="Y16" s="2">
        <v>6770.94</v>
      </c>
      <c r="Z16" s="2">
        <v>28332.21</v>
      </c>
      <c r="AA16" s="2">
        <v>6478.25</v>
      </c>
      <c r="AB16" s="2">
        <v>7006.89</v>
      </c>
      <c r="AC16" s="2">
        <v>7405.78</v>
      </c>
      <c r="AD16" s="2">
        <v>6946.68</v>
      </c>
      <c r="AE16" s="2">
        <v>28838.83</v>
      </c>
    </row>
    <row r="17" spans="1:31" x14ac:dyDescent="0.25">
      <c r="A17" t="s">
        <v>104</v>
      </c>
      <c r="B17" s="2">
        <v>2252</v>
      </c>
      <c r="C17" s="2">
        <v>2679</v>
      </c>
      <c r="D17" s="2">
        <v>3071</v>
      </c>
      <c r="E17" s="2">
        <v>3749</v>
      </c>
      <c r="F17" s="2">
        <v>11750</v>
      </c>
      <c r="G17" s="2">
        <v>2351</v>
      </c>
      <c r="H17" s="2">
        <v>2902</v>
      </c>
      <c r="I17" s="2">
        <v>3008.63</v>
      </c>
      <c r="J17" s="2">
        <v>3414.4</v>
      </c>
      <c r="K17" s="2">
        <v>11697.53</v>
      </c>
      <c r="L17" s="2">
        <v>2533.4699999999998</v>
      </c>
      <c r="M17" s="2">
        <v>2889.47</v>
      </c>
      <c r="N17" s="2">
        <v>2944.27</v>
      </c>
      <c r="O17" s="2">
        <v>3364.73</v>
      </c>
      <c r="P17" s="2">
        <v>11716.07</v>
      </c>
      <c r="Q17" s="2">
        <v>2495.59</v>
      </c>
      <c r="R17" s="2">
        <v>2889.56</v>
      </c>
      <c r="S17" s="2">
        <v>2991.8</v>
      </c>
      <c r="T17" s="2">
        <v>3449.46</v>
      </c>
      <c r="U17" s="2">
        <v>11828.09</v>
      </c>
      <c r="V17" s="2">
        <v>2618.33</v>
      </c>
      <c r="W17" s="2">
        <v>2994.08</v>
      </c>
      <c r="X17" s="2">
        <v>3032.18</v>
      </c>
      <c r="Y17" s="2">
        <v>3488.74</v>
      </c>
      <c r="Z17" s="2">
        <v>12097.24</v>
      </c>
      <c r="AA17" s="2">
        <v>2666.01</v>
      </c>
      <c r="AB17" s="2">
        <v>2998.68</v>
      </c>
      <c r="AC17" s="2">
        <v>3048.83</v>
      </c>
      <c r="AD17" s="2">
        <v>3510.75</v>
      </c>
      <c r="AE17" s="2">
        <v>12211.56</v>
      </c>
    </row>
    <row r="18" spans="1:31" x14ac:dyDescent="0.25">
      <c r="A18" t="s">
        <v>105</v>
      </c>
      <c r="B18" s="2">
        <v>622</v>
      </c>
      <c r="C18" s="2">
        <v>635</v>
      </c>
      <c r="D18" s="2">
        <v>677</v>
      </c>
      <c r="E18" s="2">
        <v>724</v>
      </c>
      <c r="F18" s="2">
        <v>2658</v>
      </c>
      <c r="G18" s="2">
        <v>639</v>
      </c>
      <c r="H18" s="2">
        <v>587</v>
      </c>
      <c r="I18" s="2">
        <v>657.95</v>
      </c>
      <c r="J18" s="2">
        <v>708.22</v>
      </c>
      <c r="K18" s="2">
        <v>2597.0700000000002</v>
      </c>
      <c r="L18" s="2">
        <v>623.25</v>
      </c>
      <c r="M18" s="2">
        <v>603.67999999999995</v>
      </c>
      <c r="N18" s="2">
        <v>650.4</v>
      </c>
      <c r="O18" s="2">
        <v>686.13</v>
      </c>
      <c r="P18" s="2">
        <v>2578.62</v>
      </c>
      <c r="Q18" s="2">
        <v>641.08000000000004</v>
      </c>
      <c r="R18" s="2">
        <v>624.04</v>
      </c>
      <c r="S18" s="2">
        <v>679.9</v>
      </c>
      <c r="T18" s="2">
        <v>700.06</v>
      </c>
      <c r="U18" s="2">
        <v>2642.91</v>
      </c>
      <c r="V18" s="2">
        <v>645.72</v>
      </c>
      <c r="W18" s="2">
        <v>632.75</v>
      </c>
      <c r="X18" s="2">
        <v>670.78</v>
      </c>
      <c r="Y18" s="2">
        <v>699.48</v>
      </c>
      <c r="Z18" s="2">
        <v>2644.42</v>
      </c>
      <c r="AA18" s="2">
        <v>656.95</v>
      </c>
      <c r="AB18" s="2">
        <v>637.21</v>
      </c>
      <c r="AC18" s="2">
        <v>675.29</v>
      </c>
      <c r="AD18" s="2">
        <v>704.55</v>
      </c>
      <c r="AE18" s="2">
        <v>2683.72</v>
      </c>
    </row>
    <row r="19" spans="1:31" x14ac:dyDescent="0.25">
      <c r="A19" s="3" t="s">
        <v>106</v>
      </c>
      <c r="B19" s="2">
        <v>-2874</v>
      </c>
      <c r="C19" s="2">
        <v>-3314</v>
      </c>
      <c r="D19" s="2">
        <v>-3748</v>
      </c>
      <c r="E19" s="2">
        <v>-4473</v>
      </c>
      <c r="F19" s="2">
        <v>-14408</v>
      </c>
      <c r="G19" s="2">
        <v>-2990</v>
      </c>
      <c r="H19" s="2">
        <v>-3489</v>
      </c>
      <c r="I19" s="2">
        <v>-3680.37</v>
      </c>
      <c r="J19" s="2">
        <v>-4139.18</v>
      </c>
      <c r="K19" s="2">
        <v>-14323.15</v>
      </c>
      <c r="L19" s="2">
        <v>-3086.06</v>
      </c>
      <c r="M19" s="2">
        <v>-3396.92</v>
      </c>
      <c r="N19" s="2">
        <v>-3594.67</v>
      </c>
      <c r="O19" s="2">
        <v>-4050.86</v>
      </c>
      <c r="P19" s="2">
        <v>-14340.95</v>
      </c>
      <c r="Q19" s="2">
        <v>-3136.67</v>
      </c>
      <c r="R19" s="2">
        <v>-3513.61</v>
      </c>
      <c r="S19" s="2">
        <v>-3671.7</v>
      </c>
      <c r="T19" s="2">
        <v>-4149.5200000000004</v>
      </c>
      <c r="U19" s="2">
        <v>-14536.36</v>
      </c>
      <c r="V19" s="2">
        <v>-3264.05</v>
      </c>
      <c r="W19" s="2">
        <v>-3626.83</v>
      </c>
      <c r="X19" s="2">
        <v>-3702.95</v>
      </c>
      <c r="Y19" s="2">
        <v>-4188.22</v>
      </c>
      <c r="Z19" s="2">
        <v>-14811.29</v>
      </c>
      <c r="AA19" s="2">
        <v>-3322.95</v>
      </c>
      <c r="AB19" s="2">
        <v>-3635.9</v>
      </c>
      <c r="AC19" s="2">
        <v>-3724.12</v>
      </c>
      <c r="AD19" s="2">
        <v>-4215.3</v>
      </c>
      <c r="AE19" s="2">
        <v>-14974.17</v>
      </c>
    </row>
    <row r="20" spans="1:31" x14ac:dyDescent="0.25">
      <c r="A20" s="3" t="s">
        <v>107</v>
      </c>
      <c r="B20" s="2">
        <v>4584</v>
      </c>
      <c r="C20" s="2">
        <v>4500</v>
      </c>
      <c r="D20" s="2">
        <v>4945</v>
      </c>
      <c r="E20" s="2">
        <v>4369</v>
      </c>
      <c r="F20" s="2">
        <v>19236</v>
      </c>
      <c r="G20" s="2">
        <v>3901</v>
      </c>
      <c r="H20" s="2">
        <v>4604</v>
      </c>
      <c r="I20" s="2">
        <v>3425.71</v>
      </c>
      <c r="J20" s="2">
        <v>1974.58</v>
      </c>
      <c r="K20" s="2">
        <v>13863.87</v>
      </c>
      <c r="L20" s="2">
        <v>3171.49</v>
      </c>
      <c r="M20" s="2">
        <v>3464.99</v>
      </c>
      <c r="N20" s="2">
        <v>3783.32</v>
      </c>
      <c r="O20" s="2">
        <v>2546.54</v>
      </c>
      <c r="P20" s="2">
        <v>12922.37</v>
      </c>
      <c r="Q20" s="2">
        <v>3191.22</v>
      </c>
      <c r="R20" s="2">
        <v>3270.93</v>
      </c>
      <c r="S20" s="2">
        <v>3612.08</v>
      </c>
      <c r="T20" s="2">
        <v>2503.3000000000002</v>
      </c>
      <c r="U20" s="2">
        <v>13259.15</v>
      </c>
      <c r="V20" s="2">
        <v>3041.8</v>
      </c>
      <c r="W20" s="2">
        <v>3196.54</v>
      </c>
      <c r="X20" s="2">
        <v>3505.63</v>
      </c>
      <c r="Y20" s="2">
        <v>2557.2199999999998</v>
      </c>
      <c r="Z20" s="2">
        <v>13382.58</v>
      </c>
      <c r="AA20" s="2">
        <v>3152.04</v>
      </c>
      <c r="AB20" s="2">
        <v>3304.09</v>
      </c>
      <c r="AC20" s="2">
        <v>3638.9</v>
      </c>
      <c r="AD20" s="2">
        <v>2700.97</v>
      </c>
      <c r="AE20" s="2">
        <v>13773.22</v>
      </c>
    </row>
    <row r="21" spans="1:31" x14ac:dyDescent="0.25">
      <c r="A21" s="3" t="s">
        <v>84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3" t="s">
        <v>108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t="s">
        <v>109</v>
      </c>
      <c r="B23" s="2">
        <v>8695</v>
      </c>
      <c r="C23" s="2">
        <v>9423</v>
      </c>
      <c r="D23" s="2">
        <v>9038</v>
      </c>
      <c r="E23" s="2">
        <v>7298</v>
      </c>
      <c r="F23" s="2">
        <v>34454</v>
      </c>
      <c r="G23" s="2">
        <v>7966</v>
      </c>
      <c r="H23" s="2">
        <v>8923</v>
      </c>
      <c r="I23" s="2">
        <v>8805.09</v>
      </c>
      <c r="J23" s="2">
        <v>7302.03</v>
      </c>
      <c r="K23" s="2">
        <v>32768.07</v>
      </c>
      <c r="L23" s="2">
        <v>7992.17</v>
      </c>
      <c r="M23" s="2">
        <v>8831.6200000000008</v>
      </c>
      <c r="N23" s="2">
        <v>8888.92</v>
      </c>
      <c r="O23" s="2">
        <v>7739.29</v>
      </c>
      <c r="P23" s="2">
        <v>32929.89</v>
      </c>
      <c r="Q23" s="2">
        <v>8156.03</v>
      </c>
      <c r="R23" s="2">
        <v>8941.32</v>
      </c>
      <c r="S23" s="2">
        <v>9141.41</v>
      </c>
      <c r="T23" s="2">
        <v>7810.4</v>
      </c>
      <c r="U23" s="2">
        <v>33573.11</v>
      </c>
      <c r="V23" s="2">
        <v>8206.17</v>
      </c>
      <c r="W23" s="2">
        <v>8978.81</v>
      </c>
      <c r="X23" s="2">
        <v>9124.69</v>
      </c>
      <c r="Y23" s="2">
        <v>7722.94</v>
      </c>
      <c r="Z23" s="2">
        <v>33736.76</v>
      </c>
      <c r="AA23" s="2">
        <v>8225.65</v>
      </c>
      <c r="AB23" s="2">
        <v>9145.8799999999992</v>
      </c>
      <c r="AC23" s="2">
        <v>9262.0400000000009</v>
      </c>
      <c r="AD23" s="2">
        <v>7891.56</v>
      </c>
      <c r="AE23" s="2">
        <v>34446.25</v>
      </c>
    </row>
    <row r="24" spans="1:31" x14ac:dyDescent="0.25">
      <c r="A24" t="s">
        <v>104</v>
      </c>
      <c r="B24" s="2">
        <v>2252</v>
      </c>
      <c r="C24" s="2">
        <v>2679</v>
      </c>
      <c r="D24" s="2">
        <v>3071</v>
      </c>
      <c r="E24" s="2">
        <v>3749</v>
      </c>
      <c r="F24" s="2">
        <v>11750</v>
      </c>
      <c r="G24" s="2">
        <v>2351</v>
      </c>
      <c r="H24" s="2">
        <v>2902</v>
      </c>
      <c r="I24" s="2">
        <v>3008.63</v>
      </c>
      <c r="J24" s="2">
        <v>3414.4</v>
      </c>
      <c r="K24" s="2">
        <v>11697.53</v>
      </c>
      <c r="L24" s="2">
        <v>2533.4699999999998</v>
      </c>
      <c r="M24" s="2">
        <v>2889.47</v>
      </c>
      <c r="N24" s="2">
        <v>2944.27</v>
      </c>
      <c r="O24" s="2">
        <v>3364.73</v>
      </c>
      <c r="P24" s="2">
        <v>11716.07</v>
      </c>
      <c r="Q24" s="2">
        <v>2495.59</v>
      </c>
      <c r="R24" s="2">
        <v>2889.56</v>
      </c>
      <c r="S24" s="2">
        <v>2991.8</v>
      </c>
      <c r="T24" s="2">
        <v>3449.46</v>
      </c>
      <c r="U24" s="2">
        <v>11828.09</v>
      </c>
      <c r="V24" s="2">
        <v>2618.33</v>
      </c>
      <c r="W24" s="2">
        <v>2994.08</v>
      </c>
      <c r="X24" s="2">
        <v>3032.18</v>
      </c>
      <c r="Y24" s="2">
        <v>3488.74</v>
      </c>
      <c r="Z24" s="2">
        <v>12097.24</v>
      </c>
      <c r="AA24" s="2">
        <v>2666.01</v>
      </c>
      <c r="AB24" s="2">
        <v>2998.68</v>
      </c>
      <c r="AC24" s="2">
        <v>3048.83</v>
      </c>
      <c r="AD24" s="2">
        <v>3510.75</v>
      </c>
      <c r="AE24" s="2">
        <v>12211.56</v>
      </c>
    </row>
    <row r="25" spans="1:31" x14ac:dyDescent="0.25">
      <c r="A25" t="s">
        <v>105</v>
      </c>
      <c r="B25" s="2">
        <v>622</v>
      </c>
      <c r="C25" s="2">
        <v>635</v>
      </c>
      <c r="D25" s="2">
        <v>677</v>
      </c>
      <c r="E25" s="2">
        <v>724</v>
      </c>
      <c r="F25" s="2">
        <v>2658</v>
      </c>
      <c r="G25" s="2">
        <v>639</v>
      </c>
      <c r="H25" s="2">
        <v>587</v>
      </c>
      <c r="I25" s="2">
        <v>657.95</v>
      </c>
      <c r="J25" s="2">
        <v>708.22</v>
      </c>
      <c r="K25" s="2">
        <v>2597.0700000000002</v>
      </c>
      <c r="L25" s="2">
        <v>623.25</v>
      </c>
      <c r="M25" s="2">
        <v>603.67999999999995</v>
      </c>
      <c r="N25" s="2">
        <v>650.4</v>
      </c>
      <c r="O25" s="2">
        <v>686.13</v>
      </c>
      <c r="P25" s="2">
        <v>2578.62</v>
      </c>
      <c r="Q25" s="2">
        <v>641.08000000000004</v>
      </c>
      <c r="R25" s="2">
        <v>624.04</v>
      </c>
      <c r="S25" s="2">
        <v>679.9</v>
      </c>
      <c r="T25" s="2">
        <v>700.06</v>
      </c>
      <c r="U25" s="2">
        <v>2642.91</v>
      </c>
      <c r="V25" s="2">
        <v>645.72</v>
      </c>
      <c r="W25" s="2">
        <v>632.75</v>
      </c>
      <c r="X25" s="2">
        <v>670.78</v>
      </c>
      <c r="Y25" s="2">
        <v>699.48</v>
      </c>
      <c r="Z25" s="2">
        <v>2644.42</v>
      </c>
      <c r="AA25" s="2">
        <v>656.95</v>
      </c>
      <c r="AB25" s="2">
        <v>637.21</v>
      </c>
      <c r="AC25" s="2">
        <v>675.29</v>
      </c>
      <c r="AD25" s="2">
        <v>704.55</v>
      </c>
      <c r="AE25" s="2">
        <v>2683.72</v>
      </c>
    </row>
    <row r="26" spans="1:31" x14ac:dyDescent="0.25">
      <c r="A26" s="3" t="s">
        <v>106</v>
      </c>
      <c r="B26" s="2">
        <v>-2874</v>
      </c>
      <c r="C26" s="2">
        <v>-3314</v>
      </c>
      <c r="D26" s="2">
        <v>-3748</v>
      </c>
      <c r="E26" s="2">
        <v>-4473</v>
      </c>
      <c r="F26" s="2">
        <v>-14408</v>
      </c>
      <c r="G26" s="2">
        <v>-2990</v>
      </c>
      <c r="H26" s="2">
        <v>-3489</v>
      </c>
      <c r="I26" s="2">
        <v>-3680.37</v>
      </c>
      <c r="J26" s="2">
        <v>-4139.18</v>
      </c>
      <c r="K26" s="2">
        <v>-14323.15</v>
      </c>
      <c r="L26" s="2">
        <v>-3086.06</v>
      </c>
      <c r="M26" s="2">
        <v>-3396.92</v>
      </c>
      <c r="N26" s="2">
        <v>-3594.67</v>
      </c>
      <c r="O26" s="2">
        <v>-4050.86</v>
      </c>
      <c r="P26" s="2">
        <v>-14340.95</v>
      </c>
      <c r="Q26" s="2">
        <v>-3136.67</v>
      </c>
      <c r="R26" s="2">
        <v>-3513.61</v>
      </c>
      <c r="S26" s="2">
        <v>-3671.7</v>
      </c>
      <c r="T26" s="2">
        <v>-4149.5200000000004</v>
      </c>
      <c r="U26" s="2">
        <v>-14536.36</v>
      </c>
      <c r="V26" s="2">
        <v>-3264.05</v>
      </c>
      <c r="W26" s="2">
        <v>-3626.83</v>
      </c>
      <c r="X26" s="2">
        <v>-3702.95</v>
      </c>
      <c r="Y26" s="2">
        <v>-4188.22</v>
      </c>
      <c r="Z26" s="2">
        <v>-14811.29</v>
      </c>
      <c r="AA26" s="2">
        <v>-3322.95</v>
      </c>
      <c r="AB26" s="2">
        <v>-3635.9</v>
      </c>
      <c r="AC26" s="2">
        <v>-3724.12</v>
      </c>
      <c r="AD26" s="2">
        <v>-4215.3</v>
      </c>
      <c r="AE26" s="2">
        <v>-14974.17</v>
      </c>
    </row>
    <row r="27" spans="1:31" x14ac:dyDescent="0.25">
      <c r="A27" t="s">
        <v>110</v>
      </c>
      <c r="B27" s="2">
        <v>674</v>
      </c>
      <c r="C27" s="2">
        <v>1129</v>
      </c>
      <c r="D27" s="2">
        <v>879</v>
      </c>
      <c r="E27" s="2">
        <v>1189</v>
      </c>
      <c r="F27" s="2">
        <v>3871</v>
      </c>
      <c r="G27" s="2">
        <v>727</v>
      </c>
      <c r="H27" s="2">
        <v>1053.1199999999999</v>
      </c>
      <c r="I27" s="2">
        <v>831.23</v>
      </c>
      <c r="J27" s="2">
        <v>1006.94</v>
      </c>
      <c r="K27" s="2">
        <v>3702.01</v>
      </c>
      <c r="L27" s="2">
        <v>854.8</v>
      </c>
      <c r="M27" s="2">
        <v>947.23</v>
      </c>
      <c r="N27" s="2">
        <v>873.34</v>
      </c>
      <c r="O27" s="2">
        <v>980.33</v>
      </c>
      <c r="P27" s="2">
        <v>3565.15</v>
      </c>
      <c r="Q27" s="2">
        <v>734.51</v>
      </c>
      <c r="R27" s="2">
        <v>922.92</v>
      </c>
      <c r="S27" s="2">
        <v>769.83</v>
      </c>
      <c r="T27" s="2">
        <v>988.57</v>
      </c>
      <c r="U27" s="2">
        <v>3402.04</v>
      </c>
      <c r="V27" s="2">
        <v>731.77</v>
      </c>
      <c r="W27" s="2">
        <v>919.2</v>
      </c>
      <c r="X27" s="2">
        <v>763.98</v>
      </c>
      <c r="Y27" s="2">
        <v>976.66</v>
      </c>
      <c r="Z27" s="2">
        <v>3295.66</v>
      </c>
      <c r="AA27" s="2">
        <v>723.81</v>
      </c>
      <c r="AB27" s="2">
        <v>909.51</v>
      </c>
      <c r="AC27" s="2">
        <v>756.22</v>
      </c>
      <c r="AD27" s="2">
        <v>969.64</v>
      </c>
      <c r="AE27" s="2">
        <v>3213.7</v>
      </c>
    </row>
    <row r="28" spans="1:31" x14ac:dyDescent="0.25">
      <c r="A28" t="s">
        <v>111</v>
      </c>
      <c r="B28" s="2">
        <v>400</v>
      </c>
      <c r="C28" s="2">
        <v>1685</v>
      </c>
      <c r="D28" s="2">
        <v>293</v>
      </c>
      <c r="E28" s="2">
        <v>-1623</v>
      </c>
      <c r="F28" s="2">
        <v>755</v>
      </c>
      <c r="G28" s="2">
        <v>249</v>
      </c>
      <c r="H28" s="2">
        <v>515.66999999999996</v>
      </c>
      <c r="I28" s="2">
        <v>1039.49</v>
      </c>
      <c r="J28" s="2">
        <v>815</v>
      </c>
      <c r="K28" s="2">
        <v>2573.34</v>
      </c>
      <c r="L28" s="2">
        <v>646.66</v>
      </c>
      <c r="M28" s="2">
        <v>903.2</v>
      </c>
      <c r="N28" s="2">
        <v>1013.21</v>
      </c>
      <c r="O28" s="2">
        <v>745.16</v>
      </c>
      <c r="P28" s="2">
        <v>3101.97</v>
      </c>
      <c r="Q28" s="2">
        <v>601.20000000000005</v>
      </c>
      <c r="R28" s="2">
        <v>889</v>
      </c>
      <c r="S28" s="2">
        <v>1126.55</v>
      </c>
      <c r="T28" s="2">
        <v>730.64</v>
      </c>
      <c r="U28" s="2">
        <v>3226.81</v>
      </c>
      <c r="V28" s="2">
        <v>602.61</v>
      </c>
      <c r="W28" s="2">
        <v>888.08</v>
      </c>
      <c r="X28" s="2">
        <v>1132.4000000000001</v>
      </c>
      <c r="Y28" s="2">
        <v>677.66</v>
      </c>
      <c r="Z28" s="2">
        <v>3044.39</v>
      </c>
      <c r="AA28" s="2">
        <v>603.66</v>
      </c>
      <c r="AB28" s="2">
        <v>906.57</v>
      </c>
      <c r="AC28" s="2">
        <v>1146.79</v>
      </c>
      <c r="AD28" s="2">
        <v>602.36</v>
      </c>
      <c r="AE28" s="2">
        <v>3377.08</v>
      </c>
    </row>
    <row r="29" spans="1:31" x14ac:dyDescent="0.25">
      <c r="A29" t="s">
        <v>112</v>
      </c>
      <c r="B29" s="2">
        <v>636</v>
      </c>
      <c r="C29" s="2">
        <v>-22</v>
      </c>
      <c r="D29" s="2">
        <v>169</v>
      </c>
      <c r="E29" s="2">
        <v>-232</v>
      </c>
      <c r="F29" s="2">
        <v>551</v>
      </c>
      <c r="G29" s="2">
        <v>555</v>
      </c>
      <c r="H29" s="2">
        <v>-157</v>
      </c>
      <c r="I29" s="2">
        <v>498.39</v>
      </c>
      <c r="J29" s="2">
        <v>68.489999999999995</v>
      </c>
      <c r="K29" s="2">
        <v>574.48</v>
      </c>
      <c r="L29" s="2">
        <v>986.67</v>
      </c>
      <c r="M29" s="2">
        <v>697.17</v>
      </c>
      <c r="N29" s="2">
        <v>-152.32</v>
      </c>
      <c r="O29" s="2">
        <v>-281.01</v>
      </c>
      <c r="P29" s="2">
        <v>1151.22</v>
      </c>
      <c r="Q29" s="2">
        <v>1434.72</v>
      </c>
      <c r="R29" s="2">
        <v>962.82</v>
      </c>
      <c r="S29" s="2">
        <v>-147.47</v>
      </c>
      <c r="T29" s="2">
        <v>-630.57000000000005</v>
      </c>
      <c r="U29" s="2">
        <v>948.86</v>
      </c>
      <c r="V29" s="2">
        <v>1425.97</v>
      </c>
      <c r="W29" s="2">
        <v>930.91</v>
      </c>
      <c r="X29" s="2">
        <v>185.56</v>
      </c>
      <c r="Y29" s="2">
        <v>-686.49</v>
      </c>
      <c r="Z29" s="2">
        <v>1148.6600000000001</v>
      </c>
      <c r="AA29" s="2">
        <v>1221.03</v>
      </c>
      <c r="AB29" s="2">
        <v>1019.9</v>
      </c>
      <c r="AC29" s="2">
        <v>134.08000000000001</v>
      </c>
      <c r="AD29" s="2">
        <v>-591.09</v>
      </c>
      <c r="AE29" s="2">
        <v>1117.95</v>
      </c>
    </row>
    <row r="30" spans="1:31" x14ac:dyDescent="0.25">
      <c r="A30" t="s">
        <v>113</v>
      </c>
      <c r="B30" s="2">
        <v>-382</v>
      </c>
      <c r="C30" s="2">
        <v>-321</v>
      </c>
      <c r="D30" s="2">
        <v>-311</v>
      </c>
      <c r="E30" s="2">
        <v>-274</v>
      </c>
      <c r="F30" s="2">
        <v>-1288</v>
      </c>
      <c r="G30" s="2">
        <v>-427</v>
      </c>
      <c r="H30" s="2">
        <v>-359</v>
      </c>
      <c r="I30" s="2">
        <v>-328.47</v>
      </c>
      <c r="J30" s="2">
        <v>-312.39999999999998</v>
      </c>
      <c r="K30" s="2">
        <v>-1474.31</v>
      </c>
      <c r="L30" s="2">
        <v>-381.69</v>
      </c>
      <c r="M30" s="2">
        <v>-354.47</v>
      </c>
      <c r="N30" s="2">
        <v>-339.22</v>
      </c>
      <c r="O30" s="2">
        <v>-327.92</v>
      </c>
      <c r="P30" s="2">
        <v>-1463.01</v>
      </c>
      <c r="Q30" s="2">
        <v>-394.05</v>
      </c>
      <c r="R30" s="2">
        <v>-343.17</v>
      </c>
      <c r="S30" s="2">
        <v>-320.79000000000002</v>
      </c>
      <c r="T30" s="2">
        <v>-293.19</v>
      </c>
      <c r="U30" s="2">
        <v>-1491.64</v>
      </c>
      <c r="V30" s="2">
        <v>-400.42</v>
      </c>
      <c r="W30" s="2">
        <v>-348.26</v>
      </c>
      <c r="X30" s="2">
        <v>-320.26</v>
      </c>
      <c r="Y30" s="2">
        <v>-298.19</v>
      </c>
      <c r="Z30" s="2">
        <v>-1497.29</v>
      </c>
      <c r="AA30" s="2">
        <v>-411.53</v>
      </c>
      <c r="AB30" s="2">
        <v>-354.64</v>
      </c>
      <c r="AC30" s="2">
        <v>-326.33</v>
      </c>
      <c r="AD30" s="2">
        <v>-303.55</v>
      </c>
      <c r="AE30" s="2">
        <v>-1519.22</v>
      </c>
    </row>
    <row r="31" spans="1:31" x14ac:dyDescent="0.25">
      <c r="A31" t="s">
        <v>114</v>
      </c>
      <c r="B31" s="2">
        <v>-90</v>
      </c>
      <c r="C31" s="2">
        <v>-3</v>
      </c>
      <c r="D31" s="2">
        <v>-54</v>
      </c>
      <c r="E31" s="2">
        <v>-2</v>
      </c>
      <c r="F31" s="2">
        <v>-149</v>
      </c>
      <c r="G31" s="2">
        <v>55.22</v>
      </c>
      <c r="H31" s="2">
        <v>-232.45</v>
      </c>
      <c r="I31" s="2">
        <v>-25.26</v>
      </c>
      <c r="J31" s="2">
        <v>-156.21</v>
      </c>
      <c r="K31" s="2">
        <v>-309.62</v>
      </c>
      <c r="L31" s="2">
        <v>-101.75</v>
      </c>
      <c r="M31" s="2">
        <v>-97.73</v>
      </c>
      <c r="N31" s="2">
        <v>-120.78</v>
      </c>
      <c r="O31" s="2">
        <v>-101.12</v>
      </c>
      <c r="P31" s="2">
        <v>-389.18</v>
      </c>
      <c r="Q31" s="2" t="s">
        <v>55</v>
      </c>
      <c r="R31" s="2" t="s">
        <v>55</v>
      </c>
      <c r="S31" s="2" t="s">
        <v>55</v>
      </c>
      <c r="T31" s="2" t="s">
        <v>55</v>
      </c>
      <c r="U31" s="2">
        <v>-360.3</v>
      </c>
      <c r="V31" s="2" t="s">
        <v>55</v>
      </c>
      <c r="W31" s="2" t="s">
        <v>55</v>
      </c>
      <c r="X31" s="2" t="s">
        <v>55</v>
      </c>
      <c r="Y31" s="2" t="s">
        <v>55</v>
      </c>
      <c r="Z31" s="2">
        <v>-411.25</v>
      </c>
      <c r="AA31" s="2" t="s">
        <v>55</v>
      </c>
      <c r="AB31" s="2" t="s">
        <v>55</v>
      </c>
      <c r="AC31" s="2" t="s">
        <v>55</v>
      </c>
      <c r="AD31" s="2" t="s">
        <v>55</v>
      </c>
      <c r="AE31" s="2">
        <v>-412</v>
      </c>
    </row>
    <row r="32" spans="1:31" x14ac:dyDescent="0.25">
      <c r="A32" t="s">
        <v>115</v>
      </c>
      <c r="B32" s="2">
        <v>-419.5</v>
      </c>
      <c r="C32" s="2">
        <v>-859.5</v>
      </c>
      <c r="D32" s="2">
        <v>-657.5</v>
      </c>
      <c r="E32" s="2">
        <v>-402.33</v>
      </c>
      <c r="F32" s="2">
        <v>-1693.33</v>
      </c>
      <c r="G32" s="2">
        <v>18.5</v>
      </c>
      <c r="H32" s="2">
        <v>-319</v>
      </c>
      <c r="I32" s="2" t="s">
        <v>55</v>
      </c>
      <c r="J32" s="2" t="s">
        <v>55</v>
      </c>
      <c r="K32" s="2">
        <v>-141</v>
      </c>
      <c r="L32" s="2" t="s">
        <v>55</v>
      </c>
      <c r="M32" s="2" t="s">
        <v>55</v>
      </c>
      <c r="N32" s="2" t="s">
        <v>55</v>
      </c>
      <c r="O32" s="2" t="s">
        <v>55</v>
      </c>
      <c r="P32" s="2" t="s">
        <v>55</v>
      </c>
      <c r="Q32" s="2" t="s">
        <v>55</v>
      </c>
      <c r="R32" s="2" t="s">
        <v>55</v>
      </c>
      <c r="S32" s="2" t="s">
        <v>55</v>
      </c>
      <c r="T32" s="2" t="s">
        <v>55</v>
      </c>
      <c r="U32" s="2" t="s">
        <v>55</v>
      </c>
      <c r="V32" s="2" t="s">
        <v>55</v>
      </c>
      <c r="W32" s="2" t="s">
        <v>55</v>
      </c>
      <c r="X32" s="2" t="s">
        <v>55</v>
      </c>
      <c r="Y32" s="2" t="s">
        <v>55</v>
      </c>
      <c r="Z32" s="2" t="s">
        <v>55</v>
      </c>
      <c r="AA32" s="2" t="s">
        <v>55</v>
      </c>
      <c r="AB32" s="2" t="s">
        <v>55</v>
      </c>
      <c r="AC32" s="2" t="s">
        <v>55</v>
      </c>
      <c r="AD32" s="2" t="s">
        <v>55</v>
      </c>
      <c r="AE32" s="2" t="s">
        <v>55</v>
      </c>
    </row>
    <row r="33" spans="1:31" x14ac:dyDescent="0.25">
      <c r="A33" s="3" t="s">
        <v>107</v>
      </c>
      <c r="B33" s="2">
        <v>4584</v>
      </c>
      <c r="C33" s="2">
        <v>4500</v>
      </c>
      <c r="D33" s="2">
        <v>4945</v>
      </c>
      <c r="E33" s="2">
        <v>4369</v>
      </c>
      <c r="F33" s="2">
        <v>19236</v>
      </c>
      <c r="G33" s="2">
        <v>3901</v>
      </c>
      <c r="H33" s="2">
        <v>4604</v>
      </c>
      <c r="I33" s="2">
        <v>3425.71</v>
      </c>
      <c r="J33" s="2">
        <v>1974.58</v>
      </c>
      <c r="K33" s="2">
        <v>13863.87</v>
      </c>
      <c r="L33" s="2">
        <v>3171.49</v>
      </c>
      <c r="M33" s="2">
        <v>3464.99</v>
      </c>
      <c r="N33" s="2">
        <v>3783.32</v>
      </c>
      <c r="O33" s="2">
        <v>2546.54</v>
      </c>
      <c r="P33" s="2">
        <v>12922.37</v>
      </c>
      <c r="Q33" s="2">
        <v>3191.22</v>
      </c>
      <c r="R33" s="2">
        <v>3270.93</v>
      </c>
      <c r="S33" s="2">
        <v>3612.08</v>
      </c>
      <c r="T33" s="2">
        <v>2503.3000000000002</v>
      </c>
      <c r="U33" s="2">
        <v>13259.15</v>
      </c>
      <c r="V33" s="2">
        <v>3041.8</v>
      </c>
      <c r="W33" s="2">
        <v>3196.54</v>
      </c>
      <c r="X33" s="2">
        <v>3505.63</v>
      </c>
      <c r="Y33" s="2">
        <v>2557.2199999999998</v>
      </c>
      <c r="Z33" s="2">
        <v>13382.58</v>
      </c>
      <c r="AA33" s="2">
        <v>3152.04</v>
      </c>
      <c r="AB33" s="2">
        <v>3304.09</v>
      </c>
      <c r="AC33" s="2">
        <v>3638.9</v>
      </c>
      <c r="AD33" s="2">
        <v>2700.97</v>
      </c>
      <c r="AE33" s="2">
        <v>13773.22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AB51-EB07-4253-826A-7A3596DC5975}">
  <dimension ref="A2:AE86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116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s="3" t="s">
        <v>117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t="s">
        <v>118</v>
      </c>
      <c r="B17" s="2">
        <v>29190</v>
      </c>
      <c r="C17" s="2">
        <v>28989</v>
      </c>
      <c r="D17" s="2">
        <v>28897</v>
      </c>
      <c r="E17" s="2">
        <v>28719</v>
      </c>
      <c r="F17" s="2">
        <v>28719</v>
      </c>
      <c r="G17" s="2">
        <v>28654</v>
      </c>
      <c r="H17" s="2">
        <v>28486</v>
      </c>
      <c r="I17" s="2">
        <v>28350.5</v>
      </c>
      <c r="J17" s="2">
        <v>28182.12</v>
      </c>
      <c r="K17" s="2">
        <v>28182.18</v>
      </c>
      <c r="L17" s="2">
        <v>28072.16</v>
      </c>
      <c r="M17" s="2">
        <v>27913.09</v>
      </c>
      <c r="N17" s="2">
        <v>27808.48</v>
      </c>
      <c r="O17" s="2">
        <v>27672.93</v>
      </c>
      <c r="P17" s="2">
        <v>27673.11</v>
      </c>
      <c r="Q17" s="2">
        <v>27617.89</v>
      </c>
      <c r="R17" s="2">
        <v>27466.44</v>
      </c>
      <c r="S17" s="2">
        <v>27384.01</v>
      </c>
      <c r="T17" s="2">
        <v>27259.07</v>
      </c>
      <c r="U17" s="2">
        <v>27169.88</v>
      </c>
      <c r="V17" s="2">
        <v>27288.94</v>
      </c>
      <c r="W17" s="2">
        <v>27166.39</v>
      </c>
      <c r="X17" s="2">
        <v>27116.23</v>
      </c>
      <c r="Y17" s="2">
        <v>27022.81</v>
      </c>
      <c r="Z17" s="2">
        <v>26785.05</v>
      </c>
      <c r="AA17" s="2">
        <v>26939.22</v>
      </c>
      <c r="AB17" s="2">
        <v>26818.32</v>
      </c>
      <c r="AC17" s="2">
        <v>26777.62</v>
      </c>
      <c r="AD17" s="2">
        <v>26689.54</v>
      </c>
      <c r="AE17" s="2">
        <v>26385.42</v>
      </c>
    </row>
    <row r="18" spans="1:31" x14ac:dyDescent="0.25">
      <c r="A18" t="s">
        <v>119</v>
      </c>
      <c r="B18" s="2">
        <v>29281.5</v>
      </c>
      <c r="C18" s="2">
        <v>29089.5</v>
      </c>
      <c r="D18" s="2">
        <v>28943</v>
      </c>
      <c r="E18" s="2">
        <v>28808</v>
      </c>
      <c r="F18" s="2">
        <v>29046</v>
      </c>
      <c r="G18" s="2">
        <v>28686.5</v>
      </c>
      <c r="H18" s="2">
        <v>28570</v>
      </c>
      <c r="I18" s="2">
        <v>28418.29</v>
      </c>
      <c r="J18" s="2">
        <v>28266.31</v>
      </c>
      <c r="K18" s="2">
        <v>28461.72</v>
      </c>
      <c r="L18" s="2">
        <v>28126.9</v>
      </c>
      <c r="M18" s="2">
        <v>27992.62</v>
      </c>
      <c r="N18" s="2">
        <v>27860.79</v>
      </c>
      <c r="O18" s="2">
        <v>27740.7</v>
      </c>
      <c r="P18" s="2">
        <v>27932.57</v>
      </c>
      <c r="Q18" s="2">
        <v>27663.14</v>
      </c>
      <c r="R18" s="2">
        <v>27542.16</v>
      </c>
      <c r="S18" s="2">
        <v>27425.22</v>
      </c>
      <c r="T18" s="2">
        <v>27321.54</v>
      </c>
      <c r="U18" s="2">
        <v>27424.53</v>
      </c>
      <c r="V18" s="2">
        <v>27327.8</v>
      </c>
      <c r="W18" s="2">
        <v>27227.66</v>
      </c>
      <c r="X18" s="2">
        <v>27141.31</v>
      </c>
      <c r="Y18" s="2">
        <v>27069.52</v>
      </c>
      <c r="Z18" s="2">
        <v>27006.17</v>
      </c>
      <c r="AA18" s="2">
        <v>26981.01</v>
      </c>
      <c r="AB18" s="2">
        <v>26878.77</v>
      </c>
      <c r="AC18" s="2">
        <v>26797.97</v>
      </c>
      <c r="AD18" s="2">
        <v>26733.58</v>
      </c>
      <c r="AE18" s="2">
        <v>26586.97</v>
      </c>
    </row>
    <row r="19" spans="1:31" x14ac:dyDescent="0.25">
      <c r="A19" t="s">
        <v>120</v>
      </c>
      <c r="B19" s="2">
        <v>76.03</v>
      </c>
      <c r="C19" s="2">
        <v>76.19</v>
      </c>
      <c r="D19" s="2">
        <v>75.44</v>
      </c>
      <c r="E19" s="2">
        <v>74.17</v>
      </c>
      <c r="F19" s="2">
        <v>75.42</v>
      </c>
      <c r="G19" s="2">
        <v>73.650000000000006</v>
      </c>
      <c r="H19" s="2">
        <v>73.27</v>
      </c>
      <c r="I19" s="2">
        <v>72.959999999999994</v>
      </c>
      <c r="J19" s="2">
        <v>72.790000000000006</v>
      </c>
      <c r="K19" s="2">
        <v>73.22</v>
      </c>
      <c r="L19" s="2">
        <v>73.38</v>
      </c>
      <c r="M19" s="2">
        <v>73.37</v>
      </c>
      <c r="N19" s="2">
        <v>73.239999999999995</v>
      </c>
      <c r="O19" s="2">
        <v>73.13</v>
      </c>
      <c r="P19" s="2">
        <v>73.14</v>
      </c>
      <c r="Q19" s="2">
        <v>74.02</v>
      </c>
      <c r="R19" s="2">
        <v>74.09</v>
      </c>
      <c r="S19" s="2">
        <v>73.930000000000007</v>
      </c>
      <c r="T19" s="2">
        <v>73.77</v>
      </c>
      <c r="U19" s="2">
        <v>73.47</v>
      </c>
      <c r="V19" s="2">
        <v>75.11</v>
      </c>
      <c r="W19" s="2">
        <v>75.260000000000005</v>
      </c>
      <c r="X19" s="2">
        <v>75.069999999999993</v>
      </c>
      <c r="Y19" s="2">
        <v>74.88</v>
      </c>
      <c r="Z19" s="2">
        <v>74.099999999999994</v>
      </c>
      <c r="AA19" s="2">
        <v>76.17</v>
      </c>
      <c r="AB19" s="2">
        <v>76.38</v>
      </c>
      <c r="AC19" s="2">
        <v>76.180000000000007</v>
      </c>
      <c r="AD19" s="2">
        <v>75.989999999999995</v>
      </c>
      <c r="AE19" s="2">
        <v>74.78</v>
      </c>
    </row>
    <row r="20" spans="1:31" x14ac:dyDescent="0.25">
      <c r="A20" s="3" t="s">
        <v>121</v>
      </c>
      <c r="B20" s="2">
        <v>6679</v>
      </c>
      <c r="C20" s="2">
        <v>6649</v>
      </c>
      <c r="D20" s="2">
        <v>6550</v>
      </c>
      <c r="E20" s="2">
        <v>6410</v>
      </c>
      <c r="F20" s="2">
        <v>26288</v>
      </c>
      <c r="G20" s="2">
        <v>6338</v>
      </c>
      <c r="H20" s="2">
        <v>6280</v>
      </c>
      <c r="I20" s="2">
        <v>6221.77</v>
      </c>
      <c r="J20" s="2">
        <v>6167.32</v>
      </c>
      <c r="K20" s="2">
        <v>25007.200000000001</v>
      </c>
      <c r="L20" s="2">
        <v>6197.42</v>
      </c>
      <c r="M20" s="2">
        <v>6164.08</v>
      </c>
      <c r="N20" s="2">
        <v>6120.45</v>
      </c>
      <c r="O20" s="2">
        <v>6084.53</v>
      </c>
      <c r="P20" s="2">
        <v>24560.83</v>
      </c>
      <c r="Q20" s="2">
        <v>6143.04</v>
      </c>
      <c r="R20" s="2">
        <v>6122.2</v>
      </c>
      <c r="S20" s="2">
        <v>6083.01</v>
      </c>
      <c r="T20" s="2">
        <v>6046.37</v>
      </c>
      <c r="U20" s="2">
        <v>24300.69</v>
      </c>
      <c r="V20" s="2">
        <v>6158.06</v>
      </c>
      <c r="W20" s="2">
        <v>6148.2</v>
      </c>
      <c r="X20" s="2">
        <v>6112.78</v>
      </c>
      <c r="Y20" s="2">
        <v>6081.47</v>
      </c>
      <c r="Z20" s="2">
        <v>24178.19</v>
      </c>
      <c r="AA20" s="2">
        <v>6166.36</v>
      </c>
      <c r="AB20" s="2">
        <v>6161.65</v>
      </c>
      <c r="AC20" s="2">
        <v>6126.33</v>
      </c>
      <c r="AD20" s="2">
        <v>6097.19</v>
      </c>
      <c r="AE20" s="2">
        <v>24076.69</v>
      </c>
    </row>
    <row r="21" spans="1:31" x14ac:dyDescent="0.25">
      <c r="A21" s="3" t="s">
        <v>84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3" t="s">
        <v>122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t="s">
        <v>123</v>
      </c>
      <c r="B23" s="2">
        <v>8148</v>
      </c>
      <c r="C23" s="2">
        <v>8527</v>
      </c>
      <c r="D23" s="2">
        <v>8941</v>
      </c>
      <c r="E23" s="2">
        <v>9305</v>
      </c>
      <c r="F23" s="2">
        <v>9305</v>
      </c>
      <c r="G23" s="2">
        <v>9739</v>
      </c>
      <c r="H23" s="2">
        <v>10187</v>
      </c>
      <c r="I23" s="2">
        <v>10586.4</v>
      </c>
      <c r="J23" s="2">
        <v>10972.44</v>
      </c>
      <c r="K23" s="2">
        <v>10972.49</v>
      </c>
      <c r="L23" s="2">
        <v>11352.17</v>
      </c>
      <c r="M23" s="2">
        <v>11741.5</v>
      </c>
      <c r="N23" s="2">
        <v>12118.03</v>
      </c>
      <c r="O23" s="2">
        <v>12480.89</v>
      </c>
      <c r="P23" s="2">
        <v>12490.77</v>
      </c>
      <c r="Q23" s="2">
        <v>12823.06</v>
      </c>
      <c r="R23" s="2">
        <v>13200.51</v>
      </c>
      <c r="S23" s="2">
        <v>13557.76</v>
      </c>
      <c r="T23" s="2">
        <v>13898.8</v>
      </c>
      <c r="U23" s="2">
        <v>13860.48</v>
      </c>
      <c r="V23" s="2">
        <v>14235.31</v>
      </c>
      <c r="W23" s="2">
        <v>14601.13</v>
      </c>
      <c r="X23" s="2">
        <v>14942.62</v>
      </c>
      <c r="Y23" s="2">
        <v>15274.73</v>
      </c>
      <c r="Z23" s="2">
        <v>15130.43</v>
      </c>
      <c r="AA23" s="2">
        <v>15593.72</v>
      </c>
      <c r="AB23" s="2">
        <v>15951.35</v>
      </c>
      <c r="AC23" s="2">
        <v>16288.43</v>
      </c>
      <c r="AD23" s="2">
        <v>16614.150000000001</v>
      </c>
      <c r="AE23" s="2">
        <v>16324.41</v>
      </c>
    </row>
    <row r="24" spans="1:31" x14ac:dyDescent="0.25">
      <c r="A24" t="s">
        <v>124</v>
      </c>
      <c r="B24" s="2">
        <v>7987</v>
      </c>
      <c r="C24" s="2">
        <v>8337.5</v>
      </c>
      <c r="D24" s="2">
        <v>8733.5</v>
      </c>
      <c r="E24" s="2">
        <v>9123</v>
      </c>
      <c r="F24" s="2">
        <v>8565.5</v>
      </c>
      <c r="G24" s="2">
        <v>9522</v>
      </c>
      <c r="H24" s="2">
        <v>9963</v>
      </c>
      <c r="I24" s="2">
        <v>10386.31</v>
      </c>
      <c r="J24" s="2">
        <v>10777.86</v>
      </c>
      <c r="K24" s="2">
        <v>10144.86</v>
      </c>
      <c r="L24" s="2">
        <v>11161.24</v>
      </c>
      <c r="M24" s="2">
        <v>11546.84</v>
      </c>
      <c r="N24" s="2">
        <v>11929.77</v>
      </c>
      <c r="O24" s="2">
        <v>12299.46</v>
      </c>
      <c r="P24" s="2">
        <v>11733.84</v>
      </c>
      <c r="Q24" s="2">
        <v>12646.02</v>
      </c>
      <c r="R24" s="2">
        <v>13011.78</v>
      </c>
      <c r="S24" s="2">
        <v>13379.13</v>
      </c>
      <c r="T24" s="2">
        <v>13728.28</v>
      </c>
      <c r="U24" s="2">
        <v>13171.84</v>
      </c>
      <c r="V24" s="2">
        <v>14070.04</v>
      </c>
      <c r="W24" s="2">
        <v>14418.22</v>
      </c>
      <c r="X24" s="2">
        <v>14771.88</v>
      </c>
      <c r="Y24" s="2">
        <v>15108.68</v>
      </c>
      <c r="Z24" s="2">
        <v>14497.69</v>
      </c>
      <c r="AA24" s="2">
        <v>15434.23</v>
      </c>
      <c r="AB24" s="2">
        <v>15772.54</v>
      </c>
      <c r="AC24" s="2">
        <v>16119.89</v>
      </c>
      <c r="AD24" s="2">
        <v>16451.29</v>
      </c>
      <c r="AE24" s="2">
        <v>15729.52</v>
      </c>
    </row>
    <row r="25" spans="1:31" x14ac:dyDescent="0.25">
      <c r="A25" t="s">
        <v>125</v>
      </c>
      <c r="B25" s="2">
        <v>46.87</v>
      </c>
      <c r="C25" s="2">
        <v>47.78</v>
      </c>
      <c r="D25" s="2">
        <v>47.56</v>
      </c>
      <c r="E25" s="2">
        <v>51.26</v>
      </c>
      <c r="F25" s="2">
        <v>48.32</v>
      </c>
      <c r="G25" s="2">
        <v>48.83</v>
      </c>
      <c r="H25" s="2">
        <v>47.21</v>
      </c>
      <c r="I25" s="2">
        <v>46.51</v>
      </c>
      <c r="J25" s="2">
        <v>49.6</v>
      </c>
      <c r="K25" s="2">
        <v>48.12</v>
      </c>
      <c r="L25" s="2">
        <v>47.14</v>
      </c>
      <c r="M25" s="2">
        <v>46.42</v>
      </c>
      <c r="N25" s="2">
        <v>45.7</v>
      </c>
      <c r="O25" s="2">
        <v>48.47</v>
      </c>
      <c r="P25" s="2">
        <v>47.21</v>
      </c>
      <c r="Q25" s="2">
        <v>47.16</v>
      </c>
      <c r="R25" s="2">
        <v>46.49</v>
      </c>
      <c r="S25" s="2">
        <v>45.86</v>
      </c>
      <c r="T25" s="2">
        <v>48.49</v>
      </c>
      <c r="U25" s="2">
        <v>46.76</v>
      </c>
      <c r="V25" s="2">
        <v>47.06</v>
      </c>
      <c r="W25" s="2">
        <v>46.3</v>
      </c>
      <c r="X25" s="2">
        <v>45.96</v>
      </c>
      <c r="Y25" s="2">
        <v>48.51</v>
      </c>
      <c r="Z25" s="2">
        <v>46.71</v>
      </c>
      <c r="AA25" s="2">
        <v>47.38</v>
      </c>
      <c r="AB25" s="2">
        <v>46.53</v>
      </c>
      <c r="AC25" s="2">
        <v>46.22</v>
      </c>
      <c r="AD25" s="2">
        <v>48.65</v>
      </c>
      <c r="AE25" s="2">
        <v>46.87</v>
      </c>
    </row>
    <row r="26" spans="1:31" x14ac:dyDescent="0.25">
      <c r="A26" s="3" t="s">
        <v>126</v>
      </c>
      <c r="B26" s="2">
        <v>1123</v>
      </c>
      <c r="C26" s="2">
        <v>1195</v>
      </c>
      <c r="D26" s="2">
        <v>1246</v>
      </c>
      <c r="E26" s="2">
        <v>1403</v>
      </c>
      <c r="F26" s="2">
        <v>4967</v>
      </c>
      <c r="G26" s="2">
        <v>1395</v>
      </c>
      <c r="H26" s="2">
        <v>1411</v>
      </c>
      <c r="I26" s="2">
        <v>1450.07</v>
      </c>
      <c r="J26" s="2">
        <v>1606.28</v>
      </c>
      <c r="K26" s="2">
        <v>5861.71</v>
      </c>
      <c r="L26" s="2">
        <v>1579.24</v>
      </c>
      <c r="M26" s="2">
        <v>1606.7</v>
      </c>
      <c r="N26" s="2">
        <v>1635.53</v>
      </c>
      <c r="O26" s="2">
        <v>1788.53</v>
      </c>
      <c r="P26" s="2">
        <v>6647.92</v>
      </c>
      <c r="Q26" s="2">
        <v>1789.19</v>
      </c>
      <c r="R26" s="2">
        <v>1814.69</v>
      </c>
      <c r="S26" s="2">
        <v>1840.72</v>
      </c>
      <c r="T26" s="2">
        <v>1997.6</v>
      </c>
      <c r="U26" s="2">
        <v>7387.21</v>
      </c>
      <c r="V26" s="2">
        <v>1987.02</v>
      </c>
      <c r="W26" s="2">
        <v>2003.07</v>
      </c>
      <c r="X26" s="2">
        <v>2037.68</v>
      </c>
      <c r="Y26" s="2">
        <v>2199.91</v>
      </c>
      <c r="Z26" s="2">
        <v>8130.32</v>
      </c>
      <c r="AA26" s="2">
        <v>2194.91</v>
      </c>
      <c r="AB26" s="2">
        <v>2202.83</v>
      </c>
      <c r="AC26" s="2">
        <v>2236.92</v>
      </c>
      <c r="AD26" s="2">
        <v>2403.21</v>
      </c>
      <c r="AE26" s="2">
        <v>8856.1200000000008</v>
      </c>
    </row>
    <row r="27" spans="1:31" x14ac:dyDescent="0.25">
      <c r="A27" s="3" t="s">
        <v>84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s="3" t="s">
        <v>127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5">
      <c r="A29" t="s">
        <v>128</v>
      </c>
      <c r="B29" s="2">
        <v>17674</v>
      </c>
      <c r="C29" s="2">
        <v>17573</v>
      </c>
      <c r="D29" s="2">
        <v>17477</v>
      </c>
      <c r="E29" s="2">
        <v>17499</v>
      </c>
      <c r="F29" s="2">
        <v>17499</v>
      </c>
      <c r="G29" s="2">
        <v>17603</v>
      </c>
      <c r="H29" s="2">
        <v>17539</v>
      </c>
      <c r="I29" s="2">
        <v>17485.47</v>
      </c>
      <c r="J29" s="2">
        <v>17507.689999999999</v>
      </c>
      <c r="K29" s="2">
        <v>17505.89</v>
      </c>
      <c r="L29" s="2">
        <v>17553.54</v>
      </c>
      <c r="M29" s="2">
        <v>17506.919999999998</v>
      </c>
      <c r="N29" s="2">
        <v>17467.62</v>
      </c>
      <c r="O29" s="2">
        <v>17485.98</v>
      </c>
      <c r="P29" s="2">
        <v>17483.63</v>
      </c>
      <c r="Q29" s="2">
        <v>17566.02</v>
      </c>
      <c r="R29" s="2">
        <v>17529.27</v>
      </c>
      <c r="S29" s="2">
        <v>17491.849999999999</v>
      </c>
      <c r="T29" s="2">
        <v>17513.48</v>
      </c>
      <c r="U29" s="2">
        <v>17473.439999999999</v>
      </c>
      <c r="V29" s="2">
        <v>17525.64</v>
      </c>
      <c r="W29" s="2">
        <v>17479.43</v>
      </c>
      <c r="X29" s="2">
        <v>17431.599999999999</v>
      </c>
      <c r="Y29" s="2">
        <v>17452.07</v>
      </c>
      <c r="Z29" s="2">
        <v>17432.490000000002</v>
      </c>
      <c r="AA29" s="2">
        <v>17504.57</v>
      </c>
      <c r="AB29" s="2">
        <v>17458.73</v>
      </c>
      <c r="AC29" s="2">
        <v>17411.72</v>
      </c>
      <c r="AD29" s="2">
        <v>17432.509999999998</v>
      </c>
      <c r="AE29" s="2">
        <v>17417.990000000002</v>
      </c>
    </row>
    <row r="30" spans="1:31" x14ac:dyDescent="0.25">
      <c r="A30" t="s">
        <v>129</v>
      </c>
      <c r="B30" s="2">
        <v>17680</v>
      </c>
      <c r="C30" s="2">
        <v>17623.5</v>
      </c>
      <c r="D30" s="2">
        <v>17525</v>
      </c>
      <c r="E30" s="2">
        <v>17488</v>
      </c>
      <c r="F30" s="2">
        <v>17592.5</v>
      </c>
      <c r="G30" s="2">
        <v>17551</v>
      </c>
      <c r="H30" s="2">
        <v>17571</v>
      </c>
      <c r="I30" s="2">
        <v>17512.23</v>
      </c>
      <c r="J30" s="2">
        <v>17496.580000000002</v>
      </c>
      <c r="K30" s="2">
        <v>17515.48</v>
      </c>
      <c r="L30" s="2">
        <v>17535.939999999999</v>
      </c>
      <c r="M30" s="2">
        <v>17530.23</v>
      </c>
      <c r="N30" s="2">
        <v>17487.27</v>
      </c>
      <c r="O30" s="2">
        <v>17476.8</v>
      </c>
      <c r="P30" s="2">
        <v>17497.939999999999</v>
      </c>
      <c r="Q30" s="2">
        <v>17541</v>
      </c>
      <c r="R30" s="2">
        <v>17547.650000000001</v>
      </c>
      <c r="S30" s="2">
        <v>17510.560000000001</v>
      </c>
      <c r="T30" s="2">
        <v>17502.669999999998</v>
      </c>
      <c r="U30" s="2">
        <v>17482.400000000001</v>
      </c>
      <c r="V30" s="2">
        <v>17499.88</v>
      </c>
      <c r="W30" s="2">
        <v>17502.53</v>
      </c>
      <c r="X30" s="2">
        <v>17455.509999999998</v>
      </c>
      <c r="Y30" s="2">
        <v>17441.830000000002</v>
      </c>
      <c r="Z30" s="2">
        <v>17444.27</v>
      </c>
      <c r="AA30" s="2">
        <v>17478.32</v>
      </c>
      <c r="AB30" s="2">
        <v>17481.650000000001</v>
      </c>
      <c r="AC30" s="2">
        <v>17435.22</v>
      </c>
      <c r="AD30" s="2">
        <v>17422.12</v>
      </c>
      <c r="AE30" s="2">
        <v>17427.919999999998</v>
      </c>
    </row>
    <row r="31" spans="1:31" x14ac:dyDescent="0.25">
      <c r="A31" t="s">
        <v>130</v>
      </c>
      <c r="B31" s="2">
        <v>21.34</v>
      </c>
      <c r="C31" s="2">
        <v>23.06</v>
      </c>
      <c r="D31" s="2">
        <v>24.25</v>
      </c>
      <c r="E31" s="2">
        <v>25.48</v>
      </c>
      <c r="F31" s="2">
        <v>23.51</v>
      </c>
      <c r="G31" s="2">
        <v>23.55</v>
      </c>
      <c r="H31" s="2">
        <v>23.64</v>
      </c>
      <c r="I31" s="2">
        <v>24.82</v>
      </c>
      <c r="J31" s="2">
        <v>26.14</v>
      </c>
      <c r="K31" s="2">
        <v>24.53</v>
      </c>
      <c r="L31" s="2">
        <v>24.29</v>
      </c>
      <c r="M31" s="2">
        <v>24.69</v>
      </c>
      <c r="N31" s="2">
        <v>25.93</v>
      </c>
      <c r="O31" s="2">
        <v>27.37</v>
      </c>
      <c r="P31" s="2">
        <v>25.53</v>
      </c>
      <c r="Q31" s="2">
        <v>24.76</v>
      </c>
      <c r="R31" s="2">
        <v>25.12</v>
      </c>
      <c r="S31" s="2">
        <v>26.5</v>
      </c>
      <c r="T31" s="2">
        <v>27.9</v>
      </c>
      <c r="U31" s="2">
        <v>26.08</v>
      </c>
      <c r="V31" s="2">
        <v>25.39</v>
      </c>
      <c r="W31" s="2">
        <v>25.79</v>
      </c>
      <c r="X31" s="2">
        <v>27.15</v>
      </c>
      <c r="Y31" s="2">
        <v>28.57</v>
      </c>
      <c r="Z31" s="2">
        <v>26.78</v>
      </c>
      <c r="AA31" s="2">
        <v>26.06</v>
      </c>
      <c r="AB31" s="2">
        <v>26.47</v>
      </c>
      <c r="AC31" s="2">
        <v>27.87</v>
      </c>
      <c r="AD31" s="2">
        <v>29.33</v>
      </c>
      <c r="AE31" s="2">
        <v>27.51</v>
      </c>
    </row>
    <row r="32" spans="1:31" x14ac:dyDescent="0.25">
      <c r="A32" s="3" t="s">
        <v>131</v>
      </c>
      <c r="B32" s="2">
        <v>1132</v>
      </c>
      <c r="C32" s="2">
        <v>1219</v>
      </c>
      <c r="D32" s="2">
        <v>1275</v>
      </c>
      <c r="E32" s="2">
        <v>1337</v>
      </c>
      <c r="F32" s="2">
        <v>4963</v>
      </c>
      <c r="G32" s="2">
        <v>1240</v>
      </c>
      <c r="H32" s="2">
        <v>1246</v>
      </c>
      <c r="I32" s="2">
        <v>1307.8900000000001</v>
      </c>
      <c r="J32" s="2">
        <v>1375.54</v>
      </c>
      <c r="K32" s="2">
        <v>5169.43</v>
      </c>
      <c r="L32" s="2">
        <v>1284.1199999999999</v>
      </c>
      <c r="M32" s="2">
        <v>1297.3599999999999</v>
      </c>
      <c r="N32" s="2">
        <v>1364.57</v>
      </c>
      <c r="O32" s="2">
        <v>1439.77</v>
      </c>
      <c r="P32" s="2">
        <v>5363.82</v>
      </c>
      <c r="Q32" s="2">
        <v>1313.69</v>
      </c>
      <c r="R32" s="2">
        <v>1323.98</v>
      </c>
      <c r="S32" s="2">
        <v>1398.05</v>
      </c>
      <c r="T32" s="2">
        <v>1471.61</v>
      </c>
      <c r="U32" s="2">
        <v>5479.77</v>
      </c>
      <c r="V32" s="2">
        <v>1345.21</v>
      </c>
      <c r="W32" s="2">
        <v>1355.86</v>
      </c>
      <c r="X32" s="2">
        <v>1428.83</v>
      </c>
      <c r="Y32" s="2">
        <v>1502.49</v>
      </c>
      <c r="Z32" s="2">
        <v>5619.41</v>
      </c>
      <c r="AA32" s="2">
        <v>1378.87</v>
      </c>
      <c r="AB32" s="2">
        <v>1390.26</v>
      </c>
      <c r="AC32" s="2">
        <v>1465.08</v>
      </c>
      <c r="AD32" s="2">
        <v>1540.67</v>
      </c>
      <c r="AE32" s="2">
        <v>5767.35</v>
      </c>
    </row>
    <row r="33" spans="1:31" x14ac:dyDescent="0.25">
      <c r="A33" s="3" t="s">
        <v>84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3" t="s">
        <v>132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t="s">
        <v>133</v>
      </c>
      <c r="B35" s="2">
        <v>2613</v>
      </c>
      <c r="C35" s="2">
        <v>2713</v>
      </c>
      <c r="D35" s="2">
        <v>2702</v>
      </c>
      <c r="E35" s="2">
        <v>2702</v>
      </c>
      <c r="F35" s="2">
        <v>2702</v>
      </c>
      <c r="G35" s="2">
        <v>2685.26</v>
      </c>
      <c r="H35" s="2">
        <v>2687.57</v>
      </c>
      <c r="I35" s="2">
        <v>2680.75</v>
      </c>
      <c r="J35" s="2">
        <v>2669.38</v>
      </c>
      <c r="K35" s="2">
        <v>2669.38</v>
      </c>
      <c r="L35" s="2">
        <v>2681.99</v>
      </c>
      <c r="M35" s="2">
        <v>2680.71</v>
      </c>
      <c r="N35" s="2">
        <v>2672.66</v>
      </c>
      <c r="O35" s="2">
        <v>2669.36</v>
      </c>
      <c r="P35" s="2">
        <v>2661.24</v>
      </c>
      <c r="Q35" s="2">
        <v>2664.08</v>
      </c>
      <c r="R35" s="2">
        <v>2663.35</v>
      </c>
      <c r="S35" s="2">
        <v>2653.85</v>
      </c>
      <c r="T35" s="2">
        <v>2650.08</v>
      </c>
      <c r="U35" s="2">
        <v>2642.91</v>
      </c>
      <c r="V35" s="2">
        <v>2655.24</v>
      </c>
      <c r="W35" s="2">
        <v>2655.26</v>
      </c>
      <c r="X35" s="2">
        <v>2646.78</v>
      </c>
      <c r="Y35" s="2">
        <v>2643.75</v>
      </c>
      <c r="Z35" s="2">
        <v>2631.4</v>
      </c>
      <c r="AA35" s="2">
        <v>2649.32</v>
      </c>
      <c r="AB35" s="2">
        <v>2649.92</v>
      </c>
      <c r="AC35" s="2">
        <v>2642.32</v>
      </c>
      <c r="AD35" s="2">
        <v>2639.92</v>
      </c>
      <c r="AE35" s="2">
        <v>2621.06</v>
      </c>
    </row>
    <row r="36" spans="1:31" x14ac:dyDescent="0.25">
      <c r="A36" t="s">
        <v>134</v>
      </c>
      <c r="B36" s="2">
        <v>2619.5</v>
      </c>
      <c r="C36" s="2">
        <v>2663</v>
      </c>
      <c r="D36" s="2">
        <v>2707.5</v>
      </c>
      <c r="E36" s="2">
        <v>2702</v>
      </c>
      <c r="F36" s="2">
        <v>2664</v>
      </c>
      <c r="G36" s="2">
        <v>2686.98</v>
      </c>
      <c r="H36" s="2">
        <v>2688.81</v>
      </c>
      <c r="I36" s="2">
        <v>2682.6</v>
      </c>
      <c r="J36" s="2">
        <v>2674.88</v>
      </c>
      <c r="K36" s="2">
        <v>2675.34</v>
      </c>
      <c r="L36" s="2">
        <v>2680.58</v>
      </c>
      <c r="M36" s="2">
        <v>2678.51</v>
      </c>
      <c r="N36" s="2">
        <v>2673.9</v>
      </c>
      <c r="O36" s="2">
        <v>2671.22</v>
      </c>
      <c r="P36" s="2">
        <v>2665.13</v>
      </c>
      <c r="Q36" s="2">
        <v>2662.34</v>
      </c>
      <c r="R36" s="2">
        <v>2660.62</v>
      </c>
      <c r="S36" s="2">
        <v>2655.51</v>
      </c>
      <c r="T36" s="2">
        <v>2652.78</v>
      </c>
      <c r="U36" s="2">
        <v>2649.38</v>
      </c>
      <c r="V36" s="2">
        <v>2653.7</v>
      </c>
      <c r="W36" s="2">
        <v>2652.6</v>
      </c>
      <c r="X36" s="2">
        <v>2648.33</v>
      </c>
      <c r="Y36" s="2">
        <v>2646.43</v>
      </c>
      <c r="Z36" s="2">
        <v>2637.16</v>
      </c>
      <c r="AA36" s="2">
        <v>2647.89</v>
      </c>
      <c r="AB36" s="2">
        <v>2647.26</v>
      </c>
      <c r="AC36" s="2">
        <v>2643.69</v>
      </c>
      <c r="AD36" s="2">
        <v>2642.51</v>
      </c>
      <c r="AE36" s="2">
        <v>2626.23</v>
      </c>
    </row>
    <row r="37" spans="1:31" x14ac:dyDescent="0.25">
      <c r="A37" t="s">
        <v>135</v>
      </c>
      <c r="B37" s="2">
        <v>317.62</v>
      </c>
      <c r="C37" s="2">
        <v>322.32</v>
      </c>
      <c r="D37" s="2">
        <v>317.14</v>
      </c>
      <c r="E37" s="2">
        <v>319.52</v>
      </c>
      <c r="F37" s="2">
        <v>320.23</v>
      </c>
      <c r="G37" s="2">
        <v>327.49</v>
      </c>
      <c r="H37" s="2">
        <v>331.47</v>
      </c>
      <c r="I37" s="2">
        <v>330.19</v>
      </c>
      <c r="J37" s="2">
        <v>332.14</v>
      </c>
      <c r="K37" s="2">
        <v>330.94</v>
      </c>
      <c r="L37" s="2">
        <v>340.27</v>
      </c>
      <c r="M37" s="2">
        <v>344.59</v>
      </c>
      <c r="N37" s="2">
        <v>343.77</v>
      </c>
      <c r="O37" s="2">
        <v>343.9</v>
      </c>
      <c r="P37" s="2">
        <v>341.87</v>
      </c>
      <c r="Q37" s="2">
        <v>355.1</v>
      </c>
      <c r="R37" s="2">
        <v>359.61</v>
      </c>
      <c r="S37" s="2">
        <v>356.62</v>
      </c>
      <c r="T37" s="2">
        <v>355.29</v>
      </c>
      <c r="U37" s="2">
        <v>353.1</v>
      </c>
      <c r="V37" s="2">
        <v>370.03</v>
      </c>
      <c r="W37" s="2">
        <v>374.62</v>
      </c>
      <c r="X37" s="2">
        <v>370.36</v>
      </c>
      <c r="Y37" s="2">
        <v>368.52</v>
      </c>
      <c r="Z37" s="2">
        <v>364.97</v>
      </c>
      <c r="AA37" s="2">
        <v>385.13</v>
      </c>
      <c r="AB37" s="2">
        <v>389.81</v>
      </c>
      <c r="AC37" s="2">
        <v>384.25</v>
      </c>
      <c r="AD37" s="2">
        <v>381.88</v>
      </c>
      <c r="AE37" s="2">
        <v>376.99</v>
      </c>
    </row>
    <row r="38" spans="1:31" x14ac:dyDescent="0.25">
      <c r="A38" s="3" t="s">
        <v>136</v>
      </c>
      <c r="B38" s="2">
        <v>2495.5</v>
      </c>
      <c r="C38" s="2">
        <v>2575</v>
      </c>
      <c r="D38" s="2">
        <v>2576</v>
      </c>
      <c r="E38" s="2">
        <v>2590</v>
      </c>
      <c r="F38" s="2">
        <v>10237</v>
      </c>
      <c r="G38" s="2">
        <v>2640</v>
      </c>
      <c r="H38" s="2">
        <v>2671</v>
      </c>
      <c r="I38" s="2">
        <v>2650.53</v>
      </c>
      <c r="J38" s="2">
        <v>2662.95</v>
      </c>
      <c r="K38" s="2">
        <v>10624.37</v>
      </c>
      <c r="L38" s="2">
        <v>2723.3</v>
      </c>
      <c r="M38" s="2">
        <v>2752.07</v>
      </c>
      <c r="N38" s="2">
        <v>2741.73</v>
      </c>
      <c r="O38" s="2">
        <v>2755.18</v>
      </c>
      <c r="P38" s="2">
        <v>10925.54</v>
      </c>
      <c r="Q38" s="2">
        <v>2815.68</v>
      </c>
      <c r="R38" s="2">
        <v>2849.16</v>
      </c>
      <c r="S38" s="2">
        <v>2821.24</v>
      </c>
      <c r="T38" s="2">
        <v>2830.95</v>
      </c>
      <c r="U38" s="2">
        <v>11242.7</v>
      </c>
      <c r="V38" s="2">
        <v>2908.96</v>
      </c>
      <c r="W38" s="2">
        <v>2943.46</v>
      </c>
      <c r="X38" s="2">
        <v>2909.77</v>
      </c>
      <c r="Y38" s="2">
        <v>2917.86</v>
      </c>
      <c r="Z38" s="2">
        <v>11586.78</v>
      </c>
      <c r="AA38" s="2">
        <v>3003.03</v>
      </c>
      <c r="AB38" s="2">
        <v>3038.57</v>
      </c>
      <c r="AC38" s="2">
        <v>3000.28</v>
      </c>
      <c r="AD38" s="2">
        <v>3007.2</v>
      </c>
      <c r="AE38" s="2">
        <v>11913.58</v>
      </c>
    </row>
    <row r="39" spans="1:31" x14ac:dyDescent="0.25">
      <c r="A39" s="3" t="s">
        <v>84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3" t="s">
        <v>137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t="s">
        <v>138</v>
      </c>
      <c r="B41" s="2">
        <v>29190</v>
      </c>
      <c r="C41" s="2">
        <v>28989</v>
      </c>
      <c r="D41" s="2">
        <v>28897</v>
      </c>
      <c r="E41" s="2">
        <v>31255</v>
      </c>
      <c r="F41" s="2">
        <v>31255</v>
      </c>
      <c r="G41" s="2">
        <v>30472.76</v>
      </c>
      <c r="H41" s="2">
        <v>30479.01</v>
      </c>
      <c r="I41" s="2">
        <v>30345.96</v>
      </c>
      <c r="J41" s="2">
        <v>30189.27</v>
      </c>
      <c r="K41" s="2">
        <v>30189.1</v>
      </c>
      <c r="L41" s="2">
        <v>30120.74</v>
      </c>
      <c r="M41" s="2">
        <v>29978.71</v>
      </c>
      <c r="N41" s="2">
        <v>29903.279999999999</v>
      </c>
      <c r="O41" s="2">
        <v>29818.95</v>
      </c>
      <c r="P41" s="2">
        <v>29705.03</v>
      </c>
      <c r="Q41" s="2">
        <v>30347.57</v>
      </c>
      <c r="R41" s="2">
        <v>30229.35</v>
      </c>
      <c r="S41" s="2">
        <v>30212.03</v>
      </c>
      <c r="T41" s="2">
        <v>30170.69</v>
      </c>
      <c r="U41" s="2">
        <v>29220.81</v>
      </c>
      <c r="V41" s="2">
        <v>30133.03</v>
      </c>
      <c r="W41" s="2">
        <v>30038.83</v>
      </c>
      <c r="X41" s="2">
        <v>30056.799999999999</v>
      </c>
      <c r="Y41" s="2">
        <v>30039.84</v>
      </c>
      <c r="Z41" s="2">
        <v>28867.52</v>
      </c>
      <c r="AA41" s="2">
        <v>30014.78</v>
      </c>
      <c r="AB41" s="2">
        <v>29934.74</v>
      </c>
      <c r="AC41" s="2">
        <v>29984.98</v>
      </c>
      <c r="AD41" s="2">
        <v>29990.7</v>
      </c>
      <c r="AE41" s="2">
        <v>28564.14</v>
      </c>
    </row>
    <row r="42" spans="1:31" x14ac:dyDescent="0.25">
      <c r="A42" t="s">
        <v>139</v>
      </c>
      <c r="B42" s="2">
        <v>31742.5</v>
      </c>
      <c r="C42" s="2">
        <v>29089.5</v>
      </c>
      <c r="D42" s="2">
        <v>28943</v>
      </c>
      <c r="E42" s="2">
        <v>31345</v>
      </c>
      <c r="F42" s="2">
        <v>31548.5</v>
      </c>
      <c r="G42" s="2">
        <v>30633.29</v>
      </c>
      <c r="H42" s="2">
        <v>30566.87</v>
      </c>
      <c r="I42" s="2">
        <v>30412.53</v>
      </c>
      <c r="J42" s="2">
        <v>30267.61</v>
      </c>
      <c r="K42" s="2">
        <v>30589.15</v>
      </c>
      <c r="L42" s="2">
        <v>30174.61</v>
      </c>
      <c r="M42" s="2">
        <v>30049.73</v>
      </c>
      <c r="N42" s="2">
        <v>29941</v>
      </c>
      <c r="O42" s="2">
        <v>29861.119999999999</v>
      </c>
      <c r="P42" s="2">
        <v>29928.07</v>
      </c>
      <c r="Q42" s="2">
        <v>30374.14</v>
      </c>
      <c r="R42" s="2">
        <v>30288.46</v>
      </c>
      <c r="S42" s="2">
        <v>30220.69</v>
      </c>
      <c r="T42" s="2">
        <v>30191.360000000001</v>
      </c>
      <c r="U42" s="2">
        <v>29421.88</v>
      </c>
      <c r="V42" s="2">
        <v>30151.86</v>
      </c>
      <c r="W42" s="2">
        <v>30085.93</v>
      </c>
      <c r="X42" s="2">
        <v>30047.82</v>
      </c>
      <c r="Y42" s="2">
        <v>30048.32</v>
      </c>
      <c r="Z42" s="2">
        <v>29044.16</v>
      </c>
      <c r="AA42" s="2">
        <v>30027.31</v>
      </c>
      <c r="AB42" s="2">
        <v>29974.76</v>
      </c>
      <c r="AC42" s="2">
        <v>29959.86</v>
      </c>
      <c r="AD42" s="2">
        <v>29987.84</v>
      </c>
      <c r="AE42" s="2">
        <v>28715.83</v>
      </c>
    </row>
    <row r="43" spans="1:31" x14ac:dyDescent="0.25">
      <c r="A43" t="s">
        <v>140</v>
      </c>
      <c r="B43" s="2">
        <v>70.14</v>
      </c>
      <c r="C43" s="2">
        <v>70.16</v>
      </c>
      <c r="D43" s="2">
        <v>69.34</v>
      </c>
      <c r="E43" s="2">
        <v>68.17</v>
      </c>
      <c r="F43" s="2">
        <v>69.44</v>
      </c>
      <c r="G43" s="2">
        <v>67.680000000000007</v>
      </c>
      <c r="H43" s="2">
        <v>68.62</v>
      </c>
      <c r="I43" s="2">
        <v>68.349999999999994</v>
      </c>
      <c r="J43" s="2">
        <v>68.209999999999994</v>
      </c>
      <c r="K43" s="2">
        <v>68.27</v>
      </c>
      <c r="L43" s="2">
        <v>68.92</v>
      </c>
      <c r="M43" s="2">
        <v>68.760000000000005</v>
      </c>
      <c r="N43" s="2">
        <v>68.62</v>
      </c>
      <c r="O43" s="2">
        <v>68.62</v>
      </c>
      <c r="P43" s="2">
        <v>68.790000000000006</v>
      </c>
      <c r="Q43" s="2">
        <v>67.900000000000006</v>
      </c>
      <c r="R43" s="2">
        <v>67.8</v>
      </c>
      <c r="S43" s="2">
        <v>67.61</v>
      </c>
      <c r="T43" s="2">
        <v>67.47</v>
      </c>
      <c r="U43" s="2">
        <v>69.61</v>
      </c>
      <c r="V43" s="2">
        <v>68.63</v>
      </c>
      <c r="W43" s="2">
        <v>68.680000000000007</v>
      </c>
      <c r="X43" s="2">
        <v>68.47</v>
      </c>
      <c r="Y43" s="2">
        <v>68.34</v>
      </c>
      <c r="Z43" s="2">
        <v>70.56</v>
      </c>
      <c r="AA43" s="2">
        <v>69.58</v>
      </c>
      <c r="AB43" s="2">
        <v>69.77</v>
      </c>
      <c r="AC43" s="2">
        <v>69.55</v>
      </c>
      <c r="AD43" s="2">
        <v>69.430000000000007</v>
      </c>
      <c r="AE43" s="2">
        <v>71.62</v>
      </c>
    </row>
    <row r="44" spans="1:31" x14ac:dyDescent="0.25">
      <c r="A44" s="3" t="s">
        <v>121</v>
      </c>
      <c r="B44" s="2">
        <v>6679</v>
      </c>
      <c r="C44" s="2">
        <v>6649</v>
      </c>
      <c r="D44" s="2">
        <v>6550</v>
      </c>
      <c r="E44" s="2">
        <v>6410</v>
      </c>
      <c r="F44" s="2">
        <v>26288</v>
      </c>
      <c r="G44" s="2">
        <v>6338</v>
      </c>
      <c r="H44" s="2">
        <v>6280</v>
      </c>
      <c r="I44" s="2">
        <v>6221.77</v>
      </c>
      <c r="J44" s="2">
        <v>6167.32</v>
      </c>
      <c r="K44" s="2">
        <v>25007.200000000001</v>
      </c>
      <c r="L44" s="2">
        <v>6197.42</v>
      </c>
      <c r="M44" s="2">
        <v>6164.08</v>
      </c>
      <c r="N44" s="2">
        <v>6120.45</v>
      </c>
      <c r="O44" s="2">
        <v>6084.53</v>
      </c>
      <c r="P44" s="2">
        <v>24560.83</v>
      </c>
      <c r="Q44" s="2">
        <v>6143.04</v>
      </c>
      <c r="R44" s="2">
        <v>6122.2</v>
      </c>
      <c r="S44" s="2">
        <v>6083.01</v>
      </c>
      <c r="T44" s="2">
        <v>6046.37</v>
      </c>
      <c r="U44" s="2">
        <v>24300.69</v>
      </c>
      <c r="V44" s="2">
        <v>6158.06</v>
      </c>
      <c r="W44" s="2">
        <v>6148.2</v>
      </c>
      <c r="X44" s="2">
        <v>6112.78</v>
      </c>
      <c r="Y44" s="2">
        <v>6081.47</v>
      </c>
      <c r="Z44" s="2">
        <v>24178.19</v>
      </c>
      <c r="AA44" s="2">
        <v>6166.36</v>
      </c>
      <c r="AB44" s="2">
        <v>6161.65</v>
      </c>
      <c r="AC44" s="2">
        <v>6126.33</v>
      </c>
      <c r="AD44" s="2">
        <v>6097.19</v>
      </c>
      <c r="AE44" s="2">
        <v>24076.69</v>
      </c>
    </row>
    <row r="45" spans="1:31" x14ac:dyDescent="0.25">
      <c r="A45" s="3" t="s">
        <v>84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3" t="s">
        <v>141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t="s">
        <v>142</v>
      </c>
      <c r="B47" s="2">
        <v>17665</v>
      </c>
      <c r="C47" s="2">
        <v>17839</v>
      </c>
      <c r="D47" s="2">
        <v>17636</v>
      </c>
      <c r="E47" s="2">
        <v>17692</v>
      </c>
      <c r="F47" s="2">
        <v>70832</v>
      </c>
      <c r="G47" s="2">
        <v>17323</v>
      </c>
      <c r="H47" s="2">
        <v>17124</v>
      </c>
      <c r="I47" s="2">
        <v>17027.39</v>
      </c>
      <c r="J47" s="2">
        <v>17231.02</v>
      </c>
      <c r="K47" s="2">
        <v>68705.460000000006</v>
      </c>
      <c r="L47" s="2">
        <v>16888.080000000002</v>
      </c>
      <c r="M47" s="2">
        <v>16737.75</v>
      </c>
      <c r="N47" s="2">
        <v>16596.259999999998</v>
      </c>
      <c r="O47" s="2">
        <v>16779.37</v>
      </c>
      <c r="P47" s="2">
        <v>67246.490000000005</v>
      </c>
      <c r="Q47" s="2">
        <v>16692.89</v>
      </c>
      <c r="R47" s="2">
        <v>16543.72</v>
      </c>
      <c r="S47" s="2">
        <v>16490.07</v>
      </c>
      <c r="T47" s="2">
        <v>16733.52</v>
      </c>
      <c r="U47" s="2">
        <v>66589.14</v>
      </c>
      <c r="V47" s="2">
        <v>16565.919999999998</v>
      </c>
      <c r="W47" s="2">
        <v>16427.439999999999</v>
      </c>
      <c r="X47" s="2">
        <v>16346.04</v>
      </c>
      <c r="Y47" s="2">
        <v>16562.84</v>
      </c>
      <c r="Z47" s="2">
        <v>65739.39</v>
      </c>
      <c r="AA47" s="2">
        <v>16499.37</v>
      </c>
      <c r="AB47" s="2">
        <v>16378.31</v>
      </c>
      <c r="AC47" s="2">
        <v>16328.82</v>
      </c>
      <c r="AD47" s="2">
        <v>16596.95</v>
      </c>
      <c r="AE47" s="2">
        <v>65484.73</v>
      </c>
    </row>
    <row r="48" spans="1:31" x14ac:dyDescent="0.25">
      <c r="A48" t="s">
        <v>143</v>
      </c>
      <c r="B48" s="2">
        <v>2495.5</v>
      </c>
      <c r="C48" s="2">
        <v>2575</v>
      </c>
      <c r="D48" s="2">
        <v>2576</v>
      </c>
      <c r="E48" s="2">
        <v>2590</v>
      </c>
      <c r="F48" s="2">
        <v>10237</v>
      </c>
      <c r="G48" s="2">
        <v>2640</v>
      </c>
      <c r="H48" s="2">
        <v>2671</v>
      </c>
      <c r="I48" s="2">
        <v>2650.53</v>
      </c>
      <c r="J48" s="2">
        <v>2662.95</v>
      </c>
      <c r="K48" s="2">
        <v>10624.37</v>
      </c>
      <c r="L48" s="2">
        <v>2723.3</v>
      </c>
      <c r="M48" s="2">
        <v>2752.07</v>
      </c>
      <c r="N48" s="2">
        <v>2741.73</v>
      </c>
      <c r="O48" s="2">
        <v>2755.18</v>
      </c>
      <c r="P48" s="2">
        <v>10925.54</v>
      </c>
      <c r="Q48" s="2">
        <v>2815.68</v>
      </c>
      <c r="R48" s="2">
        <v>2849.16</v>
      </c>
      <c r="S48" s="2">
        <v>2821.24</v>
      </c>
      <c r="T48" s="2">
        <v>2830.95</v>
      </c>
      <c r="U48" s="2">
        <v>11242.7</v>
      </c>
      <c r="V48" s="2">
        <v>2908.96</v>
      </c>
      <c r="W48" s="2">
        <v>2943.46</v>
      </c>
      <c r="X48" s="2">
        <v>2909.77</v>
      </c>
      <c r="Y48" s="2">
        <v>2917.86</v>
      </c>
      <c r="Z48" s="2">
        <v>11586.78</v>
      </c>
      <c r="AA48" s="2">
        <v>3003.03</v>
      </c>
      <c r="AB48" s="2">
        <v>3038.57</v>
      </c>
      <c r="AC48" s="2">
        <v>3000.28</v>
      </c>
      <c r="AD48" s="2">
        <v>3007.2</v>
      </c>
      <c r="AE48" s="2">
        <v>11913.58</v>
      </c>
    </row>
    <row r="49" spans="1:31" x14ac:dyDescent="0.25">
      <c r="A49" s="3" t="s">
        <v>144</v>
      </c>
      <c r="B49" s="2">
        <v>20161</v>
      </c>
      <c r="C49" s="2">
        <v>20414</v>
      </c>
      <c r="D49" s="2">
        <v>20212</v>
      </c>
      <c r="E49" s="2">
        <v>20282</v>
      </c>
      <c r="F49" s="2">
        <v>81069</v>
      </c>
      <c r="G49" s="2">
        <v>19962</v>
      </c>
      <c r="H49" s="2">
        <v>19795</v>
      </c>
      <c r="I49" s="2">
        <v>19677.91</v>
      </c>
      <c r="J49" s="2">
        <v>19893.98</v>
      </c>
      <c r="K49" s="2">
        <v>79329.570000000007</v>
      </c>
      <c r="L49" s="2">
        <v>19611.38</v>
      </c>
      <c r="M49" s="2">
        <v>19489.810000000001</v>
      </c>
      <c r="N49" s="2">
        <v>19338</v>
      </c>
      <c r="O49" s="2">
        <v>19534.55</v>
      </c>
      <c r="P49" s="2">
        <v>78171.990000000005</v>
      </c>
      <c r="Q49" s="2">
        <v>19508.57</v>
      </c>
      <c r="R49" s="2">
        <v>19392.88</v>
      </c>
      <c r="S49" s="2">
        <v>19311.310000000001</v>
      </c>
      <c r="T49" s="2">
        <v>19564.47</v>
      </c>
      <c r="U49" s="2">
        <v>77831.83</v>
      </c>
      <c r="V49" s="2">
        <v>19474.87</v>
      </c>
      <c r="W49" s="2">
        <v>19370.900000000001</v>
      </c>
      <c r="X49" s="2">
        <v>19255.8</v>
      </c>
      <c r="Y49" s="2">
        <v>19480.689999999999</v>
      </c>
      <c r="Z49" s="2">
        <v>77326.17</v>
      </c>
      <c r="AA49" s="2">
        <v>19502.400000000001</v>
      </c>
      <c r="AB49" s="2">
        <v>19416.88</v>
      </c>
      <c r="AC49" s="2">
        <v>19329.09</v>
      </c>
      <c r="AD49" s="2">
        <v>19604.16</v>
      </c>
      <c r="AE49" s="2">
        <v>77398.34</v>
      </c>
    </row>
    <row r="50" spans="1:31" x14ac:dyDescent="0.25">
      <c r="A50" s="3" t="s">
        <v>84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5">
      <c r="A51" s="3" t="s">
        <v>145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5">
      <c r="A52" t="s">
        <v>146</v>
      </c>
      <c r="B52" s="2">
        <v>6842</v>
      </c>
      <c r="C52" s="2">
        <v>7006</v>
      </c>
      <c r="D52" s="2">
        <v>6484</v>
      </c>
      <c r="E52" s="2">
        <v>6032</v>
      </c>
      <c r="F52" s="2">
        <v>26364</v>
      </c>
      <c r="G52" s="2">
        <v>6434</v>
      </c>
      <c r="H52" s="2">
        <v>6448</v>
      </c>
      <c r="I52" s="2">
        <v>6095.11</v>
      </c>
      <c r="J52" s="2">
        <v>5827.21</v>
      </c>
      <c r="K52" s="2">
        <v>24804.52</v>
      </c>
      <c r="L52" s="2">
        <v>6248.12</v>
      </c>
      <c r="M52" s="2">
        <v>6284.49</v>
      </c>
      <c r="N52" s="2">
        <v>5977.69</v>
      </c>
      <c r="O52" s="2">
        <v>5717.95</v>
      </c>
      <c r="P52" s="2">
        <v>24217.39</v>
      </c>
      <c r="Q52" s="2">
        <v>6182.97</v>
      </c>
      <c r="R52" s="2">
        <v>6226.41</v>
      </c>
      <c r="S52" s="2">
        <v>5919.23</v>
      </c>
      <c r="T52" s="2">
        <v>5649.49</v>
      </c>
      <c r="U52" s="2">
        <v>24123.3</v>
      </c>
      <c r="V52" s="2">
        <v>6118.84</v>
      </c>
      <c r="W52" s="2">
        <v>6156.89</v>
      </c>
      <c r="X52" s="2">
        <v>5808.8</v>
      </c>
      <c r="Y52" s="2">
        <v>5494.59</v>
      </c>
      <c r="Z52" s="2">
        <v>23633.84</v>
      </c>
      <c r="AA52" s="2">
        <v>6072.62</v>
      </c>
      <c r="AB52" s="2">
        <v>6113.25</v>
      </c>
      <c r="AC52" s="2">
        <v>5778.71</v>
      </c>
      <c r="AD52" s="2">
        <v>5504.42</v>
      </c>
      <c r="AE52" s="2">
        <v>23597.83</v>
      </c>
    </row>
    <row r="53" spans="1:31" x14ac:dyDescent="0.25">
      <c r="A53" t="s">
        <v>147</v>
      </c>
      <c r="B53" s="2">
        <v>1422</v>
      </c>
      <c r="C53" s="2">
        <v>1444</v>
      </c>
      <c r="D53" s="2">
        <v>1454</v>
      </c>
      <c r="E53" s="2">
        <v>1405</v>
      </c>
      <c r="F53" s="2">
        <v>5725</v>
      </c>
      <c r="G53" s="2">
        <v>1476</v>
      </c>
      <c r="H53" s="2">
        <v>1516</v>
      </c>
      <c r="I53" s="2">
        <v>1491.75</v>
      </c>
      <c r="J53" s="2">
        <v>1455.8</v>
      </c>
      <c r="K53" s="2">
        <v>5940.08</v>
      </c>
      <c r="L53" s="2">
        <v>1537.71</v>
      </c>
      <c r="M53" s="2">
        <v>1558.86</v>
      </c>
      <c r="N53" s="2">
        <v>1542.14</v>
      </c>
      <c r="O53" s="2">
        <v>1513.57</v>
      </c>
      <c r="P53" s="2">
        <v>6102.77</v>
      </c>
      <c r="Q53" s="2">
        <v>1581.83</v>
      </c>
      <c r="R53" s="2">
        <v>1616.28</v>
      </c>
      <c r="S53" s="2">
        <v>1584.09</v>
      </c>
      <c r="T53" s="2">
        <v>1547.16</v>
      </c>
      <c r="U53" s="2">
        <v>6273.6</v>
      </c>
      <c r="V53" s="2">
        <v>1636.55</v>
      </c>
      <c r="W53" s="2">
        <v>1671.08</v>
      </c>
      <c r="X53" s="2">
        <v>1636.55</v>
      </c>
      <c r="Y53" s="2">
        <v>1598.56</v>
      </c>
      <c r="Z53" s="2">
        <v>6461.22</v>
      </c>
      <c r="AA53" s="2">
        <v>1689.92</v>
      </c>
      <c r="AB53" s="2">
        <v>1730.07</v>
      </c>
      <c r="AC53" s="2">
        <v>1693.09</v>
      </c>
      <c r="AD53" s="2">
        <v>1653.83</v>
      </c>
      <c r="AE53" s="2">
        <v>6640.7</v>
      </c>
    </row>
    <row r="54" spans="1:31" x14ac:dyDescent="0.25">
      <c r="A54" s="3" t="s">
        <v>148</v>
      </c>
      <c r="B54" s="2">
        <v>8264</v>
      </c>
      <c r="C54" s="2">
        <v>8450</v>
      </c>
      <c r="D54" s="2">
        <v>7938</v>
      </c>
      <c r="E54" s="2">
        <v>7437</v>
      </c>
      <c r="F54" s="2">
        <v>32089</v>
      </c>
      <c r="G54" s="2">
        <v>7910</v>
      </c>
      <c r="H54" s="2">
        <v>7964</v>
      </c>
      <c r="I54" s="2">
        <v>7568.55</v>
      </c>
      <c r="J54" s="2">
        <v>7256.55</v>
      </c>
      <c r="K54" s="2">
        <v>30699.78</v>
      </c>
      <c r="L54" s="2">
        <v>7740.79</v>
      </c>
      <c r="M54" s="2">
        <v>7846.8</v>
      </c>
      <c r="N54" s="2">
        <v>7518.48</v>
      </c>
      <c r="O54" s="2">
        <v>7224.17</v>
      </c>
      <c r="P54" s="2">
        <v>30358.14</v>
      </c>
      <c r="Q54" s="2">
        <v>7740.18</v>
      </c>
      <c r="R54" s="2">
        <v>7813.16</v>
      </c>
      <c r="S54" s="2">
        <v>7469.01</v>
      </c>
      <c r="T54" s="2">
        <v>7162.15</v>
      </c>
      <c r="U54" s="2">
        <v>30414.22</v>
      </c>
      <c r="V54" s="2">
        <v>7755.39</v>
      </c>
      <c r="W54" s="2">
        <v>7827.97</v>
      </c>
      <c r="X54" s="2">
        <v>7445.35</v>
      </c>
      <c r="Y54" s="2">
        <v>7093.15</v>
      </c>
      <c r="Z54" s="2">
        <v>30297.5</v>
      </c>
      <c r="AA54" s="2">
        <v>7762.54</v>
      </c>
      <c r="AB54" s="2">
        <v>7843.31</v>
      </c>
      <c r="AC54" s="2">
        <v>7471.8</v>
      </c>
      <c r="AD54" s="2">
        <v>7158.26</v>
      </c>
      <c r="AE54" s="2">
        <v>30535.97</v>
      </c>
    </row>
    <row r="55" spans="1:31" x14ac:dyDescent="0.25">
      <c r="A55" s="3" t="s">
        <v>84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5">
      <c r="A56" s="3" t="s">
        <v>149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5">
      <c r="A57" t="s">
        <v>150</v>
      </c>
      <c r="B57" s="2">
        <v>6679</v>
      </c>
      <c r="C57" s="2">
        <v>6649</v>
      </c>
      <c r="D57" s="2">
        <v>6550</v>
      </c>
      <c r="E57" s="2">
        <v>6410</v>
      </c>
      <c r="F57" s="2">
        <v>26288</v>
      </c>
      <c r="G57" s="2">
        <v>6338</v>
      </c>
      <c r="H57" s="2">
        <v>6280</v>
      </c>
      <c r="I57" s="2">
        <v>6221.77</v>
      </c>
      <c r="J57" s="2">
        <v>6167.32</v>
      </c>
      <c r="K57" s="2">
        <v>25007.200000000001</v>
      </c>
      <c r="L57" s="2">
        <v>6197.42</v>
      </c>
      <c r="M57" s="2">
        <v>6164.08</v>
      </c>
      <c r="N57" s="2">
        <v>6120.45</v>
      </c>
      <c r="O57" s="2">
        <v>6084.53</v>
      </c>
      <c r="P57" s="2">
        <v>24560.83</v>
      </c>
      <c r="Q57" s="2">
        <v>6143.04</v>
      </c>
      <c r="R57" s="2">
        <v>6122.2</v>
      </c>
      <c r="S57" s="2">
        <v>6083.01</v>
      </c>
      <c r="T57" s="2">
        <v>6046.37</v>
      </c>
      <c r="U57" s="2">
        <v>24300.69</v>
      </c>
      <c r="V57" s="2">
        <v>6158.06</v>
      </c>
      <c r="W57" s="2">
        <v>6148.2</v>
      </c>
      <c r="X57" s="2">
        <v>6112.78</v>
      </c>
      <c r="Y57" s="2">
        <v>6081.47</v>
      </c>
      <c r="Z57" s="2">
        <v>24178.19</v>
      </c>
      <c r="AA57" s="2">
        <v>6166.36</v>
      </c>
      <c r="AB57" s="2">
        <v>6161.65</v>
      </c>
      <c r="AC57" s="2">
        <v>6126.33</v>
      </c>
      <c r="AD57" s="2">
        <v>6097.19</v>
      </c>
      <c r="AE57" s="2">
        <v>24076.69</v>
      </c>
    </row>
    <row r="58" spans="1:31" x14ac:dyDescent="0.25">
      <c r="A58" t="s">
        <v>151</v>
      </c>
      <c r="B58" s="2">
        <v>1123</v>
      </c>
      <c r="C58" s="2">
        <v>1195</v>
      </c>
      <c r="D58" s="2">
        <v>1246</v>
      </c>
      <c r="E58" s="2">
        <v>1403</v>
      </c>
      <c r="F58" s="2">
        <v>4967</v>
      </c>
      <c r="G58" s="2">
        <v>1395</v>
      </c>
      <c r="H58" s="2">
        <v>1411</v>
      </c>
      <c r="I58" s="2">
        <v>1450.07</v>
      </c>
      <c r="J58" s="2">
        <v>1606.28</v>
      </c>
      <c r="K58" s="2">
        <v>5861.71</v>
      </c>
      <c r="L58" s="2">
        <v>1579.24</v>
      </c>
      <c r="M58" s="2">
        <v>1606.7</v>
      </c>
      <c r="N58" s="2">
        <v>1635.53</v>
      </c>
      <c r="O58" s="2">
        <v>1788.53</v>
      </c>
      <c r="P58" s="2">
        <v>6647.92</v>
      </c>
      <c r="Q58" s="2">
        <v>1789.19</v>
      </c>
      <c r="R58" s="2">
        <v>1814.69</v>
      </c>
      <c r="S58" s="2">
        <v>1840.72</v>
      </c>
      <c r="T58" s="2">
        <v>1997.6</v>
      </c>
      <c r="U58" s="2">
        <v>7387.21</v>
      </c>
      <c r="V58" s="2">
        <v>1987.02</v>
      </c>
      <c r="W58" s="2">
        <v>2003.07</v>
      </c>
      <c r="X58" s="2">
        <v>2037.68</v>
      </c>
      <c r="Y58" s="2">
        <v>2199.91</v>
      </c>
      <c r="Z58" s="2">
        <v>8130.32</v>
      </c>
      <c r="AA58" s="2">
        <v>2194.91</v>
      </c>
      <c r="AB58" s="2">
        <v>2202.83</v>
      </c>
      <c r="AC58" s="2">
        <v>2236.92</v>
      </c>
      <c r="AD58" s="2">
        <v>2403.21</v>
      </c>
      <c r="AE58" s="2">
        <v>8856.1200000000008</v>
      </c>
    </row>
    <row r="59" spans="1:31" x14ac:dyDescent="0.25">
      <c r="A59" t="s">
        <v>152</v>
      </c>
      <c r="B59" s="2">
        <v>1132</v>
      </c>
      <c r="C59" s="2">
        <v>1219</v>
      </c>
      <c r="D59" s="2">
        <v>1275</v>
      </c>
      <c r="E59" s="2">
        <v>1337</v>
      </c>
      <c r="F59" s="2">
        <v>4963</v>
      </c>
      <c r="G59" s="2">
        <v>1240</v>
      </c>
      <c r="H59" s="2">
        <v>1246</v>
      </c>
      <c r="I59" s="2">
        <v>1307.8900000000001</v>
      </c>
      <c r="J59" s="2">
        <v>1375.54</v>
      </c>
      <c r="K59" s="2">
        <v>5169.43</v>
      </c>
      <c r="L59" s="2">
        <v>1284.1199999999999</v>
      </c>
      <c r="M59" s="2">
        <v>1297.3599999999999</v>
      </c>
      <c r="N59" s="2">
        <v>1364.57</v>
      </c>
      <c r="O59" s="2">
        <v>1439.77</v>
      </c>
      <c r="P59" s="2">
        <v>5363.82</v>
      </c>
      <c r="Q59" s="2">
        <v>1313.69</v>
      </c>
      <c r="R59" s="2">
        <v>1323.98</v>
      </c>
      <c r="S59" s="2">
        <v>1398.05</v>
      </c>
      <c r="T59" s="2">
        <v>1471.61</v>
      </c>
      <c r="U59" s="2">
        <v>5479.77</v>
      </c>
      <c r="V59" s="2">
        <v>1345.21</v>
      </c>
      <c r="W59" s="2">
        <v>1355.86</v>
      </c>
      <c r="X59" s="2">
        <v>1428.83</v>
      </c>
      <c r="Y59" s="2">
        <v>1502.49</v>
      </c>
      <c r="Z59" s="2">
        <v>5619.41</v>
      </c>
      <c r="AA59" s="2">
        <v>1378.87</v>
      </c>
      <c r="AB59" s="2">
        <v>1390.26</v>
      </c>
      <c r="AC59" s="2">
        <v>1465.08</v>
      </c>
      <c r="AD59" s="2">
        <v>1540.67</v>
      </c>
      <c r="AE59" s="2">
        <v>5767.35</v>
      </c>
    </row>
    <row r="60" spans="1:31" x14ac:dyDescent="0.25">
      <c r="A60" s="3" t="s">
        <v>153</v>
      </c>
      <c r="B60" s="2">
        <v>8933</v>
      </c>
      <c r="C60" s="2">
        <v>9063</v>
      </c>
      <c r="D60" s="2">
        <v>9071</v>
      </c>
      <c r="E60" s="2">
        <v>9150</v>
      </c>
      <c r="F60" s="2">
        <v>36218</v>
      </c>
      <c r="G60" s="2">
        <v>8973</v>
      </c>
      <c r="H60" s="2">
        <v>8937</v>
      </c>
      <c r="I60" s="2">
        <v>8979.77</v>
      </c>
      <c r="J60" s="2">
        <v>9149.2999999999993</v>
      </c>
      <c r="K60" s="2">
        <v>36039.18</v>
      </c>
      <c r="L60" s="2">
        <v>9060.7999999999993</v>
      </c>
      <c r="M60" s="2">
        <v>9068.1299999999992</v>
      </c>
      <c r="N60" s="2">
        <v>9120.56</v>
      </c>
      <c r="O60" s="2">
        <v>9312.7999999999993</v>
      </c>
      <c r="P60" s="2">
        <v>36572.550000000003</v>
      </c>
      <c r="Q60" s="2">
        <v>9245.9699999999993</v>
      </c>
      <c r="R60" s="2">
        <v>9260.92</v>
      </c>
      <c r="S60" s="2">
        <v>9321.75</v>
      </c>
      <c r="T60" s="2">
        <v>9515.6200000000008</v>
      </c>
      <c r="U60" s="2">
        <v>37167.72</v>
      </c>
      <c r="V60" s="2">
        <v>9490.23</v>
      </c>
      <c r="W60" s="2">
        <v>9507.16</v>
      </c>
      <c r="X60" s="2">
        <v>9579.35</v>
      </c>
      <c r="Y60" s="2">
        <v>9783.84</v>
      </c>
      <c r="Z60" s="2">
        <v>37927.910000000003</v>
      </c>
      <c r="AA60" s="2">
        <v>9740.09</v>
      </c>
      <c r="AB60" s="2">
        <v>9754.77</v>
      </c>
      <c r="AC60" s="2">
        <v>9828.2900000000009</v>
      </c>
      <c r="AD60" s="2">
        <v>10041.040000000001</v>
      </c>
      <c r="AE60" s="2">
        <v>38700.120000000003</v>
      </c>
    </row>
    <row r="61" spans="1:31" x14ac:dyDescent="0.25">
      <c r="A61" t="s">
        <v>154</v>
      </c>
      <c r="B61" s="2">
        <v>6600</v>
      </c>
      <c r="C61" s="2">
        <v>6605</v>
      </c>
      <c r="D61" s="2">
        <v>6475</v>
      </c>
      <c r="E61" s="2">
        <v>6266</v>
      </c>
      <c r="F61" s="2">
        <v>25946</v>
      </c>
      <c r="G61" s="2">
        <v>6256</v>
      </c>
      <c r="H61" s="2">
        <v>6092</v>
      </c>
      <c r="I61" s="2">
        <v>6007.86</v>
      </c>
      <c r="J61" s="2">
        <v>5830.44</v>
      </c>
      <c r="K61" s="2">
        <v>24186.3</v>
      </c>
      <c r="L61" s="2">
        <v>5836.1</v>
      </c>
      <c r="M61" s="2">
        <v>5692.16</v>
      </c>
      <c r="N61" s="2">
        <v>5575.47</v>
      </c>
      <c r="O61" s="2">
        <v>5416.93</v>
      </c>
      <c r="P61" s="2">
        <v>22687.7</v>
      </c>
      <c r="Q61" s="2">
        <v>5519.18</v>
      </c>
      <c r="R61" s="2">
        <v>5386.13</v>
      </c>
      <c r="S61" s="2">
        <v>5296.11</v>
      </c>
      <c r="T61" s="2">
        <v>5146.87</v>
      </c>
      <c r="U61" s="2">
        <v>21466.6</v>
      </c>
      <c r="V61" s="2">
        <v>5234.62</v>
      </c>
      <c r="W61" s="2">
        <v>5111.5</v>
      </c>
      <c r="X61" s="2">
        <v>5027.54</v>
      </c>
      <c r="Y61" s="2">
        <v>4891.9799999999996</v>
      </c>
      <c r="Z61" s="2">
        <v>20316.990000000002</v>
      </c>
      <c r="AA61" s="2">
        <v>4965.0200000000004</v>
      </c>
      <c r="AB61" s="2">
        <v>4850.37</v>
      </c>
      <c r="AC61" s="2">
        <v>4774.1400000000003</v>
      </c>
      <c r="AD61" s="2">
        <v>4649.66</v>
      </c>
      <c r="AE61" s="2">
        <v>19283.310000000001</v>
      </c>
    </row>
    <row r="62" spans="1:31" x14ac:dyDescent="0.25">
      <c r="A62" t="s">
        <v>155</v>
      </c>
      <c r="B62" s="2">
        <v>899</v>
      </c>
      <c r="C62" s="2">
        <v>951</v>
      </c>
      <c r="D62" s="2">
        <v>893</v>
      </c>
      <c r="E62" s="2">
        <v>1067</v>
      </c>
      <c r="F62" s="2">
        <v>3810</v>
      </c>
      <c r="G62" s="2">
        <v>951</v>
      </c>
      <c r="H62" s="2">
        <v>962</v>
      </c>
      <c r="I62" s="2">
        <v>925.7</v>
      </c>
      <c r="J62" s="2">
        <v>1129.32</v>
      </c>
      <c r="K62" s="2">
        <v>3967.96</v>
      </c>
      <c r="L62" s="2">
        <v>915.54</v>
      </c>
      <c r="M62" s="2">
        <v>912.9</v>
      </c>
      <c r="N62" s="2">
        <v>845.65</v>
      </c>
      <c r="O62" s="2">
        <v>998.17</v>
      </c>
      <c r="P62" s="2">
        <v>3717.69</v>
      </c>
      <c r="Q62" s="2">
        <v>906.11</v>
      </c>
      <c r="R62" s="2">
        <v>887.19</v>
      </c>
      <c r="S62" s="2">
        <v>861.31</v>
      </c>
      <c r="T62" s="2">
        <v>1065.0999999999999</v>
      </c>
      <c r="U62" s="2">
        <v>3886.37</v>
      </c>
      <c r="V62" s="2">
        <v>852.93</v>
      </c>
      <c r="W62" s="2">
        <v>832.89</v>
      </c>
      <c r="X62" s="2">
        <v>753.83</v>
      </c>
      <c r="Y62" s="2">
        <v>914.64</v>
      </c>
      <c r="Z62" s="2">
        <v>3587.87</v>
      </c>
      <c r="AA62" s="2">
        <v>847.37</v>
      </c>
      <c r="AB62" s="2">
        <v>838.84</v>
      </c>
      <c r="AC62" s="2">
        <v>777.85</v>
      </c>
      <c r="AD62" s="2">
        <v>974.26</v>
      </c>
      <c r="AE62" s="2">
        <v>3764.14</v>
      </c>
    </row>
    <row r="63" spans="1:31" x14ac:dyDescent="0.25">
      <c r="A63" t="s">
        <v>156</v>
      </c>
      <c r="B63" s="2">
        <v>1233</v>
      </c>
      <c r="C63" s="2">
        <v>1219</v>
      </c>
      <c r="D63" s="2">
        <v>1197</v>
      </c>
      <c r="E63" s="2">
        <v>1209</v>
      </c>
      <c r="F63" s="2">
        <v>4858</v>
      </c>
      <c r="G63" s="2">
        <v>1143</v>
      </c>
      <c r="H63" s="2">
        <v>1133</v>
      </c>
      <c r="I63" s="2">
        <v>1114.07</v>
      </c>
      <c r="J63" s="2">
        <v>1121.98</v>
      </c>
      <c r="K63" s="2">
        <v>4512.05</v>
      </c>
      <c r="L63" s="2">
        <v>1075.6099999999999</v>
      </c>
      <c r="M63" s="2">
        <v>1064.5899999999999</v>
      </c>
      <c r="N63" s="2">
        <v>1054.55</v>
      </c>
      <c r="O63" s="2">
        <v>1051.44</v>
      </c>
      <c r="P63" s="2">
        <v>4268.5</v>
      </c>
      <c r="Q63" s="2">
        <v>1021.69</v>
      </c>
      <c r="R63" s="2">
        <v>1009.43</v>
      </c>
      <c r="S63" s="2">
        <v>1010.88</v>
      </c>
      <c r="T63" s="2">
        <v>1005.88</v>
      </c>
      <c r="U63" s="2">
        <v>4068.42</v>
      </c>
      <c r="V63" s="2">
        <v>988.19</v>
      </c>
      <c r="W63" s="2">
        <v>975.84</v>
      </c>
      <c r="X63" s="2">
        <v>985.31</v>
      </c>
      <c r="Y63" s="2">
        <v>972.41</v>
      </c>
      <c r="Z63" s="2">
        <v>3906.63</v>
      </c>
      <c r="AA63" s="2">
        <v>946.85</v>
      </c>
      <c r="AB63" s="2">
        <v>934.36</v>
      </c>
      <c r="AC63" s="2">
        <v>948.57</v>
      </c>
      <c r="AD63" s="2">
        <v>931.94</v>
      </c>
      <c r="AE63" s="2">
        <v>3737.15</v>
      </c>
    </row>
    <row r="64" spans="1:31" x14ac:dyDescent="0.25">
      <c r="A64" s="3" t="s">
        <v>157</v>
      </c>
      <c r="B64" s="2">
        <v>17665</v>
      </c>
      <c r="C64" s="2">
        <v>17839</v>
      </c>
      <c r="D64" s="2">
        <v>17636</v>
      </c>
      <c r="E64" s="2">
        <v>17692</v>
      </c>
      <c r="F64" s="2">
        <v>70832</v>
      </c>
      <c r="G64" s="2">
        <v>17323</v>
      </c>
      <c r="H64" s="2">
        <v>17124</v>
      </c>
      <c r="I64" s="2">
        <v>17027.39</v>
      </c>
      <c r="J64" s="2">
        <v>17231.02</v>
      </c>
      <c r="K64" s="2">
        <v>68705.460000000006</v>
      </c>
      <c r="L64" s="2">
        <v>16888.080000000002</v>
      </c>
      <c r="M64" s="2">
        <v>16737.75</v>
      </c>
      <c r="N64" s="2">
        <v>16596.259999999998</v>
      </c>
      <c r="O64" s="2">
        <v>16779.37</v>
      </c>
      <c r="P64" s="2">
        <v>67246.490000000005</v>
      </c>
      <c r="Q64" s="2">
        <v>16692.89</v>
      </c>
      <c r="R64" s="2">
        <v>16543.72</v>
      </c>
      <c r="S64" s="2">
        <v>16490.07</v>
      </c>
      <c r="T64" s="2">
        <v>16733.52</v>
      </c>
      <c r="U64" s="2">
        <v>66589.14</v>
      </c>
      <c r="V64" s="2">
        <v>16565.919999999998</v>
      </c>
      <c r="W64" s="2">
        <v>16427.439999999999</v>
      </c>
      <c r="X64" s="2">
        <v>16346.04</v>
      </c>
      <c r="Y64" s="2">
        <v>16562.84</v>
      </c>
      <c r="Z64" s="2">
        <v>65739.39</v>
      </c>
      <c r="AA64" s="2">
        <v>16499.37</v>
      </c>
      <c r="AB64" s="2">
        <v>16378.31</v>
      </c>
      <c r="AC64" s="2">
        <v>16328.82</v>
      </c>
      <c r="AD64" s="2">
        <v>16596.95</v>
      </c>
      <c r="AE64" s="2">
        <v>65484.73</v>
      </c>
    </row>
    <row r="65" spans="1:31" x14ac:dyDescent="0.25">
      <c r="A65" t="s">
        <v>158</v>
      </c>
      <c r="B65" s="2">
        <v>4107</v>
      </c>
      <c r="C65" s="2">
        <v>3998</v>
      </c>
      <c r="D65" s="2">
        <v>3952</v>
      </c>
      <c r="E65" s="2">
        <v>3950</v>
      </c>
      <c r="F65" s="2">
        <v>16007</v>
      </c>
      <c r="G65" s="2">
        <v>3787</v>
      </c>
      <c r="H65" s="2">
        <v>3698</v>
      </c>
      <c r="I65" s="2">
        <v>3677.81</v>
      </c>
      <c r="J65" s="2">
        <v>3672.35</v>
      </c>
      <c r="K65" s="2">
        <v>14835.16</v>
      </c>
      <c r="L65" s="2">
        <v>3573.79</v>
      </c>
      <c r="M65" s="2">
        <v>3488.3</v>
      </c>
      <c r="N65" s="2">
        <v>3446.02</v>
      </c>
      <c r="O65" s="2">
        <v>3444.02</v>
      </c>
      <c r="P65" s="2">
        <v>14026.87</v>
      </c>
      <c r="Q65" s="2">
        <v>3392.44</v>
      </c>
      <c r="R65" s="2">
        <v>3320.9</v>
      </c>
      <c r="S65" s="2">
        <v>3290.17</v>
      </c>
      <c r="T65" s="2">
        <v>3298.45</v>
      </c>
      <c r="U65" s="2">
        <v>13348.72</v>
      </c>
      <c r="V65" s="2">
        <v>3234.9</v>
      </c>
      <c r="W65" s="2">
        <v>3169.43</v>
      </c>
      <c r="X65" s="2">
        <v>3141.22</v>
      </c>
      <c r="Y65" s="2">
        <v>3157.94</v>
      </c>
      <c r="Z65" s="2">
        <v>12727.93</v>
      </c>
      <c r="AA65" s="2">
        <v>3085.84</v>
      </c>
      <c r="AB65" s="2">
        <v>3025.81</v>
      </c>
      <c r="AC65" s="2">
        <v>3002.23</v>
      </c>
      <c r="AD65" s="2">
        <v>3021.92</v>
      </c>
      <c r="AE65" s="2">
        <v>12145.61</v>
      </c>
    </row>
    <row r="66" spans="1:31" x14ac:dyDescent="0.25">
      <c r="A66" t="s">
        <v>159</v>
      </c>
      <c r="B66" s="2">
        <v>6715</v>
      </c>
      <c r="C66" s="2">
        <v>6835</v>
      </c>
      <c r="D66" s="2">
        <v>7200</v>
      </c>
      <c r="E66" s="2">
        <v>7710</v>
      </c>
      <c r="F66" s="2">
        <v>28462</v>
      </c>
      <c r="G66" s="2">
        <v>7102</v>
      </c>
      <c r="H66" s="2">
        <v>6978</v>
      </c>
      <c r="I66" s="2">
        <v>7231.67</v>
      </c>
      <c r="J66" s="2">
        <v>7706.61</v>
      </c>
      <c r="K66" s="2">
        <v>29018.12</v>
      </c>
      <c r="L66" s="2">
        <v>7076.81</v>
      </c>
      <c r="M66" s="2">
        <v>6954</v>
      </c>
      <c r="N66" s="2">
        <v>7180.66</v>
      </c>
      <c r="O66" s="2">
        <v>7608.14</v>
      </c>
      <c r="P66" s="2">
        <v>28883.73</v>
      </c>
      <c r="Q66" s="2">
        <v>7150.12</v>
      </c>
      <c r="R66" s="2">
        <v>7029.11</v>
      </c>
      <c r="S66" s="2">
        <v>7314.42</v>
      </c>
      <c r="T66" s="2">
        <v>7818.93</v>
      </c>
      <c r="U66" s="2">
        <v>29118.84</v>
      </c>
      <c r="V66" s="2">
        <v>7212.18</v>
      </c>
      <c r="W66" s="2">
        <v>7101.12</v>
      </c>
      <c r="X66" s="2">
        <v>7396.02</v>
      </c>
      <c r="Y66" s="2">
        <v>7910.31</v>
      </c>
      <c r="Z66" s="2">
        <v>29330.97</v>
      </c>
      <c r="AA66" s="2">
        <v>7340.91</v>
      </c>
      <c r="AB66" s="2">
        <v>7239.26</v>
      </c>
      <c r="AC66" s="2">
        <v>7547.88</v>
      </c>
      <c r="AD66" s="2">
        <v>8070.61</v>
      </c>
      <c r="AE66" s="2">
        <v>29755.91</v>
      </c>
    </row>
    <row r="67" spans="1:31" x14ac:dyDescent="0.25">
      <c r="A67" s="3" t="s">
        <v>160</v>
      </c>
      <c r="B67" s="2">
        <v>10822</v>
      </c>
      <c r="C67" s="2">
        <v>10833</v>
      </c>
      <c r="D67" s="2">
        <v>11152</v>
      </c>
      <c r="E67" s="2">
        <v>11660</v>
      </c>
      <c r="F67" s="2">
        <v>44469</v>
      </c>
      <c r="G67" s="2">
        <v>10889</v>
      </c>
      <c r="H67" s="2">
        <v>10676</v>
      </c>
      <c r="I67" s="2">
        <v>10910.88</v>
      </c>
      <c r="J67" s="2">
        <v>11401.86</v>
      </c>
      <c r="K67" s="2">
        <v>43877.59</v>
      </c>
      <c r="L67" s="2">
        <v>10664.21</v>
      </c>
      <c r="M67" s="2">
        <v>10464.32</v>
      </c>
      <c r="N67" s="2">
        <v>10652.26</v>
      </c>
      <c r="O67" s="2">
        <v>11092.91</v>
      </c>
      <c r="P67" s="2">
        <v>43006.05</v>
      </c>
      <c r="Q67" s="2">
        <v>10549.16</v>
      </c>
      <c r="R67" s="2">
        <v>10357.64</v>
      </c>
      <c r="S67" s="2">
        <v>10610.68</v>
      </c>
      <c r="T67" s="2">
        <v>11129.87</v>
      </c>
      <c r="U67" s="2">
        <v>42558.16</v>
      </c>
      <c r="V67" s="2">
        <v>10447.08</v>
      </c>
      <c r="W67" s="2">
        <v>10270.549999999999</v>
      </c>
      <c r="X67" s="2">
        <v>10537.23</v>
      </c>
      <c r="Y67" s="2">
        <v>11068.25</v>
      </c>
      <c r="Z67" s="2">
        <v>42166.77</v>
      </c>
      <c r="AA67" s="2">
        <v>10426.75</v>
      </c>
      <c r="AB67" s="2">
        <v>10265.06</v>
      </c>
      <c r="AC67" s="2">
        <v>10550.11</v>
      </c>
      <c r="AD67" s="2">
        <v>11092.53</v>
      </c>
      <c r="AE67" s="2">
        <v>41993.46</v>
      </c>
    </row>
    <row r="68" spans="1:31" x14ac:dyDescent="0.25">
      <c r="A68" s="3" t="s">
        <v>161</v>
      </c>
      <c r="B68" s="2">
        <v>6842</v>
      </c>
      <c r="C68" s="2">
        <v>7006</v>
      </c>
      <c r="D68" s="2">
        <v>6484</v>
      </c>
      <c r="E68" s="2">
        <v>6032</v>
      </c>
      <c r="F68" s="2">
        <v>26364</v>
      </c>
      <c r="G68" s="2">
        <v>6434</v>
      </c>
      <c r="H68" s="2">
        <v>6448</v>
      </c>
      <c r="I68" s="2">
        <v>6095.11</v>
      </c>
      <c r="J68" s="2">
        <v>5827.21</v>
      </c>
      <c r="K68" s="2">
        <v>24804.52</v>
      </c>
      <c r="L68" s="2">
        <v>6248.12</v>
      </c>
      <c r="M68" s="2">
        <v>6284.49</v>
      </c>
      <c r="N68" s="2">
        <v>5977.69</v>
      </c>
      <c r="O68" s="2">
        <v>5717.95</v>
      </c>
      <c r="P68" s="2">
        <v>24217.39</v>
      </c>
      <c r="Q68" s="2">
        <v>6182.97</v>
      </c>
      <c r="R68" s="2">
        <v>6226.41</v>
      </c>
      <c r="S68" s="2">
        <v>5919.23</v>
      </c>
      <c r="T68" s="2">
        <v>5649.49</v>
      </c>
      <c r="U68" s="2">
        <v>24123.3</v>
      </c>
      <c r="V68" s="2">
        <v>6118.84</v>
      </c>
      <c r="W68" s="2">
        <v>6156.89</v>
      </c>
      <c r="X68" s="2">
        <v>5808.8</v>
      </c>
      <c r="Y68" s="2">
        <v>5494.59</v>
      </c>
      <c r="Z68" s="2">
        <v>23633.84</v>
      </c>
      <c r="AA68" s="2">
        <v>6072.62</v>
      </c>
      <c r="AB68" s="2">
        <v>6113.25</v>
      </c>
      <c r="AC68" s="2">
        <v>5778.71</v>
      </c>
      <c r="AD68" s="2">
        <v>5504.42</v>
      </c>
      <c r="AE68" s="2">
        <v>23597.83</v>
      </c>
    </row>
    <row r="69" spans="1:31" x14ac:dyDescent="0.25">
      <c r="A69" s="3" t="s">
        <v>84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5">
      <c r="A70" s="3" t="s">
        <v>162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5">
      <c r="A71" s="3" t="s">
        <v>136</v>
      </c>
      <c r="B71" s="2">
        <v>2495.5</v>
      </c>
      <c r="C71" s="2">
        <v>2575</v>
      </c>
      <c r="D71" s="2">
        <v>2576</v>
      </c>
      <c r="E71" s="2">
        <v>2590</v>
      </c>
      <c r="F71" s="2">
        <v>10237</v>
      </c>
      <c r="G71" s="2">
        <v>2640</v>
      </c>
      <c r="H71" s="2">
        <v>2671</v>
      </c>
      <c r="I71" s="2">
        <v>2650.53</v>
      </c>
      <c r="J71" s="2">
        <v>2662.95</v>
      </c>
      <c r="K71" s="2">
        <v>10624.37</v>
      </c>
      <c r="L71" s="2">
        <v>2723.3</v>
      </c>
      <c r="M71" s="2">
        <v>2752.07</v>
      </c>
      <c r="N71" s="2">
        <v>2741.73</v>
      </c>
      <c r="O71" s="2">
        <v>2755.18</v>
      </c>
      <c r="P71" s="2">
        <v>10925.54</v>
      </c>
      <c r="Q71" s="2">
        <v>2815.68</v>
      </c>
      <c r="R71" s="2">
        <v>2849.16</v>
      </c>
      <c r="S71" s="2">
        <v>2821.24</v>
      </c>
      <c r="T71" s="2">
        <v>2830.95</v>
      </c>
      <c r="U71" s="2">
        <v>11242.7</v>
      </c>
      <c r="V71" s="2">
        <v>2908.96</v>
      </c>
      <c r="W71" s="2">
        <v>2943.46</v>
      </c>
      <c r="X71" s="2">
        <v>2909.77</v>
      </c>
      <c r="Y71" s="2">
        <v>2917.86</v>
      </c>
      <c r="Z71" s="2">
        <v>11586.78</v>
      </c>
      <c r="AA71" s="2">
        <v>3003.03</v>
      </c>
      <c r="AB71" s="2">
        <v>3038.57</v>
      </c>
      <c r="AC71" s="2">
        <v>3000.28</v>
      </c>
      <c r="AD71" s="2">
        <v>3007.2</v>
      </c>
      <c r="AE71" s="2">
        <v>11913.58</v>
      </c>
    </row>
    <row r="72" spans="1:31" x14ac:dyDescent="0.25">
      <c r="A72" s="3" t="s">
        <v>163</v>
      </c>
      <c r="B72" s="2">
        <v>1074</v>
      </c>
      <c r="C72" s="2">
        <v>1131</v>
      </c>
      <c r="D72" s="2">
        <v>1122</v>
      </c>
      <c r="E72" s="2">
        <v>1186</v>
      </c>
      <c r="F72" s="2">
        <v>4513</v>
      </c>
      <c r="G72" s="2">
        <v>1163</v>
      </c>
      <c r="H72" s="2">
        <v>1155</v>
      </c>
      <c r="I72" s="2">
        <v>1159.1099999999999</v>
      </c>
      <c r="J72" s="2">
        <v>1210.95</v>
      </c>
      <c r="K72" s="2">
        <v>4688.2299999999996</v>
      </c>
      <c r="L72" s="2">
        <v>1186.99</v>
      </c>
      <c r="M72" s="2">
        <v>1196.76</v>
      </c>
      <c r="N72" s="2">
        <v>1201.5</v>
      </c>
      <c r="O72" s="2">
        <v>1242.1400000000001</v>
      </c>
      <c r="P72" s="2">
        <v>4825</v>
      </c>
      <c r="Q72" s="2">
        <v>1235.97</v>
      </c>
      <c r="R72" s="2">
        <v>1235.0899999999999</v>
      </c>
      <c r="S72" s="2">
        <v>1238.06</v>
      </c>
      <c r="T72" s="2">
        <v>1283.9000000000001</v>
      </c>
      <c r="U72" s="2">
        <v>4982.3999999999996</v>
      </c>
      <c r="V72" s="2">
        <v>1272.4100000000001</v>
      </c>
      <c r="W72" s="2">
        <v>1272.3800000000001</v>
      </c>
      <c r="X72" s="2">
        <v>1273.22</v>
      </c>
      <c r="Y72" s="2">
        <v>1319.3</v>
      </c>
      <c r="Z72" s="2">
        <v>5119.74</v>
      </c>
      <c r="AA72" s="2">
        <v>1313.11</v>
      </c>
      <c r="AB72" s="2">
        <v>1308.51</v>
      </c>
      <c r="AC72" s="2">
        <v>1307.19</v>
      </c>
      <c r="AD72" s="2">
        <v>1353.37</v>
      </c>
      <c r="AE72" s="2">
        <v>5252.04</v>
      </c>
    </row>
    <row r="73" spans="1:31" x14ac:dyDescent="0.25">
      <c r="A73" s="3" t="s">
        <v>164</v>
      </c>
      <c r="B73" s="2">
        <v>1422</v>
      </c>
      <c r="C73" s="2">
        <v>1444</v>
      </c>
      <c r="D73" s="2">
        <v>1454</v>
      </c>
      <c r="E73" s="2">
        <v>1405</v>
      </c>
      <c r="F73" s="2">
        <v>5725</v>
      </c>
      <c r="G73" s="2">
        <v>1476</v>
      </c>
      <c r="H73" s="2">
        <v>1516</v>
      </c>
      <c r="I73" s="2">
        <v>1491.75</v>
      </c>
      <c r="J73" s="2">
        <v>1455.8</v>
      </c>
      <c r="K73" s="2">
        <v>5940.08</v>
      </c>
      <c r="L73" s="2">
        <v>1537.71</v>
      </c>
      <c r="M73" s="2">
        <v>1558.86</v>
      </c>
      <c r="N73" s="2">
        <v>1542.14</v>
      </c>
      <c r="O73" s="2">
        <v>1513.57</v>
      </c>
      <c r="P73" s="2">
        <v>6102.77</v>
      </c>
      <c r="Q73" s="2">
        <v>1581.83</v>
      </c>
      <c r="R73" s="2">
        <v>1616.28</v>
      </c>
      <c r="S73" s="2">
        <v>1584.09</v>
      </c>
      <c r="T73" s="2">
        <v>1547.16</v>
      </c>
      <c r="U73" s="2">
        <v>6273.6</v>
      </c>
      <c r="V73" s="2">
        <v>1636.55</v>
      </c>
      <c r="W73" s="2">
        <v>1671.08</v>
      </c>
      <c r="X73" s="2">
        <v>1636.55</v>
      </c>
      <c r="Y73" s="2">
        <v>1598.56</v>
      </c>
      <c r="Z73" s="2">
        <v>6461.22</v>
      </c>
      <c r="AA73" s="2">
        <v>1689.92</v>
      </c>
      <c r="AB73" s="2">
        <v>1730.07</v>
      </c>
      <c r="AC73" s="2">
        <v>1693.09</v>
      </c>
      <c r="AD73" s="2">
        <v>1653.83</v>
      </c>
      <c r="AE73" s="2">
        <v>6640.7</v>
      </c>
    </row>
    <row r="74" spans="1:31" x14ac:dyDescent="0.25">
      <c r="A74" s="3" t="s">
        <v>84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5">
      <c r="A75" s="3" t="s">
        <v>97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25">
      <c r="A76" t="s">
        <v>165</v>
      </c>
      <c r="B76" s="2">
        <v>10822</v>
      </c>
      <c r="C76" s="2">
        <v>10833</v>
      </c>
      <c r="D76" s="2">
        <v>11152</v>
      </c>
      <c r="E76" s="2">
        <v>11660</v>
      </c>
      <c r="F76" s="2">
        <v>44469</v>
      </c>
      <c r="G76" s="2">
        <v>10889</v>
      </c>
      <c r="H76" s="2">
        <v>10676</v>
      </c>
      <c r="I76" s="2">
        <v>10910.88</v>
      </c>
      <c r="J76" s="2">
        <v>11401.86</v>
      </c>
      <c r="K76" s="2">
        <v>43877.59</v>
      </c>
      <c r="L76" s="2">
        <v>10664.21</v>
      </c>
      <c r="M76" s="2">
        <v>10464.32</v>
      </c>
      <c r="N76" s="2">
        <v>10652.26</v>
      </c>
      <c r="O76" s="2">
        <v>11092.91</v>
      </c>
      <c r="P76" s="2">
        <v>43006.05</v>
      </c>
      <c r="Q76" s="2">
        <v>10549.16</v>
      </c>
      <c r="R76" s="2">
        <v>10357.64</v>
      </c>
      <c r="S76" s="2">
        <v>10610.68</v>
      </c>
      <c r="T76" s="2">
        <v>11129.87</v>
      </c>
      <c r="U76" s="2">
        <v>42558.16</v>
      </c>
      <c r="V76" s="2">
        <v>10447.08</v>
      </c>
      <c r="W76" s="2">
        <v>10270.549999999999</v>
      </c>
      <c r="X76" s="2">
        <v>10537.23</v>
      </c>
      <c r="Y76" s="2">
        <v>11068.25</v>
      </c>
      <c r="Z76" s="2">
        <v>42166.77</v>
      </c>
      <c r="AA76" s="2">
        <v>10426.75</v>
      </c>
      <c r="AB76" s="2">
        <v>10265.06</v>
      </c>
      <c r="AC76" s="2">
        <v>10550.11</v>
      </c>
      <c r="AD76" s="2">
        <v>11092.53</v>
      </c>
      <c r="AE76" s="2">
        <v>41993.46</v>
      </c>
    </row>
    <row r="77" spans="1:31" x14ac:dyDescent="0.25">
      <c r="A77" t="s">
        <v>166</v>
      </c>
      <c r="B77" s="2">
        <v>1074</v>
      </c>
      <c r="C77" s="2">
        <v>1131</v>
      </c>
      <c r="D77" s="2">
        <v>1122</v>
      </c>
      <c r="E77" s="2">
        <v>1186</v>
      </c>
      <c r="F77" s="2">
        <v>4513</v>
      </c>
      <c r="G77" s="2">
        <v>1163</v>
      </c>
      <c r="H77" s="2">
        <v>1155</v>
      </c>
      <c r="I77" s="2">
        <v>1159.1099999999999</v>
      </c>
      <c r="J77" s="2">
        <v>1210.95</v>
      </c>
      <c r="K77" s="2">
        <v>4688.2299999999996</v>
      </c>
      <c r="L77" s="2">
        <v>1186.99</v>
      </c>
      <c r="M77" s="2">
        <v>1196.76</v>
      </c>
      <c r="N77" s="2">
        <v>1201.5</v>
      </c>
      <c r="O77" s="2">
        <v>1242.1400000000001</v>
      </c>
      <c r="P77" s="2">
        <v>4825</v>
      </c>
      <c r="Q77" s="2">
        <v>1235.97</v>
      </c>
      <c r="R77" s="2">
        <v>1235.0899999999999</v>
      </c>
      <c r="S77" s="2">
        <v>1238.06</v>
      </c>
      <c r="T77" s="2">
        <v>1283.9000000000001</v>
      </c>
      <c r="U77" s="2">
        <v>4982.3999999999996</v>
      </c>
      <c r="V77" s="2">
        <v>1272.4100000000001</v>
      </c>
      <c r="W77" s="2">
        <v>1272.3800000000001</v>
      </c>
      <c r="X77" s="2">
        <v>1273.22</v>
      </c>
      <c r="Y77" s="2">
        <v>1319.3</v>
      </c>
      <c r="Z77" s="2">
        <v>5119.74</v>
      </c>
      <c r="AA77" s="2">
        <v>1313.11</v>
      </c>
      <c r="AB77" s="2">
        <v>1308.51</v>
      </c>
      <c r="AC77" s="2">
        <v>1307.19</v>
      </c>
      <c r="AD77" s="2">
        <v>1353.37</v>
      </c>
      <c r="AE77" s="2">
        <v>5252.04</v>
      </c>
    </row>
    <row r="78" spans="1:31" x14ac:dyDescent="0.25">
      <c r="A78" s="3" t="s">
        <v>167</v>
      </c>
      <c r="B78" s="2">
        <v>11896</v>
      </c>
      <c r="C78" s="2">
        <v>11964</v>
      </c>
      <c r="D78" s="2">
        <v>12274</v>
      </c>
      <c r="E78" s="2">
        <v>12846</v>
      </c>
      <c r="F78" s="2">
        <v>48980</v>
      </c>
      <c r="G78" s="2">
        <v>12053</v>
      </c>
      <c r="H78" s="2">
        <v>11830</v>
      </c>
      <c r="I78" s="2">
        <v>12098.09</v>
      </c>
      <c r="J78" s="2">
        <v>12651.19</v>
      </c>
      <c r="K78" s="2">
        <v>48632.23</v>
      </c>
      <c r="L78" s="2">
        <v>11864.01</v>
      </c>
      <c r="M78" s="2">
        <v>11626.76</v>
      </c>
      <c r="N78" s="2">
        <v>11819.52</v>
      </c>
      <c r="O78" s="2">
        <v>12310.38</v>
      </c>
      <c r="P78" s="2">
        <v>47811</v>
      </c>
      <c r="Q78" s="2">
        <v>11768.39</v>
      </c>
      <c r="R78" s="2">
        <v>11579.72</v>
      </c>
      <c r="S78" s="2">
        <v>11842.3</v>
      </c>
      <c r="T78" s="2">
        <v>12402.32</v>
      </c>
      <c r="U78" s="2">
        <v>47407.11</v>
      </c>
      <c r="V78" s="2">
        <v>11719.49</v>
      </c>
      <c r="W78" s="2">
        <v>11542.93</v>
      </c>
      <c r="X78" s="2">
        <v>11810.46</v>
      </c>
      <c r="Y78" s="2">
        <v>12387.55</v>
      </c>
      <c r="Z78" s="2">
        <v>47028.68</v>
      </c>
      <c r="AA78" s="2">
        <v>11739.86</v>
      </c>
      <c r="AB78" s="2">
        <v>11573.57</v>
      </c>
      <c r="AC78" s="2">
        <v>11857.3</v>
      </c>
      <c r="AD78" s="2">
        <v>12445.9</v>
      </c>
      <c r="AE78" s="2">
        <v>46862.37</v>
      </c>
    </row>
    <row r="79" spans="1:31" x14ac:dyDescent="0.25">
      <c r="A79" s="3" t="s">
        <v>84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25">
      <c r="A80" t="s">
        <v>158</v>
      </c>
      <c r="B80" s="2">
        <v>4107</v>
      </c>
      <c r="C80" s="2">
        <v>3998</v>
      </c>
      <c r="D80" s="2">
        <v>3952</v>
      </c>
      <c r="E80" s="2">
        <v>3950</v>
      </c>
      <c r="F80" s="2">
        <v>16007</v>
      </c>
      <c r="G80" s="2">
        <v>3787</v>
      </c>
      <c r="H80" s="2">
        <v>3698</v>
      </c>
      <c r="I80" s="2">
        <v>3677.81</v>
      </c>
      <c r="J80" s="2">
        <v>3672.35</v>
      </c>
      <c r="K80" s="2">
        <v>14835.16</v>
      </c>
      <c r="L80" s="2">
        <v>3573.79</v>
      </c>
      <c r="M80" s="2">
        <v>3488.3</v>
      </c>
      <c r="N80" s="2">
        <v>3446.02</v>
      </c>
      <c r="O80" s="2">
        <v>3444.02</v>
      </c>
      <c r="P80" s="2">
        <v>14026.87</v>
      </c>
      <c r="Q80" s="2">
        <v>3392.44</v>
      </c>
      <c r="R80" s="2">
        <v>3320.9</v>
      </c>
      <c r="S80" s="2">
        <v>3290.17</v>
      </c>
      <c r="T80" s="2">
        <v>3298.45</v>
      </c>
      <c r="U80" s="2">
        <v>13348.72</v>
      </c>
      <c r="V80" s="2">
        <v>3234.9</v>
      </c>
      <c r="W80" s="2">
        <v>3169.43</v>
      </c>
      <c r="X80" s="2">
        <v>3141.22</v>
      </c>
      <c r="Y80" s="2">
        <v>3157.94</v>
      </c>
      <c r="Z80" s="2">
        <v>12727.93</v>
      </c>
      <c r="AA80" s="2">
        <v>3085.84</v>
      </c>
      <c r="AB80" s="2">
        <v>3025.81</v>
      </c>
      <c r="AC80" s="2">
        <v>3002.23</v>
      </c>
      <c r="AD80" s="2">
        <v>3021.92</v>
      </c>
      <c r="AE80" s="2">
        <v>12145.61</v>
      </c>
    </row>
    <row r="81" spans="1:31" x14ac:dyDescent="0.25">
      <c r="A81" t="s">
        <v>168</v>
      </c>
      <c r="B81" s="2">
        <v>1242</v>
      </c>
      <c r="C81" s="2">
        <v>1249</v>
      </c>
      <c r="D81" s="2">
        <v>1332</v>
      </c>
      <c r="E81" s="2">
        <v>1323</v>
      </c>
      <c r="F81" s="2">
        <v>5146</v>
      </c>
      <c r="G81" s="2">
        <v>1337</v>
      </c>
      <c r="H81" s="2">
        <v>1311</v>
      </c>
      <c r="I81" s="2">
        <v>1361.8</v>
      </c>
      <c r="J81" s="2">
        <v>1335.11</v>
      </c>
      <c r="K81" s="2">
        <v>5344.91</v>
      </c>
      <c r="L81" s="2">
        <v>1330.32</v>
      </c>
      <c r="M81" s="2">
        <v>1301.72</v>
      </c>
      <c r="N81" s="2">
        <v>1354.21</v>
      </c>
      <c r="O81" s="2">
        <v>1320.31</v>
      </c>
      <c r="P81" s="2">
        <v>5337.86</v>
      </c>
      <c r="Q81" s="2">
        <v>1337.31</v>
      </c>
      <c r="R81" s="2">
        <v>1313.62</v>
      </c>
      <c r="S81" s="2">
        <v>1380.11</v>
      </c>
      <c r="T81" s="2">
        <v>1341.09</v>
      </c>
      <c r="U81" s="2">
        <v>5368.27</v>
      </c>
      <c r="V81" s="2">
        <v>1355.94</v>
      </c>
      <c r="W81" s="2">
        <v>1324.53</v>
      </c>
      <c r="X81" s="2">
        <v>1394.21</v>
      </c>
      <c r="Y81" s="2">
        <v>1357.54</v>
      </c>
      <c r="Z81" s="2">
        <v>5408.94</v>
      </c>
      <c r="AA81" s="2">
        <v>1384.17</v>
      </c>
      <c r="AB81" s="2">
        <v>1349.82</v>
      </c>
      <c r="AC81" s="2">
        <v>1416.94</v>
      </c>
      <c r="AD81" s="2">
        <v>1384.99</v>
      </c>
      <c r="AE81" s="2">
        <v>5492.43</v>
      </c>
    </row>
    <row r="82" spans="1:31" x14ac:dyDescent="0.25">
      <c r="A82" t="s">
        <v>169</v>
      </c>
      <c r="B82" s="2">
        <v>1625</v>
      </c>
      <c r="C82" s="2">
        <v>1829</v>
      </c>
      <c r="D82" s="2">
        <v>1911</v>
      </c>
      <c r="E82" s="2">
        <v>2210</v>
      </c>
      <c r="F82" s="2">
        <v>7575</v>
      </c>
      <c r="G82" s="2">
        <v>1962</v>
      </c>
      <c r="H82" s="2">
        <v>1992</v>
      </c>
      <c r="I82" s="2">
        <v>2032.47</v>
      </c>
      <c r="J82" s="2">
        <v>2322.7399999999998</v>
      </c>
      <c r="K82" s="2">
        <v>8309.2199999999993</v>
      </c>
      <c r="L82" s="2">
        <v>2044.48</v>
      </c>
      <c r="M82" s="2">
        <v>2056.7199999999998</v>
      </c>
      <c r="N82" s="2">
        <v>2085.0100000000002</v>
      </c>
      <c r="O82" s="2">
        <v>2357.9299999999998</v>
      </c>
      <c r="P82" s="2">
        <v>8602.57</v>
      </c>
      <c r="Q82" s="2">
        <v>2144.8200000000002</v>
      </c>
      <c r="R82" s="2">
        <v>2175.11</v>
      </c>
      <c r="S82" s="2">
        <v>2221.29</v>
      </c>
      <c r="T82" s="2">
        <v>2561.7800000000002</v>
      </c>
      <c r="U82" s="2">
        <v>8967.9500000000007</v>
      </c>
      <c r="V82" s="2">
        <v>2216.1</v>
      </c>
      <c r="W82" s="2">
        <v>2249.1</v>
      </c>
      <c r="X82" s="2">
        <v>2286.44</v>
      </c>
      <c r="Y82" s="2">
        <v>2637.36</v>
      </c>
      <c r="Z82" s="2">
        <v>9233.5499999999993</v>
      </c>
      <c r="AA82" s="2">
        <v>2319.02</v>
      </c>
      <c r="AB82" s="2">
        <v>2352.58</v>
      </c>
      <c r="AC82" s="2">
        <v>2392.27</v>
      </c>
      <c r="AD82" s="2">
        <v>2757.53</v>
      </c>
      <c r="AE82" s="2">
        <v>9588.14</v>
      </c>
    </row>
    <row r="83" spans="1:31" x14ac:dyDescent="0.25">
      <c r="A83" t="s">
        <v>170</v>
      </c>
      <c r="B83" s="2">
        <v>1935</v>
      </c>
      <c r="C83" s="2">
        <v>1918</v>
      </c>
      <c r="D83" s="2">
        <v>2019</v>
      </c>
      <c r="E83" s="2">
        <v>1981</v>
      </c>
      <c r="F83" s="2">
        <v>7853</v>
      </c>
      <c r="G83" s="2">
        <v>1968</v>
      </c>
      <c r="H83" s="2">
        <v>1913</v>
      </c>
      <c r="I83" s="2">
        <v>1994.23</v>
      </c>
      <c r="J83" s="2">
        <v>1965.13</v>
      </c>
      <c r="K83" s="2">
        <v>7840.36</v>
      </c>
      <c r="L83" s="2">
        <v>1942.76</v>
      </c>
      <c r="M83" s="2">
        <v>1892.23</v>
      </c>
      <c r="N83" s="2">
        <v>1963.65</v>
      </c>
      <c r="O83" s="2">
        <v>1940.95</v>
      </c>
      <c r="P83" s="2">
        <v>7771.09</v>
      </c>
      <c r="Q83" s="2">
        <v>1942.26</v>
      </c>
      <c r="R83" s="2">
        <v>1888.53</v>
      </c>
      <c r="S83" s="2">
        <v>1989.52</v>
      </c>
      <c r="T83" s="2">
        <v>1966.72</v>
      </c>
      <c r="U83" s="2">
        <v>7744.41</v>
      </c>
      <c r="V83" s="2">
        <v>1963.09</v>
      </c>
      <c r="W83" s="2">
        <v>1910.18</v>
      </c>
      <c r="X83" s="2">
        <v>2031.97</v>
      </c>
      <c r="Y83" s="2">
        <v>2014.06</v>
      </c>
      <c r="Z83" s="2">
        <v>7759.65</v>
      </c>
      <c r="AA83" s="2">
        <v>1972.27</v>
      </c>
      <c r="AB83" s="2">
        <v>1920.58</v>
      </c>
      <c r="AC83" s="2">
        <v>2064.69</v>
      </c>
      <c r="AD83" s="2">
        <v>2050.77</v>
      </c>
      <c r="AE83" s="2">
        <v>7765.96</v>
      </c>
    </row>
    <row r="84" spans="1:31" x14ac:dyDescent="0.25">
      <c r="A84" t="s">
        <v>171</v>
      </c>
      <c r="B84" s="2">
        <v>682</v>
      </c>
      <c r="C84" s="2">
        <v>677</v>
      </c>
      <c r="D84" s="2">
        <v>707</v>
      </c>
      <c r="E84" s="2">
        <v>699</v>
      </c>
      <c r="F84" s="2">
        <v>2765</v>
      </c>
      <c r="G84" s="2">
        <v>676</v>
      </c>
      <c r="H84" s="2">
        <v>671</v>
      </c>
      <c r="I84" s="2">
        <v>703.6</v>
      </c>
      <c r="J84" s="2">
        <v>687.84</v>
      </c>
      <c r="K84" s="2">
        <v>2738.45</v>
      </c>
      <c r="L84" s="2">
        <v>669.54</v>
      </c>
      <c r="M84" s="2">
        <v>664.8</v>
      </c>
      <c r="N84" s="2">
        <v>685.52</v>
      </c>
      <c r="O84" s="2">
        <v>673.25</v>
      </c>
      <c r="P84" s="2">
        <v>2708.48</v>
      </c>
      <c r="Q84" s="2">
        <v>668.8</v>
      </c>
      <c r="R84" s="2">
        <v>663.24</v>
      </c>
      <c r="S84" s="2">
        <v>686.15</v>
      </c>
      <c r="T84" s="2">
        <v>677.93</v>
      </c>
      <c r="U84" s="2">
        <v>2698.97</v>
      </c>
      <c r="V84" s="2">
        <v>679.14</v>
      </c>
      <c r="W84" s="2">
        <v>673.17</v>
      </c>
      <c r="X84" s="2">
        <v>692.59</v>
      </c>
      <c r="Y84" s="2">
        <v>684.05</v>
      </c>
      <c r="Z84" s="2">
        <v>2700.4</v>
      </c>
      <c r="AA84" s="2">
        <v>684.77</v>
      </c>
      <c r="AB84" s="2">
        <v>678.58</v>
      </c>
      <c r="AC84" s="2">
        <v>695.7</v>
      </c>
      <c r="AD84" s="2">
        <v>687.78</v>
      </c>
      <c r="AE84" s="2">
        <v>2697.72</v>
      </c>
    </row>
    <row r="85" spans="1:31" x14ac:dyDescent="0.25">
      <c r="A85" t="s">
        <v>172</v>
      </c>
      <c r="B85" s="2">
        <v>2305</v>
      </c>
      <c r="C85" s="2">
        <v>2293</v>
      </c>
      <c r="D85" s="2">
        <v>2353</v>
      </c>
      <c r="E85" s="2">
        <v>2683</v>
      </c>
      <c r="F85" s="2">
        <v>9634</v>
      </c>
      <c r="G85" s="2">
        <v>2323</v>
      </c>
      <c r="H85" s="2">
        <v>2245</v>
      </c>
      <c r="I85" s="2">
        <v>2326.38</v>
      </c>
      <c r="J85" s="2">
        <v>2659.24</v>
      </c>
      <c r="K85" s="2">
        <v>9553.6200000000008</v>
      </c>
      <c r="L85" s="2">
        <v>2303.08</v>
      </c>
      <c r="M85" s="2">
        <v>2222.96</v>
      </c>
      <c r="N85" s="2">
        <v>2285.14</v>
      </c>
      <c r="O85" s="2">
        <v>2573.94</v>
      </c>
      <c r="P85" s="2">
        <v>9336.26</v>
      </c>
      <c r="Q85" s="2">
        <v>2282.8000000000002</v>
      </c>
      <c r="R85" s="2">
        <v>2218.38</v>
      </c>
      <c r="S85" s="2">
        <v>2275.04</v>
      </c>
      <c r="T85" s="2">
        <v>2556.35</v>
      </c>
      <c r="U85" s="2">
        <v>9258.36</v>
      </c>
      <c r="V85" s="2">
        <v>2270.36</v>
      </c>
      <c r="W85" s="2">
        <v>2216.4699999999998</v>
      </c>
      <c r="X85" s="2">
        <v>2263.9699999999998</v>
      </c>
      <c r="Y85" s="2">
        <v>2536.64</v>
      </c>
      <c r="Z85" s="2">
        <v>9153.56</v>
      </c>
      <c r="AA85" s="2">
        <v>2293.73</v>
      </c>
      <c r="AB85" s="2">
        <v>2246.15</v>
      </c>
      <c r="AC85" s="2">
        <v>2285.48</v>
      </c>
      <c r="AD85" s="2">
        <v>2542.9699999999998</v>
      </c>
      <c r="AE85" s="2">
        <v>9140.2900000000009</v>
      </c>
    </row>
    <row r="86" spans="1:31" x14ac:dyDescent="0.25">
      <c r="A86" s="3" t="s">
        <v>167</v>
      </c>
      <c r="B86" s="2">
        <v>11896</v>
      </c>
      <c r="C86" s="2">
        <v>11964</v>
      </c>
      <c r="D86" s="2">
        <v>12274</v>
      </c>
      <c r="E86" s="2">
        <v>12846</v>
      </c>
      <c r="F86" s="2">
        <v>48980</v>
      </c>
      <c r="G86" s="2">
        <v>12053</v>
      </c>
      <c r="H86" s="2">
        <v>11830</v>
      </c>
      <c r="I86" s="2">
        <v>12098.09</v>
      </c>
      <c r="J86" s="2">
        <v>12651.19</v>
      </c>
      <c r="K86" s="2">
        <v>48632.23</v>
      </c>
      <c r="L86" s="2">
        <v>11864.01</v>
      </c>
      <c r="M86" s="2">
        <v>11626.76</v>
      </c>
      <c r="N86" s="2">
        <v>11819.52</v>
      </c>
      <c r="O86" s="2">
        <v>12310.38</v>
      </c>
      <c r="P86" s="2">
        <v>47811</v>
      </c>
      <c r="Q86" s="2">
        <v>11768.39</v>
      </c>
      <c r="R86" s="2">
        <v>11579.72</v>
      </c>
      <c r="S86" s="2">
        <v>11842.3</v>
      </c>
      <c r="T86" s="2">
        <v>12402.32</v>
      </c>
      <c r="U86" s="2">
        <v>47407.11</v>
      </c>
      <c r="V86" s="2">
        <v>11719.49</v>
      </c>
      <c r="W86" s="2">
        <v>11542.93</v>
      </c>
      <c r="X86" s="2">
        <v>11810.46</v>
      </c>
      <c r="Y86" s="2">
        <v>12387.55</v>
      </c>
      <c r="Z86" s="2">
        <v>47028.68</v>
      </c>
      <c r="AA86" s="2">
        <v>11739.86</v>
      </c>
      <c r="AB86" s="2">
        <v>11573.57</v>
      </c>
      <c r="AC86" s="2">
        <v>11857.3</v>
      </c>
      <c r="AD86" s="2">
        <v>12445.9</v>
      </c>
      <c r="AE86" s="2">
        <v>46862.37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9F1A-13E1-4412-A069-251545D2AFB6}">
  <dimension ref="A2:AE57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173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s="3" t="s">
        <v>174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s="3" t="s">
        <v>84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t="s">
        <v>175</v>
      </c>
      <c r="B18" s="2">
        <v>236</v>
      </c>
      <c r="C18" s="2">
        <v>293</v>
      </c>
      <c r="D18" s="2">
        <v>285</v>
      </c>
      <c r="E18" s="2">
        <v>344</v>
      </c>
      <c r="F18" s="2">
        <v>1291</v>
      </c>
      <c r="G18" s="2">
        <v>229</v>
      </c>
      <c r="H18" s="2">
        <v>279</v>
      </c>
      <c r="I18" s="2">
        <v>307.37</v>
      </c>
      <c r="J18" s="2">
        <v>299.86</v>
      </c>
      <c r="K18" s="2">
        <v>1162.01</v>
      </c>
      <c r="L18" s="2">
        <v>286.60000000000002</v>
      </c>
      <c r="M18" s="2">
        <v>283.83</v>
      </c>
      <c r="N18" s="2">
        <v>286.14</v>
      </c>
      <c r="O18" s="2">
        <v>281</v>
      </c>
      <c r="P18" s="2">
        <v>1173.1099999999999</v>
      </c>
      <c r="Q18" s="2">
        <v>251.72</v>
      </c>
      <c r="R18" s="2">
        <v>299.64999999999998</v>
      </c>
      <c r="S18" s="2">
        <v>302.64999999999998</v>
      </c>
      <c r="T18" s="2">
        <v>311.41000000000003</v>
      </c>
      <c r="U18" s="2">
        <v>1151.3699999999999</v>
      </c>
      <c r="V18" s="2">
        <v>234.66</v>
      </c>
      <c r="W18" s="2">
        <v>299.19</v>
      </c>
      <c r="X18" s="2">
        <v>302.77</v>
      </c>
      <c r="Y18" s="2">
        <v>313.01</v>
      </c>
      <c r="Z18" s="2">
        <v>1116.99</v>
      </c>
      <c r="AA18" s="2">
        <v>227.39</v>
      </c>
      <c r="AB18" s="2">
        <v>301.41000000000003</v>
      </c>
      <c r="AC18" s="2">
        <v>305.06</v>
      </c>
      <c r="AD18" s="2">
        <v>315.43</v>
      </c>
      <c r="AE18" s="2">
        <v>1093.76</v>
      </c>
    </row>
    <row r="19" spans="1:31" x14ac:dyDescent="0.25">
      <c r="A19" s="3" t="s">
        <v>176</v>
      </c>
      <c r="B19" s="2">
        <v>58063</v>
      </c>
      <c r="C19" s="2">
        <v>58356</v>
      </c>
      <c r="D19" s="2">
        <v>58641</v>
      </c>
      <c r="E19" s="2">
        <v>64983</v>
      </c>
      <c r="F19" s="2">
        <v>64983</v>
      </c>
      <c r="G19" s="2">
        <v>59164</v>
      </c>
      <c r="H19" s="2">
        <v>59443</v>
      </c>
      <c r="I19" s="2">
        <v>63582.89</v>
      </c>
      <c r="J19" s="2">
        <v>63882.75</v>
      </c>
      <c r="K19" s="2">
        <v>64219.22</v>
      </c>
      <c r="L19" s="2">
        <v>63988.87</v>
      </c>
      <c r="M19" s="2">
        <v>64272.7</v>
      </c>
      <c r="N19" s="2">
        <v>64558.84</v>
      </c>
      <c r="O19" s="2">
        <v>64839.839999999997</v>
      </c>
      <c r="P19" s="2">
        <v>65315.17</v>
      </c>
      <c r="Q19" s="2">
        <v>65311.96</v>
      </c>
      <c r="R19" s="2">
        <v>65611.61</v>
      </c>
      <c r="S19" s="2">
        <v>65914.259999999995</v>
      </c>
      <c r="T19" s="2">
        <v>66225.67</v>
      </c>
      <c r="U19" s="2">
        <v>66344.52</v>
      </c>
      <c r="V19" s="2">
        <v>66108.149999999994</v>
      </c>
      <c r="W19" s="2">
        <v>66407.34</v>
      </c>
      <c r="X19" s="2">
        <v>66710.11</v>
      </c>
      <c r="Y19" s="2">
        <v>67023.12</v>
      </c>
      <c r="Z19" s="2">
        <v>67281.009999999995</v>
      </c>
      <c r="AA19" s="2">
        <v>67250.52</v>
      </c>
      <c r="AB19" s="2">
        <v>67551.929999999993</v>
      </c>
      <c r="AC19" s="2">
        <v>67856.98</v>
      </c>
      <c r="AD19" s="2">
        <v>68172.41</v>
      </c>
      <c r="AE19" s="2">
        <v>68374.77</v>
      </c>
    </row>
    <row r="20" spans="1:31" x14ac:dyDescent="0.25">
      <c r="A20" s="3" t="s">
        <v>84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3" t="s">
        <v>177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t="s">
        <v>178</v>
      </c>
      <c r="B22" s="2">
        <v>-203</v>
      </c>
      <c r="C22" s="2">
        <v>-223</v>
      </c>
      <c r="D22" s="2">
        <v>-104</v>
      </c>
      <c r="E22" s="2">
        <v>-203</v>
      </c>
      <c r="F22" s="2">
        <v>-733</v>
      </c>
      <c r="G22" s="2">
        <v>-94</v>
      </c>
      <c r="H22" s="2">
        <v>-166</v>
      </c>
      <c r="I22" s="2">
        <v>-128.61000000000001</v>
      </c>
      <c r="J22" s="2">
        <v>-135.25</v>
      </c>
      <c r="K22" s="2">
        <v>-523.86</v>
      </c>
      <c r="L22" s="2">
        <v>-73.33</v>
      </c>
      <c r="M22" s="2">
        <v>-99.92</v>
      </c>
      <c r="N22" s="2">
        <v>-53.97</v>
      </c>
      <c r="O22" s="2">
        <v>-86.34</v>
      </c>
      <c r="P22" s="2">
        <v>-415.99</v>
      </c>
      <c r="Q22" s="2">
        <v>-54.53</v>
      </c>
      <c r="R22" s="2">
        <v>-81.709999999999994</v>
      </c>
      <c r="S22" s="2">
        <v>-36.799999999999997</v>
      </c>
      <c r="T22" s="2">
        <v>-73.28</v>
      </c>
      <c r="U22" s="2">
        <v>-398.67</v>
      </c>
      <c r="V22" s="2">
        <v>-37.08</v>
      </c>
      <c r="W22" s="2">
        <v>-48.76</v>
      </c>
      <c r="X22" s="2">
        <v>-8.98</v>
      </c>
      <c r="Y22" s="2">
        <v>-41.03</v>
      </c>
      <c r="Z22" s="2">
        <v>-337.34</v>
      </c>
      <c r="AA22" s="2">
        <v>-31.55</v>
      </c>
      <c r="AB22" s="2">
        <v>-38.630000000000003</v>
      </c>
      <c r="AC22" s="2">
        <v>-1.61</v>
      </c>
      <c r="AD22" s="2">
        <v>-32.01</v>
      </c>
      <c r="AE22" s="2">
        <v>-288.38</v>
      </c>
    </row>
    <row r="23" spans="1:31" x14ac:dyDescent="0.25">
      <c r="A23" s="3" t="s">
        <v>179</v>
      </c>
      <c r="B23" s="2">
        <v>30969</v>
      </c>
      <c r="C23" s="2">
        <v>30746</v>
      </c>
      <c r="D23" s="2">
        <v>30642</v>
      </c>
      <c r="E23" s="2">
        <v>30439</v>
      </c>
      <c r="F23" s="2">
        <v>30439</v>
      </c>
      <c r="G23" s="2">
        <v>30345</v>
      </c>
      <c r="H23" s="2">
        <v>30179</v>
      </c>
      <c r="I23" s="2">
        <v>30050.39</v>
      </c>
      <c r="J23" s="2">
        <v>29915.14</v>
      </c>
      <c r="K23" s="2">
        <v>29915.14</v>
      </c>
      <c r="L23" s="2">
        <v>29884.05</v>
      </c>
      <c r="M23" s="2">
        <v>29784.12</v>
      </c>
      <c r="N23" s="2">
        <v>29730.16</v>
      </c>
      <c r="O23" s="2">
        <v>29643.81</v>
      </c>
      <c r="P23" s="2">
        <v>29502.44</v>
      </c>
      <c r="Q23" s="2">
        <v>29644.34</v>
      </c>
      <c r="R23" s="2">
        <v>29562.639999999999</v>
      </c>
      <c r="S23" s="2">
        <v>29525.84</v>
      </c>
      <c r="T23" s="2">
        <v>29452.560000000001</v>
      </c>
      <c r="U23" s="2">
        <v>29081.52</v>
      </c>
      <c r="V23" s="2">
        <v>29537.99</v>
      </c>
      <c r="W23" s="2">
        <v>29489.23</v>
      </c>
      <c r="X23" s="2">
        <v>29480.240000000002</v>
      </c>
      <c r="Y23" s="2">
        <v>29439.21</v>
      </c>
      <c r="Z23" s="2">
        <v>28781.599999999999</v>
      </c>
      <c r="AA23" s="2">
        <v>29407.66</v>
      </c>
      <c r="AB23" s="2">
        <v>29369.03</v>
      </c>
      <c r="AC23" s="2">
        <v>29367.43</v>
      </c>
      <c r="AD23" s="2">
        <v>29335.41</v>
      </c>
      <c r="AE23" s="2">
        <v>28493.22</v>
      </c>
    </row>
    <row r="24" spans="1:31" x14ac:dyDescent="0.25">
      <c r="A24" t="s">
        <v>180</v>
      </c>
      <c r="B24" s="2">
        <v>-12</v>
      </c>
      <c r="C24" s="2">
        <v>-101</v>
      </c>
      <c r="D24" s="2">
        <v>-96</v>
      </c>
      <c r="E24" s="2">
        <v>22</v>
      </c>
      <c r="F24" s="2">
        <v>-187</v>
      </c>
      <c r="G24" s="2">
        <v>104</v>
      </c>
      <c r="H24" s="2">
        <v>-64</v>
      </c>
      <c r="I24" s="2">
        <v>-60.67</v>
      </c>
      <c r="J24" s="2">
        <v>23.62</v>
      </c>
      <c r="K24" s="2">
        <v>-7.88</v>
      </c>
      <c r="L24" s="2">
        <v>38.61</v>
      </c>
      <c r="M24" s="2">
        <v>-51.28</v>
      </c>
      <c r="N24" s="2">
        <v>-43.23</v>
      </c>
      <c r="O24" s="2">
        <v>20.190000000000001</v>
      </c>
      <c r="P24" s="2">
        <v>-30.35</v>
      </c>
      <c r="Q24" s="2">
        <v>57.21</v>
      </c>
      <c r="R24" s="2">
        <v>-42</v>
      </c>
      <c r="S24" s="2">
        <v>-42.77</v>
      </c>
      <c r="T24" s="2">
        <v>24.71</v>
      </c>
      <c r="U24" s="2">
        <v>-15.88</v>
      </c>
      <c r="V24" s="2">
        <v>60.11</v>
      </c>
      <c r="W24" s="2">
        <v>-53.92</v>
      </c>
      <c r="X24" s="2">
        <v>-55.8</v>
      </c>
      <c r="Y24" s="2">
        <v>23.89</v>
      </c>
      <c r="Z24" s="2">
        <v>-23.44</v>
      </c>
      <c r="AA24" s="2">
        <v>61.24</v>
      </c>
      <c r="AB24" s="2">
        <v>-53.48</v>
      </c>
      <c r="AC24" s="2">
        <v>-54.84</v>
      </c>
      <c r="AD24" s="2">
        <v>24.26</v>
      </c>
      <c r="AE24" s="2">
        <v>-18.45</v>
      </c>
    </row>
    <row r="25" spans="1:31" x14ac:dyDescent="0.25">
      <c r="A25" s="3" t="s">
        <v>128</v>
      </c>
      <c r="B25" s="2">
        <v>17674</v>
      </c>
      <c r="C25" s="2">
        <v>17573</v>
      </c>
      <c r="D25" s="2">
        <v>17477</v>
      </c>
      <c r="E25" s="2">
        <v>17499</v>
      </c>
      <c r="F25" s="2">
        <v>17499</v>
      </c>
      <c r="G25" s="2">
        <v>17603</v>
      </c>
      <c r="H25" s="2">
        <v>17539</v>
      </c>
      <c r="I25" s="2">
        <v>17485.47</v>
      </c>
      <c r="J25" s="2">
        <v>17507.689999999999</v>
      </c>
      <c r="K25" s="2">
        <v>17505.89</v>
      </c>
      <c r="L25" s="2">
        <v>17553.54</v>
      </c>
      <c r="M25" s="2">
        <v>17506.919999999998</v>
      </c>
      <c r="N25" s="2">
        <v>17467.62</v>
      </c>
      <c r="O25" s="2">
        <v>17485.98</v>
      </c>
      <c r="P25" s="2">
        <v>17483.63</v>
      </c>
      <c r="Q25" s="2">
        <v>17566.02</v>
      </c>
      <c r="R25" s="2">
        <v>17529.27</v>
      </c>
      <c r="S25" s="2">
        <v>17491.849999999999</v>
      </c>
      <c r="T25" s="2">
        <v>17513.48</v>
      </c>
      <c r="U25" s="2">
        <v>17473.439999999999</v>
      </c>
      <c r="V25" s="2">
        <v>17525.64</v>
      </c>
      <c r="W25" s="2">
        <v>17479.43</v>
      </c>
      <c r="X25" s="2">
        <v>17431.599999999999</v>
      </c>
      <c r="Y25" s="2">
        <v>17452.07</v>
      </c>
      <c r="Z25" s="2">
        <v>17432.490000000002</v>
      </c>
      <c r="AA25" s="2">
        <v>17504.57</v>
      </c>
      <c r="AB25" s="2">
        <v>17458.73</v>
      </c>
      <c r="AC25" s="2">
        <v>17411.72</v>
      </c>
      <c r="AD25" s="2">
        <v>17432.509999999998</v>
      </c>
      <c r="AE25" s="2">
        <v>17417.990000000002</v>
      </c>
    </row>
    <row r="26" spans="1:31" x14ac:dyDescent="0.25">
      <c r="A26" t="s">
        <v>181</v>
      </c>
      <c r="B26" s="2">
        <v>-13</v>
      </c>
      <c r="C26" s="2">
        <v>100</v>
      </c>
      <c r="D26" s="2">
        <v>-11</v>
      </c>
      <c r="E26" s="2">
        <v>1</v>
      </c>
      <c r="F26" s="2">
        <v>76</v>
      </c>
      <c r="G26" s="2">
        <v>-4.71</v>
      </c>
      <c r="H26" s="2">
        <v>-18.61</v>
      </c>
      <c r="I26" s="2">
        <v>-5.03</v>
      </c>
      <c r="J26" s="2">
        <v>-19.100000000000001</v>
      </c>
      <c r="K26" s="2">
        <v>-18.73</v>
      </c>
      <c r="L26" s="2">
        <v>2.2200000000000002</v>
      </c>
      <c r="M26" s="2">
        <v>-0.24</v>
      </c>
      <c r="N26" s="2">
        <v>-7.08</v>
      </c>
      <c r="O26" s="2">
        <v>-10</v>
      </c>
      <c r="P26" s="2">
        <v>-8.8800000000000008</v>
      </c>
      <c r="Q26" s="2">
        <v>3.94</v>
      </c>
      <c r="R26" s="2">
        <v>0.17</v>
      </c>
      <c r="S26" s="2">
        <v>-6.22</v>
      </c>
      <c r="T26" s="2">
        <v>-8.85</v>
      </c>
      <c r="U26" s="2">
        <v>-12.94</v>
      </c>
      <c r="V26" s="2">
        <v>4.05</v>
      </c>
      <c r="W26" s="2">
        <v>0.6</v>
      </c>
      <c r="X26" s="2">
        <v>-5.34</v>
      </c>
      <c r="Y26" s="2">
        <v>-7.7</v>
      </c>
      <c r="Z26" s="2">
        <v>-11.51</v>
      </c>
      <c r="AA26" s="2">
        <v>4.17</v>
      </c>
      <c r="AB26" s="2">
        <v>1.03</v>
      </c>
      <c r="AC26" s="2">
        <v>-4.4400000000000004</v>
      </c>
      <c r="AD26" s="2">
        <v>-6.57</v>
      </c>
      <c r="AE26" s="2">
        <v>-10.34</v>
      </c>
    </row>
    <row r="27" spans="1:31" x14ac:dyDescent="0.25">
      <c r="A27" s="3" t="s">
        <v>133</v>
      </c>
      <c r="B27" s="2">
        <v>2613</v>
      </c>
      <c r="C27" s="2">
        <v>2713</v>
      </c>
      <c r="D27" s="2">
        <v>2702</v>
      </c>
      <c r="E27" s="2">
        <v>2702</v>
      </c>
      <c r="F27" s="2">
        <v>2702</v>
      </c>
      <c r="G27" s="2">
        <v>2685.26</v>
      </c>
      <c r="H27" s="2">
        <v>2687.57</v>
      </c>
      <c r="I27" s="2">
        <v>2680.75</v>
      </c>
      <c r="J27" s="2">
        <v>2669.38</v>
      </c>
      <c r="K27" s="2">
        <v>2669.38</v>
      </c>
      <c r="L27" s="2">
        <v>2681.99</v>
      </c>
      <c r="M27" s="2">
        <v>2680.71</v>
      </c>
      <c r="N27" s="2">
        <v>2672.66</v>
      </c>
      <c r="O27" s="2">
        <v>2669.36</v>
      </c>
      <c r="P27" s="2">
        <v>2661.24</v>
      </c>
      <c r="Q27" s="2">
        <v>2664.08</v>
      </c>
      <c r="R27" s="2">
        <v>2663.35</v>
      </c>
      <c r="S27" s="2">
        <v>2653.85</v>
      </c>
      <c r="T27" s="2">
        <v>2650.08</v>
      </c>
      <c r="U27" s="2">
        <v>2642.91</v>
      </c>
      <c r="V27" s="2">
        <v>2655.24</v>
      </c>
      <c r="W27" s="2">
        <v>2655.26</v>
      </c>
      <c r="X27" s="2">
        <v>2646.78</v>
      </c>
      <c r="Y27" s="2">
        <v>2643.75</v>
      </c>
      <c r="Z27" s="2">
        <v>2631.4</v>
      </c>
      <c r="AA27" s="2">
        <v>2649.32</v>
      </c>
      <c r="AB27" s="2">
        <v>2649.92</v>
      </c>
      <c r="AC27" s="2">
        <v>2642.32</v>
      </c>
      <c r="AD27" s="2">
        <v>2639.92</v>
      </c>
      <c r="AE27" s="2">
        <v>2621.06</v>
      </c>
    </row>
    <row r="28" spans="1:31" x14ac:dyDescent="0.25">
      <c r="A28" t="s">
        <v>182</v>
      </c>
      <c r="B28" s="2">
        <v>-228</v>
      </c>
      <c r="C28" s="2">
        <v>-224</v>
      </c>
      <c r="D28" s="2">
        <v>-211</v>
      </c>
      <c r="E28" s="2">
        <v>-181</v>
      </c>
      <c r="F28" s="2">
        <v>-844</v>
      </c>
      <c r="G28" s="2">
        <v>9</v>
      </c>
      <c r="H28" s="2">
        <v>-230</v>
      </c>
      <c r="I28" s="2">
        <v>-192.58</v>
      </c>
      <c r="J28" s="2">
        <v>-130.35</v>
      </c>
      <c r="K28" s="2">
        <v>-767.73</v>
      </c>
      <c r="L28" s="2">
        <v>-22.04</v>
      </c>
      <c r="M28" s="2">
        <v>-138.44999999999999</v>
      </c>
      <c r="N28" s="2">
        <v>-85.46</v>
      </c>
      <c r="O28" s="2">
        <v>-72.23</v>
      </c>
      <c r="P28" s="2">
        <v>-422.13</v>
      </c>
      <c r="Q28" s="2">
        <v>12.52</v>
      </c>
      <c r="R28" s="2">
        <v>-107.93</v>
      </c>
      <c r="S28" s="2">
        <v>-62.2</v>
      </c>
      <c r="T28" s="2">
        <v>-53.32</v>
      </c>
      <c r="U28" s="2">
        <v>-401.54</v>
      </c>
      <c r="V28" s="2">
        <v>37.869999999999997</v>
      </c>
      <c r="W28" s="2">
        <v>-77.91</v>
      </c>
      <c r="X28" s="2">
        <v>-39.130000000000003</v>
      </c>
      <c r="Y28" s="2">
        <v>-9.18</v>
      </c>
      <c r="Z28" s="2">
        <v>-336.04</v>
      </c>
      <c r="AA28" s="2">
        <v>45.73</v>
      </c>
      <c r="AB28" s="2">
        <v>-64.930000000000007</v>
      </c>
      <c r="AC28" s="2">
        <v>-28.92</v>
      </c>
      <c r="AD28" s="2">
        <v>4.68</v>
      </c>
      <c r="AE28" s="2">
        <v>-271.83</v>
      </c>
    </row>
    <row r="29" spans="1:31" x14ac:dyDescent="0.25">
      <c r="A29" s="3" t="s">
        <v>183</v>
      </c>
      <c r="B29" s="2">
        <v>51256</v>
      </c>
      <c r="C29" s="2">
        <v>51032</v>
      </c>
      <c r="D29" s="2">
        <v>50821</v>
      </c>
      <c r="E29" s="2">
        <v>50640</v>
      </c>
      <c r="F29" s="2">
        <v>50640</v>
      </c>
      <c r="G29" s="2">
        <v>50022.66</v>
      </c>
      <c r="H29" s="2">
        <v>47718</v>
      </c>
      <c r="I29" s="2">
        <v>49391.74</v>
      </c>
      <c r="J29" s="2">
        <v>49270.98</v>
      </c>
      <c r="K29" s="2">
        <v>49434.17</v>
      </c>
      <c r="L29" s="2">
        <v>48819.47</v>
      </c>
      <c r="M29" s="2">
        <v>48668.45</v>
      </c>
      <c r="N29" s="2">
        <v>48572.21</v>
      </c>
      <c r="O29" s="2">
        <v>48493.85</v>
      </c>
      <c r="P29" s="2">
        <v>48752.53</v>
      </c>
      <c r="Q29" s="2">
        <v>48605.95</v>
      </c>
      <c r="R29" s="2">
        <v>48486.78</v>
      </c>
      <c r="S29" s="2">
        <v>48414.52</v>
      </c>
      <c r="T29" s="2">
        <v>48353.440000000002</v>
      </c>
      <c r="U29" s="2">
        <v>48206.46</v>
      </c>
      <c r="V29" s="2">
        <v>48798.8</v>
      </c>
      <c r="W29" s="2">
        <v>48714.53</v>
      </c>
      <c r="X29" s="2">
        <v>48669.06</v>
      </c>
      <c r="Y29" s="2">
        <v>48651.71</v>
      </c>
      <c r="Z29" s="2">
        <v>48023.33</v>
      </c>
      <c r="AA29" s="2">
        <v>48714.2</v>
      </c>
      <c r="AB29" s="2">
        <v>48646.65</v>
      </c>
      <c r="AC29" s="2">
        <v>48614.58</v>
      </c>
      <c r="AD29" s="2">
        <v>48612.23</v>
      </c>
      <c r="AE29" s="2">
        <v>47731.11</v>
      </c>
    </row>
    <row r="30" spans="1:31" x14ac:dyDescent="0.25">
      <c r="A30" s="3" t="s">
        <v>184</v>
      </c>
      <c r="B30" s="2">
        <v>51370</v>
      </c>
      <c r="C30" s="2">
        <v>51144</v>
      </c>
      <c r="D30" s="2">
        <v>50926.5</v>
      </c>
      <c r="E30" s="2">
        <v>50730.5</v>
      </c>
      <c r="F30" s="2">
        <v>51062</v>
      </c>
      <c r="G30" s="2">
        <v>50064.87</v>
      </c>
      <c r="H30" s="2">
        <v>49713.02</v>
      </c>
      <c r="I30" s="2">
        <v>49362.7</v>
      </c>
      <c r="J30" s="2">
        <v>49204.56</v>
      </c>
      <c r="K30" s="2">
        <v>49570.19</v>
      </c>
      <c r="L30" s="2">
        <v>48854.85</v>
      </c>
      <c r="M30" s="2">
        <v>48596.17</v>
      </c>
      <c r="N30" s="2">
        <v>48482.07</v>
      </c>
      <c r="O30" s="2">
        <v>48404.55</v>
      </c>
      <c r="P30" s="2">
        <v>49038.41</v>
      </c>
      <c r="Q30" s="2">
        <v>48429.5</v>
      </c>
      <c r="R30" s="2">
        <v>48383.1</v>
      </c>
      <c r="S30" s="2">
        <v>48295.27</v>
      </c>
      <c r="T30" s="2">
        <v>48237.87</v>
      </c>
      <c r="U30" s="2">
        <v>48351.68</v>
      </c>
      <c r="V30" s="2">
        <v>48545.51</v>
      </c>
      <c r="W30" s="2">
        <v>48526.81</v>
      </c>
      <c r="X30" s="2">
        <v>48465.07</v>
      </c>
      <c r="Y30" s="2">
        <v>48437.66</v>
      </c>
      <c r="Z30" s="2">
        <v>48143.56</v>
      </c>
      <c r="AA30" s="2">
        <v>48463.28</v>
      </c>
      <c r="AB30" s="2">
        <v>48454.83</v>
      </c>
      <c r="AC30" s="2">
        <v>48404.68</v>
      </c>
      <c r="AD30" s="2">
        <v>48388.15</v>
      </c>
      <c r="AE30" s="2">
        <v>47839.91</v>
      </c>
    </row>
    <row r="31" spans="1:31" x14ac:dyDescent="0.25">
      <c r="A31" s="3" t="s">
        <v>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3" t="s">
        <v>185</v>
      </c>
      <c r="B32" s="2">
        <v>130.83000000000001</v>
      </c>
      <c r="C32" s="2">
        <v>133.04</v>
      </c>
      <c r="D32" s="2">
        <v>132.30000000000001</v>
      </c>
      <c r="E32" s="2">
        <v>133.27000000000001</v>
      </c>
      <c r="F32" s="2">
        <v>132.30000000000001</v>
      </c>
      <c r="G32" s="2">
        <v>133.24</v>
      </c>
      <c r="H32" s="2">
        <v>137.94999999999999</v>
      </c>
      <c r="I32" s="2">
        <v>132.81</v>
      </c>
      <c r="J32" s="2">
        <v>134.54</v>
      </c>
      <c r="K32" s="2">
        <v>133.33000000000001</v>
      </c>
      <c r="L32" s="2">
        <v>134.26</v>
      </c>
      <c r="M32" s="2">
        <v>133.83000000000001</v>
      </c>
      <c r="N32" s="2">
        <v>133.25</v>
      </c>
      <c r="O32" s="2">
        <v>134.78</v>
      </c>
      <c r="P32" s="2">
        <v>132.88999999999999</v>
      </c>
      <c r="Q32" s="2">
        <v>134.88999999999999</v>
      </c>
      <c r="R32" s="2">
        <v>134.22999999999999</v>
      </c>
      <c r="S32" s="2">
        <v>134.13</v>
      </c>
      <c r="T32" s="2">
        <v>136.01</v>
      </c>
      <c r="U32" s="2">
        <v>133.80000000000001</v>
      </c>
      <c r="V32" s="2">
        <v>134.99</v>
      </c>
      <c r="W32" s="2">
        <v>134.32</v>
      </c>
      <c r="X32" s="2">
        <v>133.9</v>
      </c>
      <c r="Y32" s="2">
        <v>135.43</v>
      </c>
      <c r="Z32" s="2">
        <v>133.69999999999999</v>
      </c>
      <c r="AA32" s="2">
        <v>135.80000000000001</v>
      </c>
      <c r="AB32" s="2">
        <v>135.25</v>
      </c>
      <c r="AC32" s="2">
        <v>134.97</v>
      </c>
      <c r="AD32" s="2">
        <v>136.82</v>
      </c>
      <c r="AE32" s="2">
        <v>134.80000000000001</v>
      </c>
    </row>
    <row r="33" spans="1:31" x14ac:dyDescent="0.25">
      <c r="A33" s="3" t="s">
        <v>186</v>
      </c>
      <c r="B33" s="2">
        <v>53.64</v>
      </c>
      <c r="C33" s="2">
        <v>55.07</v>
      </c>
      <c r="D33" s="2">
        <v>51.96</v>
      </c>
      <c r="E33" s="2">
        <v>49.18</v>
      </c>
      <c r="F33" s="2">
        <v>52.37</v>
      </c>
      <c r="G33" s="2">
        <v>52.92</v>
      </c>
      <c r="H33" s="2">
        <v>55.5</v>
      </c>
      <c r="I33" s="2">
        <v>51.49</v>
      </c>
      <c r="J33" s="2">
        <v>49.18</v>
      </c>
      <c r="K33" s="2">
        <v>51.84</v>
      </c>
      <c r="L33" s="2">
        <v>53.64</v>
      </c>
      <c r="M33" s="2">
        <v>54.36</v>
      </c>
      <c r="N33" s="2">
        <v>52.21</v>
      </c>
      <c r="O33" s="2">
        <v>50.18</v>
      </c>
      <c r="P33" s="2">
        <v>51.97</v>
      </c>
      <c r="Q33" s="2">
        <v>53.48</v>
      </c>
      <c r="R33" s="2">
        <v>54.04</v>
      </c>
      <c r="S33" s="2">
        <v>51.78</v>
      </c>
      <c r="T33" s="2">
        <v>49.6</v>
      </c>
      <c r="U33" s="2">
        <v>51.95</v>
      </c>
      <c r="V33" s="2">
        <v>53.82</v>
      </c>
      <c r="W33" s="2">
        <v>54.35</v>
      </c>
      <c r="X33" s="2">
        <v>51.78</v>
      </c>
      <c r="Y33" s="2">
        <v>49.18</v>
      </c>
      <c r="Z33" s="2">
        <v>51.96</v>
      </c>
      <c r="AA33" s="2">
        <v>54.23</v>
      </c>
      <c r="AB33" s="2">
        <v>54.83</v>
      </c>
      <c r="AC33" s="2">
        <v>52.32</v>
      </c>
      <c r="AD33" s="2">
        <v>49.99</v>
      </c>
      <c r="AE33" s="2">
        <v>52.68</v>
      </c>
    </row>
    <row r="34" spans="1:31" x14ac:dyDescent="0.25">
      <c r="A34" s="3" t="s">
        <v>84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s="3" t="s">
        <v>187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t="s">
        <v>188</v>
      </c>
      <c r="B36" s="2">
        <v>-183</v>
      </c>
      <c r="C36" s="2">
        <v>-201</v>
      </c>
      <c r="D36" s="2">
        <v>-91</v>
      </c>
      <c r="E36" s="2">
        <v>-178</v>
      </c>
      <c r="F36" s="2">
        <v>-654</v>
      </c>
      <c r="G36" s="2">
        <v>-65</v>
      </c>
      <c r="H36" s="2">
        <v>-167</v>
      </c>
      <c r="I36" s="2">
        <v>-135.59</v>
      </c>
      <c r="J36" s="2">
        <v>-168.38</v>
      </c>
      <c r="K36" s="2">
        <v>-536.51</v>
      </c>
      <c r="L36" s="2">
        <v>-109.49</v>
      </c>
      <c r="M36" s="2">
        <v>-159.07</v>
      </c>
      <c r="N36" s="2">
        <v>-104.6</v>
      </c>
      <c r="O36" s="2">
        <v>-135.56</v>
      </c>
      <c r="P36" s="2">
        <v>-511.08</v>
      </c>
      <c r="Q36" s="2">
        <v>-90.51</v>
      </c>
      <c r="R36" s="2">
        <v>-151.44999999999999</v>
      </c>
      <c r="S36" s="2">
        <v>-82.43</v>
      </c>
      <c r="T36" s="2">
        <v>-124.94</v>
      </c>
      <c r="U36" s="2">
        <v>-500.74</v>
      </c>
      <c r="V36" s="2">
        <v>-77.72</v>
      </c>
      <c r="W36" s="2">
        <v>-122.54</v>
      </c>
      <c r="X36" s="2">
        <v>-58.53</v>
      </c>
      <c r="Y36" s="2">
        <v>-93.42</v>
      </c>
      <c r="Z36" s="2">
        <v>-435.89</v>
      </c>
      <c r="AA36" s="2">
        <v>-83.59</v>
      </c>
      <c r="AB36" s="2">
        <v>-120.9</v>
      </c>
      <c r="AC36" s="2">
        <v>-40.700000000000003</v>
      </c>
      <c r="AD36" s="2">
        <v>-88.08</v>
      </c>
      <c r="AE36" s="2">
        <v>-399.63</v>
      </c>
    </row>
    <row r="37" spans="1:31" x14ac:dyDescent="0.25">
      <c r="A37" s="3" t="s">
        <v>118</v>
      </c>
      <c r="B37" s="2">
        <v>29190</v>
      </c>
      <c r="C37" s="2">
        <v>28989</v>
      </c>
      <c r="D37" s="2">
        <v>28897</v>
      </c>
      <c r="E37" s="2">
        <v>28719</v>
      </c>
      <c r="F37" s="2">
        <v>28719</v>
      </c>
      <c r="G37" s="2">
        <v>28654</v>
      </c>
      <c r="H37" s="2">
        <v>28486</v>
      </c>
      <c r="I37" s="2">
        <v>28350.5</v>
      </c>
      <c r="J37" s="2">
        <v>28182.12</v>
      </c>
      <c r="K37" s="2">
        <v>28182.18</v>
      </c>
      <c r="L37" s="2">
        <v>28072.16</v>
      </c>
      <c r="M37" s="2">
        <v>27913.09</v>
      </c>
      <c r="N37" s="2">
        <v>27808.48</v>
      </c>
      <c r="O37" s="2">
        <v>27672.93</v>
      </c>
      <c r="P37" s="2">
        <v>27673.11</v>
      </c>
      <c r="Q37" s="2">
        <v>27617.89</v>
      </c>
      <c r="R37" s="2">
        <v>27466.44</v>
      </c>
      <c r="S37" s="2">
        <v>27384.01</v>
      </c>
      <c r="T37" s="2">
        <v>27259.07</v>
      </c>
      <c r="U37" s="2">
        <v>27169.88</v>
      </c>
      <c r="V37" s="2">
        <v>27288.94</v>
      </c>
      <c r="W37" s="2">
        <v>27166.39</v>
      </c>
      <c r="X37" s="2">
        <v>27116.23</v>
      </c>
      <c r="Y37" s="2">
        <v>27022.81</v>
      </c>
      <c r="Z37" s="2">
        <v>26785.05</v>
      </c>
      <c r="AA37" s="2">
        <v>26939.22</v>
      </c>
      <c r="AB37" s="2">
        <v>26818.32</v>
      </c>
      <c r="AC37" s="2">
        <v>26777.62</v>
      </c>
      <c r="AD37" s="2">
        <v>26689.54</v>
      </c>
      <c r="AE37" s="2">
        <v>26385.42</v>
      </c>
    </row>
    <row r="38" spans="1:31" x14ac:dyDescent="0.25">
      <c r="A38" t="s">
        <v>189</v>
      </c>
      <c r="B38" s="2">
        <v>-17</v>
      </c>
      <c r="C38" s="2">
        <v>-25</v>
      </c>
      <c r="D38" s="2">
        <v>-13</v>
      </c>
      <c r="E38" s="2">
        <v>-3</v>
      </c>
      <c r="F38" s="2">
        <v>-58</v>
      </c>
      <c r="G38" s="2">
        <v>-9.23</v>
      </c>
      <c r="H38" s="2">
        <v>-9.5</v>
      </c>
      <c r="I38" s="2">
        <v>-8.14</v>
      </c>
      <c r="J38" s="2">
        <v>-4.08</v>
      </c>
      <c r="K38" s="2">
        <v>-30.96</v>
      </c>
      <c r="L38" s="2">
        <v>-6.25</v>
      </c>
      <c r="M38" s="2">
        <v>-5.75</v>
      </c>
      <c r="N38" s="2">
        <v>-2.25</v>
      </c>
      <c r="O38" s="2">
        <v>0.25</v>
      </c>
      <c r="P38" s="2">
        <v>-23.63</v>
      </c>
      <c r="Q38" s="2">
        <v>-5.62</v>
      </c>
      <c r="R38" s="2">
        <v>-5.12</v>
      </c>
      <c r="S38" s="2">
        <v>-1.43</v>
      </c>
      <c r="T38" s="2">
        <v>1.65</v>
      </c>
      <c r="U38" s="2">
        <v>-22.48</v>
      </c>
      <c r="V38" s="2">
        <v>-4.99</v>
      </c>
      <c r="W38" s="2">
        <v>-4.49</v>
      </c>
      <c r="X38" s="2">
        <v>-0.56999999999999995</v>
      </c>
      <c r="Y38" s="2">
        <v>1.41</v>
      </c>
      <c r="Z38" s="2">
        <v>-21.33</v>
      </c>
      <c r="AA38" s="2">
        <v>-4.34</v>
      </c>
      <c r="AB38" s="2">
        <v>-3.84</v>
      </c>
      <c r="AC38" s="2">
        <v>0.33</v>
      </c>
      <c r="AD38" s="2">
        <v>2</v>
      </c>
      <c r="AE38" s="2">
        <v>-15.86</v>
      </c>
    </row>
    <row r="39" spans="1:31" x14ac:dyDescent="0.25">
      <c r="A39" s="3" t="s">
        <v>190</v>
      </c>
      <c r="B39" s="2">
        <v>2453</v>
      </c>
      <c r="C39" s="2">
        <v>2551</v>
      </c>
      <c r="D39" s="2">
        <v>2538</v>
      </c>
      <c r="E39" s="2">
        <v>2536</v>
      </c>
      <c r="F39" s="2">
        <v>2536</v>
      </c>
      <c r="G39" s="2">
        <v>2510.37</v>
      </c>
      <c r="H39" s="2">
        <v>2500.4</v>
      </c>
      <c r="I39" s="2">
        <v>2490.98</v>
      </c>
      <c r="J39" s="2">
        <v>2486.02</v>
      </c>
      <c r="K39" s="2">
        <v>2486.02</v>
      </c>
      <c r="L39" s="2">
        <v>2498.67</v>
      </c>
      <c r="M39" s="2">
        <v>2492.36</v>
      </c>
      <c r="N39" s="2">
        <v>2486.83</v>
      </c>
      <c r="O39" s="2">
        <v>2485.11</v>
      </c>
      <c r="P39" s="2">
        <v>2480.4</v>
      </c>
      <c r="Q39" s="2">
        <v>2483.62</v>
      </c>
      <c r="R39" s="2">
        <v>2479.0100000000002</v>
      </c>
      <c r="S39" s="2">
        <v>2475.2399999999998</v>
      </c>
      <c r="T39" s="2">
        <v>2475.0100000000002</v>
      </c>
      <c r="U39" s="2">
        <v>2460.4</v>
      </c>
      <c r="V39" s="2">
        <v>2474.96</v>
      </c>
      <c r="W39" s="2">
        <v>2471.73</v>
      </c>
      <c r="X39" s="2">
        <v>2469.42</v>
      </c>
      <c r="Y39" s="2">
        <v>2470.39</v>
      </c>
      <c r="Z39" s="2">
        <v>2443.1999999999998</v>
      </c>
      <c r="AA39" s="2">
        <v>2471.54</v>
      </c>
      <c r="AB39" s="2">
        <v>2468.75</v>
      </c>
      <c r="AC39" s="2">
        <v>2467.02</v>
      </c>
      <c r="AD39" s="2">
        <v>2468.39</v>
      </c>
      <c r="AE39" s="2">
        <v>2427.34</v>
      </c>
    </row>
    <row r="40" spans="1:31" x14ac:dyDescent="0.25">
      <c r="A40" t="s">
        <v>191</v>
      </c>
      <c r="B40" s="2">
        <v>-199</v>
      </c>
      <c r="C40" s="2">
        <v>-201</v>
      </c>
      <c r="D40" s="2">
        <v>-104</v>
      </c>
      <c r="E40" s="2">
        <v>-181</v>
      </c>
      <c r="F40" s="2">
        <v>-710</v>
      </c>
      <c r="G40" s="2">
        <v>-79.33</v>
      </c>
      <c r="H40" s="2">
        <v>-175.23</v>
      </c>
      <c r="I40" s="2">
        <v>-133.04</v>
      </c>
      <c r="J40" s="2">
        <v>-156.69999999999999</v>
      </c>
      <c r="K40" s="2">
        <v>-546.29999999999995</v>
      </c>
      <c r="L40" s="2">
        <v>-107.74</v>
      </c>
      <c r="M40" s="2">
        <v>-142.03</v>
      </c>
      <c r="N40" s="2">
        <v>-75.430000000000007</v>
      </c>
      <c r="O40" s="2">
        <v>-84.33</v>
      </c>
      <c r="P40" s="2">
        <v>-446.08</v>
      </c>
      <c r="Q40" s="2">
        <v>-53.14</v>
      </c>
      <c r="R40" s="2">
        <v>-118.22</v>
      </c>
      <c r="S40" s="2">
        <v>-17.32</v>
      </c>
      <c r="T40" s="2">
        <v>-41.34</v>
      </c>
      <c r="U40" s="2">
        <v>-402.14</v>
      </c>
      <c r="V40" s="2">
        <v>-37.659999999999997</v>
      </c>
      <c r="W40" s="2">
        <v>-94.2</v>
      </c>
      <c r="X40" s="2">
        <v>17.97</v>
      </c>
      <c r="Y40" s="2">
        <v>-16.96</v>
      </c>
      <c r="Z40" s="2">
        <v>-353.3</v>
      </c>
      <c r="AA40" s="2">
        <v>-25.06</v>
      </c>
      <c r="AB40" s="2">
        <v>-80.05</v>
      </c>
      <c r="AC40" s="2">
        <v>50.24</v>
      </c>
      <c r="AD40" s="2">
        <v>5.72</v>
      </c>
      <c r="AE40" s="2">
        <v>-303.37</v>
      </c>
    </row>
    <row r="41" spans="1:31" x14ac:dyDescent="0.25">
      <c r="A41" s="3" t="s">
        <v>192</v>
      </c>
      <c r="B41" s="2">
        <v>29190</v>
      </c>
      <c r="C41" s="2">
        <v>28989</v>
      </c>
      <c r="D41" s="2">
        <v>28897</v>
      </c>
      <c r="E41" s="2">
        <v>31255</v>
      </c>
      <c r="F41" s="2">
        <v>31255</v>
      </c>
      <c r="G41" s="2">
        <v>30472.76</v>
      </c>
      <c r="H41" s="2">
        <v>30479.01</v>
      </c>
      <c r="I41" s="2">
        <v>30345.96</v>
      </c>
      <c r="J41" s="2">
        <v>30189.27</v>
      </c>
      <c r="K41" s="2">
        <v>30189.1</v>
      </c>
      <c r="L41" s="2">
        <v>30120.74</v>
      </c>
      <c r="M41" s="2">
        <v>29978.71</v>
      </c>
      <c r="N41" s="2">
        <v>29903.279999999999</v>
      </c>
      <c r="O41" s="2">
        <v>29818.95</v>
      </c>
      <c r="P41" s="2">
        <v>29705.03</v>
      </c>
      <c r="Q41" s="2">
        <v>30347.57</v>
      </c>
      <c r="R41" s="2">
        <v>30229.35</v>
      </c>
      <c r="S41" s="2">
        <v>30212.03</v>
      </c>
      <c r="T41" s="2">
        <v>30170.69</v>
      </c>
      <c r="U41" s="2">
        <v>29220.81</v>
      </c>
      <c r="V41" s="2">
        <v>30133.03</v>
      </c>
      <c r="W41" s="2">
        <v>30038.83</v>
      </c>
      <c r="X41" s="2">
        <v>30056.799999999999</v>
      </c>
      <c r="Y41" s="2">
        <v>30039.84</v>
      </c>
      <c r="Z41" s="2">
        <v>28867.52</v>
      </c>
      <c r="AA41" s="2">
        <v>30014.78</v>
      </c>
      <c r="AB41" s="2">
        <v>29934.74</v>
      </c>
      <c r="AC41" s="2">
        <v>29984.98</v>
      </c>
      <c r="AD41" s="2">
        <v>29990.7</v>
      </c>
      <c r="AE41" s="2">
        <v>28564.14</v>
      </c>
    </row>
    <row r="42" spans="1:31" x14ac:dyDescent="0.25">
      <c r="A42" s="3" t="s">
        <v>193</v>
      </c>
      <c r="B42" s="2">
        <v>0.54500000000000004</v>
      </c>
      <c r="C42" s="2">
        <v>0.54049999999999998</v>
      </c>
      <c r="D42" s="2">
        <v>0.53610000000000002</v>
      </c>
      <c r="E42" s="2">
        <v>0.48099999999999998</v>
      </c>
      <c r="F42" s="2">
        <v>0.48099999999999998</v>
      </c>
      <c r="G42" s="2">
        <v>0.47970000000000002</v>
      </c>
      <c r="H42" s="2">
        <v>0.47860000000000003</v>
      </c>
      <c r="I42" s="2">
        <v>0.47420000000000001</v>
      </c>
      <c r="J42" s="2">
        <v>0.46960000000000002</v>
      </c>
      <c r="K42" s="2">
        <v>0.46960000000000002</v>
      </c>
      <c r="L42" s="2">
        <v>0.46210000000000001</v>
      </c>
      <c r="M42" s="2">
        <v>0.45800000000000002</v>
      </c>
      <c r="N42" s="2">
        <v>0.45500000000000002</v>
      </c>
      <c r="O42" s="2">
        <v>0.45190000000000002</v>
      </c>
      <c r="P42" s="2">
        <v>0.45019999999999999</v>
      </c>
      <c r="Q42" s="2">
        <v>0.44929999999999998</v>
      </c>
      <c r="R42" s="2">
        <v>0.4456</v>
      </c>
      <c r="S42" s="2">
        <v>0.44330000000000003</v>
      </c>
      <c r="T42" s="2">
        <v>0.44069999999999998</v>
      </c>
      <c r="U42" s="2">
        <v>0.43630000000000002</v>
      </c>
      <c r="V42" s="2">
        <v>0.43890000000000001</v>
      </c>
      <c r="W42" s="2">
        <v>0.43569999999999998</v>
      </c>
      <c r="X42" s="2">
        <v>0.434</v>
      </c>
      <c r="Y42" s="2">
        <v>0.43180000000000002</v>
      </c>
      <c r="Z42" s="2">
        <v>0.42399999999999999</v>
      </c>
      <c r="AA42" s="2">
        <v>0.4304</v>
      </c>
      <c r="AB42" s="2">
        <v>0.4274</v>
      </c>
      <c r="AC42" s="2">
        <v>0.42630000000000001</v>
      </c>
      <c r="AD42" s="2">
        <v>0.4244</v>
      </c>
      <c r="AE42" s="2">
        <v>0.41289999999999999</v>
      </c>
    </row>
    <row r="43" spans="1:31" x14ac:dyDescent="0.25">
      <c r="A43" s="3" t="s">
        <v>84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3" t="s">
        <v>194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t="s">
        <v>118</v>
      </c>
      <c r="B45" s="2">
        <v>29190</v>
      </c>
      <c r="C45" s="2">
        <v>28989</v>
      </c>
      <c r="D45" s="2">
        <v>28897</v>
      </c>
      <c r="E45" s="2">
        <v>28719</v>
      </c>
      <c r="F45" s="2">
        <v>28719</v>
      </c>
      <c r="G45" s="2">
        <v>28654</v>
      </c>
      <c r="H45" s="2">
        <v>28486</v>
      </c>
      <c r="I45" s="2">
        <v>28350.5</v>
      </c>
      <c r="J45" s="2">
        <v>28182.12</v>
      </c>
      <c r="K45" s="2">
        <v>28182.18</v>
      </c>
      <c r="L45" s="2">
        <v>28072.16</v>
      </c>
      <c r="M45" s="2">
        <v>27913.09</v>
      </c>
      <c r="N45" s="2">
        <v>27808.48</v>
      </c>
      <c r="O45" s="2">
        <v>27672.93</v>
      </c>
      <c r="P45" s="2">
        <v>27673.11</v>
      </c>
      <c r="Q45" s="2">
        <v>27617.89</v>
      </c>
      <c r="R45" s="2">
        <v>27466.44</v>
      </c>
      <c r="S45" s="2">
        <v>27384.01</v>
      </c>
      <c r="T45" s="2">
        <v>27259.07</v>
      </c>
      <c r="U45" s="2">
        <v>27169.88</v>
      </c>
      <c r="V45" s="2">
        <v>27288.94</v>
      </c>
      <c r="W45" s="2">
        <v>27166.39</v>
      </c>
      <c r="X45" s="2">
        <v>27116.23</v>
      </c>
      <c r="Y45" s="2">
        <v>27022.81</v>
      </c>
      <c r="Z45" s="2">
        <v>26785.05</v>
      </c>
      <c r="AA45" s="2">
        <v>26939.22</v>
      </c>
      <c r="AB45" s="2">
        <v>26818.32</v>
      </c>
      <c r="AC45" s="2">
        <v>26777.62</v>
      </c>
      <c r="AD45" s="2">
        <v>26689.54</v>
      </c>
      <c r="AE45" s="2">
        <v>26385.42</v>
      </c>
    </row>
    <row r="46" spans="1:31" x14ac:dyDescent="0.25">
      <c r="A46" t="s">
        <v>120</v>
      </c>
      <c r="B46" s="2">
        <v>76.03</v>
      </c>
      <c r="C46" s="2">
        <v>76.19</v>
      </c>
      <c r="D46" s="2">
        <v>75.44</v>
      </c>
      <c r="E46" s="2">
        <v>74.17</v>
      </c>
      <c r="F46" s="2">
        <v>75.42</v>
      </c>
      <c r="G46" s="2">
        <v>73.650000000000006</v>
      </c>
      <c r="H46" s="2">
        <v>73.27</v>
      </c>
      <c r="I46" s="2">
        <v>72.959999999999994</v>
      </c>
      <c r="J46" s="2">
        <v>72.790000000000006</v>
      </c>
      <c r="K46" s="2">
        <v>73.22</v>
      </c>
      <c r="L46" s="2">
        <v>73.38</v>
      </c>
      <c r="M46" s="2">
        <v>73.37</v>
      </c>
      <c r="N46" s="2">
        <v>73.239999999999995</v>
      </c>
      <c r="O46" s="2">
        <v>73.13</v>
      </c>
      <c r="P46" s="2">
        <v>73.14</v>
      </c>
      <c r="Q46" s="2">
        <v>74.02</v>
      </c>
      <c r="R46" s="2">
        <v>74.09</v>
      </c>
      <c r="S46" s="2">
        <v>73.930000000000007</v>
      </c>
      <c r="T46" s="2">
        <v>73.77</v>
      </c>
      <c r="U46" s="2">
        <v>73.47</v>
      </c>
      <c r="V46" s="2">
        <v>75.11</v>
      </c>
      <c r="W46" s="2">
        <v>75.260000000000005</v>
      </c>
      <c r="X46" s="2">
        <v>75.069999999999993</v>
      </c>
      <c r="Y46" s="2">
        <v>74.88</v>
      </c>
      <c r="Z46" s="2">
        <v>74.099999999999994</v>
      </c>
      <c r="AA46" s="2">
        <v>76.17</v>
      </c>
      <c r="AB46" s="2">
        <v>76.38</v>
      </c>
      <c r="AC46" s="2">
        <v>76.180000000000007</v>
      </c>
      <c r="AD46" s="2">
        <v>75.989999999999995</v>
      </c>
      <c r="AE46" s="2">
        <v>74.78</v>
      </c>
    </row>
    <row r="47" spans="1:31" x14ac:dyDescent="0.25">
      <c r="A47" s="3" t="s">
        <v>121</v>
      </c>
      <c r="B47" s="2">
        <v>6679</v>
      </c>
      <c r="C47" s="2">
        <v>6649</v>
      </c>
      <c r="D47" s="2">
        <v>6550</v>
      </c>
      <c r="E47" s="2">
        <v>6410</v>
      </c>
      <c r="F47" s="2">
        <v>26288</v>
      </c>
      <c r="G47" s="2">
        <v>6338</v>
      </c>
      <c r="H47" s="2">
        <v>6280</v>
      </c>
      <c r="I47" s="2">
        <v>6221.77</v>
      </c>
      <c r="J47" s="2">
        <v>6167.32</v>
      </c>
      <c r="K47" s="2">
        <v>25007.200000000001</v>
      </c>
      <c r="L47" s="2">
        <v>6197.42</v>
      </c>
      <c r="M47" s="2">
        <v>6164.08</v>
      </c>
      <c r="N47" s="2">
        <v>6120.45</v>
      </c>
      <c r="O47" s="2">
        <v>6084.53</v>
      </c>
      <c r="P47" s="2">
        <v>24560.83</v>
      </c>
      <c r="Q47" s="2">
        <v>6143.04</v>
      </c>
      <c r="R47" s="2">
        <v>6122.2</v>
      </c>
      <c r="S47" s="2">
        <v>6083.01</v>
      </c>
      <c r="T47" s="2">
        <v>6046.37</v>
      </c>
      <c r="U47" s="2">
        <v>24300.69</v>
      </c>
      <c r="V47" s="2">
        <v>6158.06</v>
      </c>
      <c r="W47" s="2">
        <v>6148.2</v>
      </c>
      <c r="X47" s="2">
        <v>6112.78</v>
      </c>
      <c r="Y47" s="2">
        <v>6081.47</v>
      </c>
      <c r="Z47" s="2">
        <v>24178.19</v>
      </c>
      <c r="AA47" s="2">
        <v>6166.36</v>
      </c>
      <c r="AB47" s="2">
        <v>6161.65</v>
      </c>
      <c r="AC47" s="2">
        <v>6126.33</v>
      </c>
      <c r="AD47" s="2">
        <v>6097.19</v>
      </c>
      <c r="AE47" s="2">
        <v>24076.69</v>
      </c>
    </row>
    <row r="48" spans="1:31" x14ac:dyDescent="0.25">
      <c r="A48" s="3" t="s">
        <v>84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s="3" t="s">
        <v>195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5">
      <c r="A50" t="s">
        <v>196</v>
      </c>
      <c r="B50" s="2">
        <v>322</v>
      </c>
      <c r="C50" s="2">
        <v>379</v>
      </c>
      <c r="D50" s="2">
        <v>414</v>
      </c>
      <c r="E50" s="2">
        <v>364</v>
      </c>
      <c r="F50" s="2">
        <v>1479</v>
      </c>
      <c r="G50" s="2">
        <v>434</v>
      </c>
      <c r="H50" s="2">
        <v>448</v>
      </c>
      <c r="I50" s="2">
        <v>399.29</v>
      </c>
      <c r="J50" s="2">
        <v>386.04</v>
      </c>
      <c r="K50" s="2">
        <v>1667.8</v>
      </c>
      <c r="L50" s="2">
        <v>381.87</v>
      </c>
      <c r="M50" s="2">
        <v>389.33</v>
      </c>
      <c r="N50" s="2">
        <v>376.53</v>
      </c>
      <c r="O50" s="2">
        <v>362.86</v>
      </c>
      <c r="P50" s="2">
        <v>1517.66</v>
      </c>
      <c r="Q50" s="2">
        <v>354.08</v>
      </c>
      <c r="R50" s="2">
        <v>377.45</v>
      </c>
      <c r="S50" s="2">
        <v>357.25</v>
      </c>
      <c r="T50" s="2">
        <v>341.04</v>
      </c>
      <c r="U50" s="2">
        <v>1381.28</v>
      </c>
      <c r="V50" s="2">
        <v>330.54</v>
      </c>
      <c r="W50" s="2">
        <v>365.82</v>
      </c>
      <c r="X50" s="2">
        <v>341.49</v>
      </c>
      <c r="Y50" s="2">
        <v>332.11</v>
      </c>
      <c r="Z50" s="2">
        <v>1269.72</v>
      </c>
      <c r="AA50" s="2">
        <v>319</v>
      </c>
      <c r="AB50" s="2">
        <v>357.62</v>
      </c>
      <c r="AC50" s="2">
        <v>337.08</v>
      </c>
      <c r="AD50" s="2">
        <v>325.72000000000003</v>
      </c>
      <c r="AE50" s="2">
        <v>1193.98</v>
      </c>
    </row>
    <row r="51" spans="1:31" x14ac:dyDescent="0.25">
      <c r="A51" s="3" t="s">
        <v>197</v>
      </c>
      <c r="B51" s="2">
        <v>8148</v>
      </c>
      <c r="C51" s="2">
        <v>8527</v>
      </c>
      <c r="D51" s="2">
        <v>8941</v>
      </c>
      <c r="E51" s="2">
        <v>9305</v>
      </c>
      <c r="F51" s="2">
        <v>9305</v>
      </c>
      <c r="G51" s="2">
        <v>9739</v>
      </c>
      <c r="H51" s="2">
        <v>10187</v>
      </c>
      <c r="I51" s="2">
        <v>10586.4</v>
      </c>
      <c r="J51" s="2">
        <v>10972.44</v>
      </c>
      <c r="K51" s="2">
        <v>10972.49</v>
      </c>
      <c r="L51" s="2">
        <v>11352.17</v>
      </c>
      <c r="M51" s="2">
        <v>11741.5</v>
      </c>
      <c r="N51" s="2">
        <v>12118.03</v>
      </c>
      <c r="O51" s="2">
        <v>12480.89</v>
      </c>
      <c r="P51" s="2">
        <v>12490.77</v>
      </c>
      <c r="Q51" s="2">
        <v>12823.06</v>
      </c>
      <c r="R51" s="2">
        <v>13200.51</v>
      </c>
      <c r="S51" s="2">
        <v>13557.76</v>
      </c>
      <c r="T51" s="2">
        <v>13898.8</v>
      </c>
      <c r="U51" s="2">
        <v>13860.48</v>
      </c>
      <c r="V51" s="2">
        <v>14235.31</v>
      </c>
      <c r="W51" s="2">
        <v>14601.13</v>
      </c>
      <c r="X51" s="2">
        <v>14942.62</v>
      </c>
      <c r="Y51" s="2">
        <v>15274.73</v>
      </c>
      <c r="Z51" s="2">
        <v>15130.43</v>
      </c>
      <c r="AA51" s="2">
        <v>15593.72</v>
      </c>
      <c r="AB51" s="2">
        <v>15951.35</v>
      </c>
      <c r="AC51" s="2">
        <v>16288.43</v>
      </c>
      <c r="AD51" s="2">
        <v>16614.150000000001</v>
      </c>
      <c r="AE51" s="2">
        <v>16324.41</v>
      </c>
    </row>
    <row r="52" spans="1:31" x14ac:dyDescent="0.25">
      <c r="A52" s="3" t="s">
        <v>198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5">
      <c r="A53" t="s">
        <v>199</v>
      </c>
      <c r="B53" s="2">
        <v>-427</v>
      </c>
      <c r="C53" s="2">
        <v>-325</v>
      </c>
      <c r="D53" s="2">
        <v>-256</v>
      </c>
      <c r="E53" s="2">
        <v>-245</v>
      </c>
      <c r="F53" s="2">
        <v>-1253</v>
      </c>
      <c r="G53" s="2">
        <v>-322</v>
      </c>
      <c r="H53" s="2">
        <v>-280</v>
      </c>
      <c r="I53" s="2">
        <v>-246.9</v>
      </c>
      <c r="J53" s="2">
        <v>-232.16</v>
      </c>
      <c r="K53" s="2">
        <v>-1081.06</v>
      </c>
      <c r="L53" s="2">
        <v>-291.27</v>
      </c>
      <c r="M53" s="2">
        <v>-264.58</v>
      </c>
      <c r="N53" s="2">
        <v>-215.18</v>
      </c>
      <c r="O53" s="2">
        <v>-206.08</v>
      </c>
      <c r="P53" s="2">
        <v>-964.98</v>
      </c>
      <c r="Q53" s="2">
        <v>-254.04</v>
      </c>
      <c r="R53" s="2">
        <v>-209.13</v>
      </c>
      <c r="S53" s="2">
        <v>-174.68</v>
      </c>
      <c r="T53" s="2">
        <v>-165.5</v>
      </c>
      <c r="U53" s="2">
        <v>-818.64</v>
      </c>
      <c r="V53" s="2">
        <v>-209.77</v>
      </c>
      <c r="W53" s="2">
        <v>-184.36</v>
      </c>
      <c r="X53" s="2">
        <v>-151.44</v>
      </c>
      <c r="Y53" s="2">
        <v>-142.09</v>
      </c>
      <c r="Z53" s="2">
        <v>-713.62</v>
      </c>
      <c r="AA53" s="2">
        <v>-187.26</v>
      </c>
      <c r="AB53" s="2">
        <v>-165.38</v>
      </c>
      <c r="AC53" s="2">
        <v>-132.66</v>
      </c>
      <c r="AD53" s="2">
        <v>-123.17</v>
      </c>
      <c r="AE53" s="2">
        <v>-636.77</v>
      </c>
    </row>
    <row r="54" spans="1:31" x14ac:dyDescent="0.25">
      <c r="A54" s="3" t="s">
        <v>200</v>
      </c>
      <c r="B54" s="2">
        <v>12096</v>
      </c>
      <c r="C54" s="2">
        <v>11771</v>
      </c>
      <c r="D54" s="2">
        <v>11515</v>
      </c>
      <c r="E54" s="2">
        <v>11270</v>
      </c>
      <c r="F54" s="2">
        <v>11270</v>
      </c>
      <c r="G54" s="2">
        <v>10948</v>
      </c>
      <c r="H54" s="2">
        <v>10668</v>
      </c>
      <c r="I54" s="2">
        <v>10421.1</v>
      </c>
      <c r="J54" s="2">
        <v>10188.94</v>
      </c>
      <c r="K54" s="2">
        <v>10188.94</v>
      </c>
      <c r="L54" s="2">
        <v>9897.24</v>
      </c>
      <c r="M54" s="2">
        <v>9632.66</v>
      </c>
      <c r="N54" s="2">
        <v>9417.48</v>
      </c>
      <c r="O54" s="2">
        <v>9211.4</v>
      </c>
      <c r="P54" s="2">
        <v>9222.35</v>
      </c>
      <c r="Q54" s="2">
        <v>9036.15</v>
      </c>
      <c r="R54" s="2">
        <v>8827.02</v>
      </c>
      <c r="S54" s="2">
        <v>8652.34</v>
      </c>
      <c r="T54" s="2">
        <v>8486.83</v>
      </c>
      <c r="U54" s="2">
        <v>8424.1</v>
      </c>
      <c r="V54" s="2">
        <v>8328.76</v>
      </c>
      <c r="W54" s="2">
        <v>8144.4</v>
      </c>
      <c r="X54" s="2">
        <v>7992.96</v>
      </c>
      <c r="Y54" s="2">
        <v>7850.87</v>
      </c>
      <c r="Z54" s="2">
        <v>7733.49</v>
      </c>
      <c r="AA54" s="2">
        <v>7663.61</v>
      </c>
      <c r="AB54" s="2">
        <v>7498.22</v>
      </c>
      <c r="AC54" s="2">
        <v>7365.56</v>
      </c>
      <c r="AD54" s="2">
        <v>7242.39</v>
      </c>
      <c r="AE54" s="2">
        <v>7096.72</v>
      </c>
    </row>
    <row r="55" spans="1:31" x14ac:dyDescent="0.25">
      <c r="A55" s="3" t="s">
        <v>201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5">
      <c r="A56" t="s">
        <v>202</v>
      </c>
      <c r="B56" s="2">
        <v>-325</v>
      </c>
      <c r="C56" s="2">
        <v>-290</v>
      </c>
      <c r="D56" s="2">
        <v>-244</v>
      </c>
      <c r="E56" s="2">
        <v>-217</v>
      </c>
      <c r="F56" s="2">
        <v>-1076</v>
      </c>
      <c r="G56" s="2">
        <v>-255.93</v>
      </c>
      <c r="H56" s="2">
        <v>-244.38</v>
      </c>
      <c r="I56" s="2">
        <v>-221.85</v>
      </c>
      <c r="J56" s="2">
        <v>-207.5</v>
      </c>
      <c r="K56" s="2">
        <v>-939.86</v>
      </c>
      <c r="L56" s="2">
        <v>-246.91</v>
      </c>
      <c r="M56" s="2">
        <v>-230.99</v>
      </c>
      <c r="N56" s="2">
        <v>-202.82</v>
      </c>
      <c r="O56" s="2">
        <v>-188.86</v>
      </c>
      <c r="P56" s="2">
        <v>-839.68</v>
      </c>
      <c r="Q56" s="2">
        <v>-182.89</v>
      </c>
      <c r="R56" s="2">
        <v>-155.51</v>
      </c>
      <c r="S56" s="2">
        <v>-120.4</v>
      </c>
      <c r="T56" s="2">
        <v>-106.51</v>
      </c>
      <c r="U56" s="2">
        <v>-663.79</v>
      </c>
      <c r="V56" s="2">
        <v>-159.13999999999999</v>
      </c>
      <c r="W56" s="2">
        <v>-143.58000000000001</v>
      </c>
      <c r="X56" s="2">
        <v>-125.35</v>
      </c>
      <c r="Y56" s="2">
        <v>-129.4</v>
      </c>
      <c r="Z56" s="2">
        <v>-591.66</v>
      </c>
      <c r="AA56" s="2">
        <v>-139.44</v>
      </c>
      <c r="AB56" s="2">
        <v>-133.13999999999999</v>
      </c>
      <c r="AC56" s="2">
        <v>-98.46</v>
      </c>
      <c r="AD56" s="2">
        <v>-83.08</v>
      </c>
      <c r="AE56" s="2">
        <v>-515.04999999999995</v>
      </c>
    </row>
    <row r="57" spans="1:31" x14ac:dyDescent="0.25">
      <c r="A57" s="3" t="s">
        <v>203</v>
      </c>
      <c r="B57" s="2">
        <v>6401</v>
      </c>
      <c r="C57" s="2">
        <v>6111</v>
      </c>
      <c r="D57" s="2">
        <v>5867</v>
      </c>
      <c r="E57" s="2">
        <v>5650</v>
      </c>
      <c r="F57" s="2">
        <v>5650</v>
      </c>
      <c r="G57" s="2">
        <v>5319.38</v>
      </c>
      <c r="H57" s="2">
        <v>5074.43</v>
      </c>
      <c r="I57" s="2">
        <v>4868.8100000000004</v>
      </c>
      <c r="J57" s="2">
        <v>4676.51</v>
      </c>
      <c r="K57" s="2">
        <v>4676.51</v>
      </c>
      <c r="L57" s="2">
        <v>4513.88</v>
      </c>
      <c r="M57" s="2">
        <v>4282.8900000000003</v>
      </c>
      <c r="N57" s="2">
        <v>4080.07</v>
      </c>
      <c r="O57" s="2">
        <v>3891.21</v>
      </c>
      <c r="P57" s="2">
        <v>3856.4</v>
      </c>
      <c r="Q57" s="2">
        <v>3882.06</v>
      </c>
      <c r="R57" s="2">
        <v>3726.54</v>
      </c>
      <c r="S57" s="2">
        <v>3606.14</v>
      </c>
      <c r="T57" s="2">
        <v>3499.63</v>
      </c>
      <c r="U57" s="2">
        <v>3192.6</v>
      </c>
      <c r="V57" s="2">
        <v>3340.49</v>
      </c>
      <c r="W57" s="2">
        <v>3196.91</v>
      </c>
      <c r="X57" s="2">
        <v>3071.57</v>
      </c>
      <c r="Y57" s="2">
        <v>2942.16</v>
      </c>
      <c r="Z57" s="2">
        <v>2600.94</v>
      </c>
      <c r="AA57" s="2">
        <v>2802.72</v>
      </c>
      <c r="AB57" s="2">
        <v>2669.58</v>
      </c>
      <c r="AC57" s="2">
        <v>2571.11</v>
      </c>
      <c r="AD57" s="2">
        <v>2488.0300000000002</v>
      </c>
      <c r="AE57" s="2">
        <v>2085.9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7E17-9419-4E5C-AE17-B03229B812FE}">
  <dimension ref="A2:AE69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204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s="3" t="s">
        <v>205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t="s">
        <v>206</v>
      </c>
      <c r="B17" s="2">
        <v>4527</v>
      </c>
      <c r="C17" s="2">
        <v>4543</v>
      </c>
      <c r="D17" s="2">
        <v>4744</v>
      </c>
      <c r="E17" s="2">
        <v>5824</v>
      </c>
      <c r="F17" s="2">
        <v>19637</v>
      </c>
      <c r="G17" s="2">
        <v>7280</v>
      </c>
      <c r="H17" s="2">
        <v>5691</v>
      </c>
      <c r="I17" s="2">
        <v>5354.47</v>
      </c>
      <c r="J17" s="2">
        <v>6216.64</v>
      </c>
      <c r="K17" s="2">
        <v>24538.17</v>
      </c>
      <c r="L17" s="2">
        <v>5635.88</v>
      </c>
      <c r="M17" s="2">
        <v>5555.87</v>
      </c>
      <c r="N17" s="2">
        <v>5336.93</v>
      </c>
      <c r="O17" s="2">
        <v>6339.19</v>
      </c>
      <c r="P17" s="2">
        <v>22947.1</v>
      </c>
      <c r="Q17" s="2">
        <v>5919.24</v>
      </c>
      <c r="R17" s="2">
        <v>5793.92</v>
      </c>
      <c r="S17" s="2">
        <v>7333.92</v>
      </c>
      <c r="T17" s="2">
        <v>6597.59</v>
      </c>
      <c r="U17" s="2">
        <v>25598.38</v>
      </c>
      <c r="V17" s="2">
        <v>6174.86</v>
      </c>
      <c r="W17" s="2">
        <v>5911.73</v>
      </c>
      <c r="X17" s="2">
        <v>5715.53</v>
      </c>
      <c r="Y17" s="2">
        <v>6626.37</v>
      </c>
      <c r="Z17" s="2">
        <v>24645.34</v>
      </c>
      <c r="AA17" s="2">
        <v>7681.29</v>
      </c>
      <c r="AB17" s="2">
        <v>6219.54</v>
      </c>
      <c r="AC17" s="2">
        <v>5941.16</v>
      </c>
      <c r="AD17" s="2">
        <v>6787.1</v>
      </c>
      <c r="AE17" s="2">
        <v>26981.82</v>
      </c>
    </row>
    <row r="18" spans="1:31" x14ac:dyDescent="0.25">
      <c r="A18" t="s">
        <v>207</v>
      </c>
      <c r="B18" s="2">
        <v>2826</v>
      </c>
      <c r="C18" s="2">
        <v>2432</v>
      </c>
      <c r="D18" s="2">
        <v>3000</v>
      </c>
      <c r="E18" s="2">
        <v>3027</v>
      </c>
      <c r="F18" s="2">
        <v>11285</v>
      </c>
      <c r="G18" s="2">
        <v>3426</v>
      </c>
      <c r="H18" s="2">
        <v>3040</v>
      </c>
      <c r="I18" s="2">
        <v>3076.95</v>
      </c>
      <c r="J18" s="2">
        <v>2850.41</v>
      </c>
      <c r="K18" s="2">
        <v>12393.31</v>
      </c>
      <c r="L18" s="2">
        <v>3315.37</v>
      </c>
      <c r="M18" s="2">
        <v>2890.23</v>
      </c>
      <c r="N18" s="2">
        <v>2955.27</v>
      </c>
      <c r="O18" s="2">
        <v>2891.25</v>
      </c>
      <c r="P18" s="2">
        <v>12275.58</v>
      </c>
      <c r="Q18" s="2">
        <v>3311.4</v>
      </c>
      <c r="R18" s="2">
        <v>2901.2</v>
      </c>
      <c r="S18" s="2">
        <v>3012.78</v>
      </c>
      <c r="T18" s="2">
        <v>2901.19</v>
      </c>
      <c r="U18" s="2">
        <v>12477.92</v>
      </c>
      <c r="V18" s="2">
        <v>3315.24</v>
      </c>
      <c r="W18" s="2">
        <v>2910.11</v>
      </c>
      <c r="X18" s="2">
        <v>2980.13</v>
      </c>
      <c r="Y18" s="2">
        <v>2959.95</v>
      </c>
      <c r="Z18" s="2">
        <v>12617.21</v>
      </c>
      <c r="AA18" s="2">
        <v>3365.89</v>
      </c>
      <c r="AB18" s="2">
        <v>2940.47</v>
      </c>
      <c r="AC18" s="2">
        <v>3023.62</v>
      </c>
      <c r="AD18" s="2">
        <v>3010.68</v>
      </c>
      <c r="AE18" s="2">
        <v>12835.6</v>
      </c>
    </row>
    <row r="19" spans="1:31" x14ac:dyDescent="0.25">
      <c r="A19" t="s">
        <v>208</v>
      </c>
      <c r="B19" s="2">
        <v>1876</v>
      </c>
      <c r="C19" s="2">
        <v>2349</v>
      </c>
      <c r="D19" s="2">
        <v>2717</v>
      </c>
      <c r="E19" s="2">
        <v>2893</v>
      </c>
      <c r="F19" s="2">
        <v>9835</v>
      </c>
      <c r="G19" s="2">
        <v>2331</v>
      </c>
      <c r="H19" s="2">
        <v>2413</v>
      </c>
      <c r="I19" s="2">
        <v>2668.31</v>
      </c>
      <c r="J19" s="2">
        <v>2900.11</v>
      </c>
      <c r="K19" s="2">
        <v>10312.42</v>
      </c>
      <c r="L19" s="2">
        <v>2408.4299999999998</v>
      </c>
      <c r="M19" s="2">
        <v>2537.19</v>
      </c>
      <c r="N19" s="2">
        <v>2810.63</v>
      </c>
      <c r="O19" s="2">
        <v>3004.53</v>
      </c>
      <c r="P19" s="2">
        <v>10814.9</v>
      </c>
      <c r="Q19" s="2">
        <v>2527.02</v>
      </c>
      <c r="R19" s="2">
        <v>2640.61</v>
      </c>
      <c r="S19" s="2">
        <v>2944.93</v>
      </c>
      <c r="T19" s="2">
        <v>3183.8</v>
      </c>
      <c r="U19" s="2">
        <v>11258.87</v>
      </c>
      <c r="V19" s="2">
        <v>2632.84</v>
      </c>
      <c r="W19" s="2">
        <v>2751.09</v>
      </c>
      <c r="X19" s="2">
        <v>3068.64</v>
      </c>
      <c r="Y19" s="2">
        <v>3332.35</v>
      </c>
      <c r="Z19" s="2">
        <v>11666.42</v>
      </c>
      <c r="AA19" s="2">
        <v>2749.5</v>
      </c>
      <c r="AB19" s="2">
        <v>2872.95</v>
      </c>
      <c r="AC19" s="2">
        <v>3204.07</v>
      </c>
      <c r="AD19" s="2">
        <v>3479.01</v>
      </c>
      <c r="AE19" s="2">
        <v>12133.33</v>
      </c>
    </row>
    <row r="20" spans="1:31" x14ac:dyDescent="0.25">
      <c r="A20" t="s">
        <v>209</v>
      </c>
      <c r="B20" s="2">
        <v>11</v>
      </c>
      <c r="C20" s="2">
        <v>9</v>
      </c>
      <c r="D20" s="2">
        <v>15</v>
      </c>
      <c r="E20" s="2">
        <v>11</v>
      </c>
      <c r="F20" s="2">
        <v>46</v>
      </c>
      <c r="G20" s="2">
        <v>15</v>
      </c>
      <c r="H20" s="2">
        <v>18</v>
      </c>
      <c r="I20" s="2">
        <v>15.03</v>
      </c>
      <c r="J20" s="2">
        <v>12.93</v>
      </c>
      <c r="K20" s="2">
        <v>61.05</v>
      </c>
      <c r="L20" s="2">
        <v>15.31</v>
      </c>
      <c r="M20" s="2">
        <v>17.45</v>
      </c>
      <c r="N20" s="2">
        <v>16.010000000000002</v>
      </c>
      <c r="O20" s="2">
        <v>13.35</v>
      </c>
      <c r="P20" s="2">
        <v>60.66</v>
      </c>
      <c r="Q20" s="2">
        <v>15.33</v>
      </c>
      <c r="R20" s="2">
        <v>17.05</v>
      </c>
      <c r="S20" s="2">
        <v>15.98</v>
      </c>
      <c r="T20" s="2">
        <v>13.8</v>
      </c>
      <c r="U20" s="2">
        <v>60.87</v>
      </c>
      <c r="V20" s="2">
        <v>15.41</v>
      </c>
      <c r="W20" s="2">
        <v>17.420000000000002</v>
      </c>
      <c r="X20" s="2">
        <v>16.18</v>
      </c>
      <c r="Y20" s="2">
        <v>13.62</v>
      </c>
      <c r="Z20" s="2">
        <v>61.43</v>
      </c>
      <c r="AA20" s="2">
        <v>15.43</v>
      </c>
      <c r="AB20" s="2">
        <v>17.46</v>
      </c>
      <c r="AC20" s="2">
        <v>16.22</v>
      </c>
      <c r="AD20" s="2">
        <v>13.65</v>
      </c>
      <c r="AE20" s="2">
        <v>62.21</v>
      </c>
    </row>
    <row r="21" spans="1:31" x14ac:dyDescent="0.25">
      <c r="A21" t="s">
        <v>210</v>
      </c>
      <c r="B21" s="2">
        <v>-694</v>
      </c>
      <c r="C21" s="2">
        <v>-604</v>
      </c>
      <c r="D21" s="2">
        <v>-579</v>
      </c>
      <c r="E21" s="2">
        <v>-815</v>
      </c>
      <c r="F21" s="2">
        <v>-2692</v>
      </c>
      <c r="G21" s="2">
        <v>-1111</v>
      </c>
      <c r="H21" s="2">
        <v>-435</v>
      </c>
      <c r="I21" s="2">
        <v>-595.38</v>
      </c>
      <c r="J21" s="2">
        <v>-785.13</v>
      </c>
      <c r="K21" s="2">
        <v>-2926.47</v>
      </c>
      <c r="L21" s="2">
        <v>-830.69</v>
      </c>
      <c r="M21" s="2">
        <v>-502.93</v>
      </c>
      <c r="N21" s="2">
        <v>-572.71</v>
      </c>
      <c r="O21" s="2">
        <v>-789.19</v>
      </c>
      <c r="P21" s="2">
        <v>-2737.3</v>
      </c>
      <c r="Q21" s="2">
        <v>-858.79</v>
      </c>
      <c r="R21" s="2">
        <v>-543.83000000000004</v>
      </c>
      <c r="S21" s="2">
        <v>-621.84</v>
      </c>
      <c r="T21" s="2">
        <v>-864.81</v>
      </c>
      <c r="U21" s="2">
        <v>-2820.71</v>
      </c>
      <c r="V21" s="2">
        <v>-899.27</v>
      </c>
      <c r="W21" s="2">
        <v>-568.51</v>
      </c>
      <c r="X21" s="2">
        <v>-599.4</v>
      </c>
      <c r="Y21" s="2">
        <v>-880.51</v>
      </c>
      <c r="Z21" s="2">
        <v>-2837.37</v>
      </c>
      <c r="AA21" s="2">
        <v>-933.83</v>
      </c>
      <c r="AB21" s="2">
        <v>-576.62</v>
      </c>
      <c r="AC21" s="2">
        <v>-608.16999999999996</v>
      </c>
      <c r="AD21" s="2">
        <v>-893.27</v>
      </c>
      <c r="AE21" s="2">
        <v>-2908.28</v>
      </c>
    </row>
    <row r="22" spans="1:31" x14ac:dyDescent="0.25">
      <c r="A22" s="3" t="s">
        <v>211</v>
      </c>
      <c r="B22" s="2">
        <v>-683</v>
      </c>
      <c r="C22" s="2">
        <v>-595</v>
      </c>
      <c r="D22" s="2">
        <v>-564</v>
      </c>
      <c r="E22" s="2">
        <v>-804</v>
      </c>
      <c r="F22" s="2">
        <v>-2646</v>
      </c>
      <c r="G22" s="2">
        <v>-1096</v>
      </c>
      <c r="H22" s="2">
        <v>-417</v>
      </c>
      <c r="I22" s="2">
        <v>-580.49</v>
      </c>
      <c r="J22" s="2">
        <v>-778.73</v>
      </c>
      <c r="K22" s="2">
        <v>-2872.12</v>
      </c>
      <c r="L22" s="2">
        <v>-860.28</v>
      </c>
      <c r="M22" s="2">
        <v>-473.29</v>
      </c>
      <c r="N22" s="2">
        <v>-562.71</v>
      </c>
      <c r="O22" s="2">
        <v>-788.68</v>
      </c>
      <c r="P22" s="2">
        <v>-2721.83</v>
      </c>
      <c r="Q22" s="2">
        <v>-878.47</v>
      </c>
      <c r="R22" s="2">
        <v>-514.85</v>
      </c>
      <c r="S22" s="2">
        <v>-617.14</v>
      </c>
      <c r="T22" s="2">
        <v>-858.8</v>
      </c>
      <c r="U22" s="2">
        <v>-2823.26</v>
      </c>
      <c r="V22" s="2">
        <v>-922.17</v>
      </c>
      <c r="W22" s="2">
        <v>-535.33000000000004</v>
      </c>
      <c r="X22" s="2">
        <v>-592.6</v>
      </c>
      <c r="Y22" s="2">
        <v>-875.9</v>
      </c>
      <c r="Z22" s="2">
        <v>-2859.44</v>
      </c>
      <c r="AA22" s="2">
        <v>-970.07</v>
      </c>
      <c r="AB22" s="2">
        <v>-546.14</v>
      </c>
      <c r="AC22" s="2">
        <v>-604.19000000000005</v>
      </c>
      <c r="AD22" s="2">
        <v>-890.62</v>
      </c>
      <c r="AE22" s="2">
        <v>-2945.22</v>
      </c>
    </row>
    <row r="23" spans="1:31" x14ac:dyDescent="0.25">
      <c r="A23" s="3" t="s">
        <v>212</v>
      </c>
      <c r="B23" s="2">
        <v>8546</v>
      </c>
      <c r="C23" s="2">
        <v>8728</v>
      </c>
      <c r="D23" s="2">
        <v>9897</v>
      </c>
      <c r="E23" s="2">
        <v>10941</v>
      </c>
      <c r="F23" s="2">
        <v>38114</v>
      </c>
      <c r="G23" s="2">
        <v>11941</v>
      </c>
      <c r="H23" s="2">
        <v>10728</v>
      </c>
      <c r="I23" s="2">
        <v>10519.29</v>
      </c>
      <c r="J23" s="2">
        <v>11188.49</v>
      </c>
      <c r="K23" s="2">
        <v>44372.14</v>
      </c>
      <c r="L23" s="2">
        <v>10500.26</v>
      </c>
      <c r="M23" s="2">
        <v>10471.82</v>
      </c>
      <c r="N23" s="2">
        <v>10540.21</v>
      </c>
      <c r="O23" s="2">
        <v>11446.38</v>
      </c>
      <c r="P23" s="2">
        <v>43316.08</v>
      </c>
      <c r="Q23" s="2">
        <v>10879.31</v>
      </c>
      <c r="R23" s="2">
        <v>10821.01</v>
      </c>
      <c r="S23" s="2">
        <v>12674.61</v>
      </c>
      <c r="T23" s="2">
        <v>11823.91</v>
      </c>
      <c r="U23" s="2">
        <v>46512.26</v>
      </c>
      <c r="V23" s="2">
        <v>11200.91</v>
      </c>
      <c r="W23" s="2">
        <v>11037.75</v>
      </c>
      <c r="X23" s="2">
        <v>11171.84</v>
      </c>
      <c r="Y23" s="2">
        <v>12042.92</v>
      </c>
      <c r="Z23" s="2">
        <v>46069.93</v>
      </c>
      <c r="AA23" s="2">
        <v>12826.75</v>
      </c>
      <c r="AB23" s="2">
        <v>11486.95</v>
      </c>
      <c r="AC23" s="2">
        <v>11564.81</v>
      </c>
      <c r="AD23" s="2">
        <v>12386.32</v>
      </c>
      <c r="AE23" s="2">
        <v>49005.919999999998</v>
      </c>
    </row>
    <row r="24" spans="1:31" x14ac:dyDescent="0.25">
      <c r="A24" s="3" t="s">
        <v>84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s="3" t="s">
        <v>213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t="s">
        <v>214</v>
      </c>
      <c r="B26" s="2">
        <v>108</v>
      </c>
      <c r="C26" s="2">
        <v>683</v>
      </c>
      <c r="D26" s="2">
        <v>247</v>
      </c>
      <c r="E26" s="2">
        <v>-872</v>
      </c>
      <c r="F26" s="2">
        <v>165</v>
      </c>
      <c r="G26" s="2">
        <v>-425</v>
      </c>
      <c r="H26" s="2">
        <v>708</v>
      </c>
      <c r="I26" s="2">
        <v>595.66999999999996</v>
      </c>
      <c r="J26" s="2">
        <v>-425.98</v>
      </c>
      <c r="K26" s="2">
        <v>424.67</v>
      </c>
      <c r="L26" s="2">
        <v>-166.25</v>
      </c>
      <c r="M26" s="2">
        <v>696.53</v>
      </c>
      <c r="N26" s="2">
        <v>630.98</v>
      </c>
      <c r="O26" s="2">
        <v>-276.04000000000002</v>
      </c>
      <c r="P26" s="2">
        <v>804.42</v>
      </c>
      <c r="Q26" s="2">
        <v>-71.930000000000007</v>
      </c>
      <c r="R26" s="2">
        <v>826.67</v>
      </c>
      <c r="S26" s="2">
        <v>824.31</v>
      </c>
      <c r="T26" s="2">
        <v>-179.64</v>
      </c>
      <c r="U26" s="2">
        <v>1328.02</v>
      </c>
      <c r="V26" s="2">
        <v>-30.34</v>
      </c>
      <c r="W26" s="2">
        <v>866.26</v>
      </c>
      <c r="X26" s="2">
        <v>873.83</v>
      </c>
      <c r="Y26" s="2">
        <v>-109.42</v>
      </c>
      <c r="Z26" s="2">
        <v>1550.88</v>
      </c>
      <c r="AA26" s="2">
        <v>29.53</v>
      </c>
      <c r="AB26" s="2">
        <v>988.79</v>
      </c>
      <c r="AC26" s="2">
        <v>957.74</v>
      </c>
      <c r="AD26" s="2">
        <v>-5.87</v>
      </c>
      <c r="AE26" s="2">
        <v>1976.5</v>
      </c>
    </row>
    <row r="27" spans="1:31" x14ac:dyDescent="0.25">
      <c r="A27" t="s">
        <v>215</v>
      </c>
      <c r="B27" s="2">
        <v>274</v>
      </c>
      <c r="C27" s="2">
        <v>61</v>
      </c>
      <c r="D27" s="2">
        <v>338</v>
      </c>
      <c r="E27" s="2">
        <v>327</v>
      </c>
      <c r="F27" s="2">
        <v>1000</v>
      </c>
      <c r="G27" s="2">
        <v>555</v>
      </c>
      <c r="H27" s="2">
        <v>202</v>
      </c>
      <c r="I27" s="2">
        <v>400.42</v>
      </c>
      <c r="J27" s="2">
        <v>263.89999999999998</v>
      </c>
      <c r="K27" s="2">
        <v>1420.69</v>
      </c>
      <c r="L27" s="2">
        <v>406.25</v>
      </c>
      <c r="M27" s="2">
        <v>218.6</v>
      </c>
      <c r="N27" s="2">
        <v>345.25</v>
      </c>
      <c r="O27" s="2">
        <v>284.11</v>
      </c>
      <c r="P27" s="2">
        <v>1259.6400000000001</v>
      </c>
      <c r="Q27" s="2">
        <v>440.96</v>
      </c>
      <c r="R27" s="2">
        <v>201.79</v>
      </c>
      <c r="S27" s="2">
        <v>366.92</v>
      </c>
      <c r="T27" s="2">
        <v>266.14999999999998</v>
      </c>
      <c r="U27" s="2">
        <v>1269.58</v>
      </c>
      <c r="V27" s="2">
        <v>421.19</v>
      </c>
      <c r="W27" s="2">
        <v>212.72</v>
      </c>
      <c r="X27" s="2">
        <v>334.13</v>
      </c>
      <c r="Y27" s="2">
        <v>284.77999999999997</v>
      </c>
      <c r="Z27" s="2">
        <v>1267.3599999999999</v>
      </c>
      <c r="AA27" s="2">
        <v>419.02</v>
      </c>
      <c r="AB27" s="2">
        <v>114.14</v>
      </c>
      <c r="AC27" s="2">
        <v>325.35000000000002</v>
      </c>
      <c r="AD27" s="2">
        <v>284.48</v>
      </c>
      <c r="AE27" s="2">
        <v>1256.3499999999999</v>
      </c>
    </row>
    <row r="28" spans="1:31" x14ac:dyDescent="0.25">
      <c r="A28" t="s">
        <v>216</v>
      </c>
      <c r="B28" s="2">
        <v>413</v>
      </c>
      <c r="C28" s="2">
        <v>641.4</v>
      </c>
      <c r="D28" s="2">
        <v>940.4</v>
      </c>
      <c r="E28" s="2">
        <v>1019</v>
      </c>
      <c r="F28" s="2">
        <v>3013</v>
      </c>
      <c r="G28" s="2">
        <v>551</v>
      </c>
      <c r="H28" s="2">
        <v>608</v>
      </c>
      <c r="I28" s="2">
        <v>789.64</v>
      </c>
      <c r="J28" s="2">
        <v>958.67</v>
      </c>
      <c r="K28" s="2">
        <v>2907.68</v>
      </c>
      <c r="L28" s="2">
        <v>585.03</v>
      </c>
      <c r="M28" s="2">
        <v>681.72</v>
      </c>
      <c r="N28" s="2">
        <v>869.65</v>
      </c>
      <c r="O28" s="2">
        <v>1017.77</v>
      </c>
      <c r="P28" s="2">
        <v>3175.06</v>
      </c>
      <c r="Q28" s="2">
        <v>618.05999999999995</v>
      </c>
      <c r="R28" s="2">
        <v>703.88</v>
      </c>
      <c r="S28" s="2">
        <v>918.91</v>
      </c>
      <c r="T28" s="2">
        <v>1081.47</v>
      </c>
      <c r="U28" s="2">
        <v>3326.18</v>
      </c>
      <c r="V28" s="2">
        <v>639.78</v>
      </c>
      <c r="W28" s="2">
        <v>733.72</v>
      </c>
      <c r="X28" s="2">
        <v>952.38</v>
      </c>
      <c r="Y28" s="2">
        <v>1124.27</v>
      </c>
      <c r="Z28" s="2">
        <v>3428.3</v>
      </c>
      <c r="AA28" s="2">
        <v>665.62</v>
      </c>
      <c r="AB28" s="2">
        <v>770.94</v>
      </c>
      <c r="AC28" s="2">
        <v>996.74</v>
      </c>
      <c r="AD28" s="2">
        <v>1172.68</v>
      </c>
      <c r="AE28" s="2">
        <v>3570.93</v>
      </c>
    </row>
    <row r="29" spans="1:31" x14ac:dyDescent="0.25">
      <c r="A29" t="s">
        <v>217</v>
      </c>
      <c r="B29" s="2">
        <v>-195</v>
      </c>
      <c r="C29" s="2">
        <v>-201</v>
      </c>
      <c r="D29" s="2">
        <v>-204</v>
      </c>
      <c r="E29" s="2">
        <v>-245</v>
      </c>
      <c r="F29" s="2">
        <v>-845</v>
      </c>
      <c r="G29" s="2">
        <v>-208</v>
      </c>
      <c r="H29" s="2">
        <v>-214</v>
      </c>
      <c r="I29" s="2">
        <v>-202.02</v>
      </c>
      <c r="J29" s="2">
        <v>-226.81</v>
      </c>
      <c r="K29" s="2">
        <v>-851.29</v>
      </c>
      <c r="L29" s="2">
        <v>-208.92</v>
      </c>
      <c r="M29" s="2">
        <v>-227.02</v>
      </c>
      <c r="N29" s="2">
        <v>-200.24</v>
      </c>
      <c r="O29" s="2">
        <v>-224.76</v>
      </c>
      <c r="P29" s="2">
        <v>-848.34</v>
      </c>
      <c r="Q29" s="2">
        <v>-199.67</v>
      </c>
      <c r="R29" s="2">
        <v>-204.33</v>
      </c>
      <c r="S29" s="2">
        <v>-195.94</v>
      </c>
      <c r="T29" s="2">
        <v>-216.17</v>
      </c>
      <c r="U29" s="2">
        <v>-833.67</v>
      </c>
      <c r="V29" s="2">
        <v>-202.4</v>
      </c>
      <c r="W29" s="2">
        <v>-202.6</v>
      </c>
      <c r="X29" s="2">
        <v>-198.4</v>
      </c>
      <c r="Y29" s="2">
        <v>-215.6</v>
      </c>
      <c r="Z29" s="2">
        <v>-840.43</v>
      </c>
      <c r="AA29" s="2">
        <v>-203.4</v>
      </c>
      <c r="AB29" s="2">
        <v>-203.6</v>
      </c>
      <c r="AC29" s="2">
        <v>-199.4</v>
      </c>
      <c r="AD29" s="2">
        <v>-216.6</v>
      </c>
      <c r="AE29" s="2">
        <v>-853.62</v>
      </c>
    </row>
    <row r="30" spans="1:31" x14ac:dyDescent="0.25">
      <c r="A30" t="s">
        <v>218</v>
      </c>
      <c r="B30" s="2">
        <v>14</v>
      </c>
      <c r="C30" s="2">
        <v>56</v>
      </c>
      <c r="D30" s="2">
        <v>69</v>
      </c>
      <c r="E30" s="2">
        <v>47</v>
      </c>
      <c r="F30" s="2">
        <v>186</v>
      </c>
      <c r="G30" s="2">
        <v>-140</v>
      </c>
      <c r="H30" s="2">
        <v>25</v>
      </c>
      <c r="I30" s="2">
        <v>33.76</v>
      </c>
      <c r="J30" s="2">
        <v>25.55</v>
      </c>
      <c r="K30" s="2">
        <v>-64.33</v>
      </c>
      <c r="L30" s="2">
        <v>-49.21</v>
      </c>
      <c r="M30" s="2">
        <v>22.05</v>
      </c>
      <c r="N30" s="2">
        <v>25.31</v>
      </c>
      <c r="O30" s="2">
        <v>11.09</v>
      </c>
      <c r="P30" s="2">
        <v>2.23</v>
      </c>
      <c r="Q30" s="2">
        <v>-56.94</v>
      </c>
      <c r="R30" s="2">
        <v>22.66</v>
      </c>
      <c r="S30" s="2">
        <v>28.9</v>
      </c>
      <c r="T30" s="2">
        <v>17.399999999999999</v>
      </c>
      <c r="U30" s="2">
        <v>4.4400000000000004</v>
      </c>
      <c r="V30" s="2">
        <v>-53</v>
      </c>
      <c r="W30" s="2">
        <v>39.700000000000003</v>
      </c>
      <c r="X30" s="2">
        <v>47.03</v>
      </c>
      <c r="Y30" s="2">
        <v>39.69</v>
      </c>
      <c r="Z30" s="2">
        <v>51.38</v>
      </c>
      <c r="AA30" s="2">
        <v>-51.07</v>
      </c>
      <c r="AB30" s="2">
        <v>43.6</v>
      </c>
      <c r="AC30" s="2">
        <v>50.45</v>
      </c>
      <c r="AD30" s="2">
        <v>42.38</v>
      </c>
      <c r="AE30" s="2">
        <v>61.32</v>
      </c>
    </row>
    <row r="31" spans="1:31" x14ac:dyDescent="0.25">
      <c r="A31" s="3" t="s">
        <v>219</v>
      </c>
      <c r="B31" s="2">
        <v>-181</v>
      </c>
      <c r="C31" s="2">
        <v>-144</v>
      </c>
      <c r="D31" s="2">
        <v>-135</v>
      </c>
      <c r="E31" s="2">
        <v>-199</v>
      </c>
      <c r="F31" s="2">
        <v>-659</v>
      </c>
      <c r="G31" s="2">
        <v>-348</v>
      </c>
      <c r="H31" s="2">
        <v>-190</v>
      </c>
      <c r="I31" s="2">
        <v>-175.96</v>
      </c>
      <c r="J31" s="2">
        <v>-214.79</v>
      </c>
      <c r="K31" s="2">
        <v>-928.91</v>
      </c>
      <c r="L31" s="2">
        <v>-250.24</v>
      </c>
      <c r="M31" s="2">
        <v>-207.55</v>
      </c>
      <c r="N31" s="2">
        <v>-183.91</v>
      </c>
      <c r="O31" s="2">
        <v>-231.53</v>
      </c>
      <c r="P31" s="2">
        <v>-878.02</v>
      </c>
      <c r="Q31" s="2">
        <v>-252.21</v>
      </c>
      <c r="R31" s="2">
        <v>-187.92</v>
      </c>
      <c r="S31" s="2">
        <v>-176.79</v>
      </c>
      <c r="T31" s="2">
        <v>-222.07</v>
      </c>
      <c r="U31" s="2">
        <v>-880.57</v>
      </c>
      <c r="V31" s="2">
        <v>-251.97</v>
      </c>
      <c r="W31" s="2">
        <v>-174.39</v>
      </c>
      <c r="X31" s="2">
        <v>-166.47</v>
      </c>
      <c r="Y31" s="2">
        <v>-208.64</v>
      </c>
      <c r="Z31" s="2">
        <v>-874.66</v>
      </c>
      <c r="AA31" s="2">
        <v>-252.74</v>
      </c>
      <c r="AB31" s="2">
        <v>-173.09</v>
      </c>
      <c r="AC31" s="2">
        <v>-165.62</v>
      </c>
      <c r="AD31" s="2">
        <v>-209.04</v>
      </c>
      <c r="AE31" s="2">
        <v>-894.58</v>
      </c>
    </row>
    <row r="32" spans="1:31" x14ac:dyDescent="0.25">
      <c r="A32" s="3" t="s">
        <v>220</v>
      </c>
      <c r="B32" s="2">
        <v>614</v>
      </c>
      <c r="C32" s="2">
        <v>1241</v>
      </c>
      <c r="D32" s="2">
        <v>1392</v>
      </c>
      <c r="E32" s="2">
        <v>275</v>
      </c>
      <c r="F32" s="2">
        <v>3521</v>
      </c>
      <c r="G32" s="2">
        <v>331</v>
      </c>
      <c r="H32" s="2">
        <v>1329</v>
      </c>
      <c r="I32" s="2">
        <v>1609.76</v>
      </c>
      <c r="J32" s="2">
        <v>581.84</v>
      </c>
      <c r="K32" s="2">
        <v>3848.34</v>
      </c>
      <c r="L32" s="2">
        <v>566.37</v>
      </c>
      <c r="M32" s="2">
        <v>1339.86</v>
      </c>
      <c r="N32" s="2">
        <v>1661.17</v>
      </c>
      <c r="O32" s="2">
        <v>796</v>
      </c>
      <c r="P32" s="2">
        <v>4357.17</v>
      </c>
      <c r="Q32" s="2">
        <v>721.96</v>
      </c>
      <c r="R32" s="2">
        <v>1475.83</v>
      </c>
      <c r="S32" s="2">
        <v>1931.16</v>
      </c>
      <c r="T32" s="2">
        <v>946.86</v>
      </c>
      <c r="U32" s="2">
        <v>5038.68</v>
      </c>
      <c r="V32" s="2">
        <v>763.26</v>
      </c>
      <c r="W32" s="2">
        <v>1561.51</v>
      </c>
      <c r="X32" s="2">
        <v>1989.69</v>
      </c>
      <c r="Y32" s="2">
        <v>1089.93</v>
      </c>
      <c r="Z32" s="2">
        <v>5365.75</v>
      </c>
      <c r="AA32" s="2">
        <v>845.54</v>
      </c>
      <c r="AB32" s="2">
        <v>1697.39</v>
      </c>
      <c r="AC32" s="2">
        <v>2109.6799999999998</v>
      </c>
      <c r="AD32" s="2">
        <v>1241.02</v>
      </c>
      <c r="AE32" s="2">
        <v>5903.78</v>
      </c>
    </row>
    <row r="33" spans="1:31" x14ac:dyDescent="0.25">
      <c r="A33" s="3" t="s">
        <v>84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3" t="s">
        <v>221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t="s">
        <v>222</v>
      </c>
      <c r="B35" s="2">
        <v>1468</v>
      </c>
      <c r="C35" s="2">
        <v>1395</v>
      </c>
      <c r="D35" s="2">
        <v>1556</v>
      </c>
      <c r="E35" s="2">
        <v>2294</v>
      </c>
      <c r="F35" s="2">
        <v>6713</v>
      </c>
      <c r="G35" s="2">
        <v>3453</v>
      </c>
      <c r="H35" s="2">
        <v>2163</v>
      </c>
      <c r="I35" s="2">
        <v>1784.56</v>
      </c>
      <c r="J35" s="2">
        <v>2384.63</v>
      </c>
      <c r="K35" s="2">
        <v>9642.91</v>
      </c>
      <c r="L35" s="2">
        <v>1749.68</v>
      </c>
      <c r="M35" s="2">
        <v>1762.49</v>
      </c>
      <c r="N35" s="2">
        <v>1612.38</v>
      </c>
      <c r="O35" s="2">
        <v>2350.69</v>
      </c>
      <c r="P35" s="2">
        <v>7702.54</v>
      </c>
      <c r="Q35" s="2">
        <v>1824.81</v>
      </c>
      <c r="R35" s="2">
        <v>1840.59</v>
      </c>
      <c r="S35" s="2">
        <v>3176.23</v>
      </c>
      <c r="T35" s="2">
        <v>2385.4499999999998</v>
      </c>
      <c r="U35" s="2">
        <v>9234.0400000000009</v>
      </c>
      <c r="V35" s="2">
        <v>1971.16</v>
      </c>
      <c r="W35" s="2">
        <v>1854.8</v>
      </c>
      <c r="X35" s="2">
        <v>1671.5</v>
      </c>
      <c r="Y35" s="2">
        <v>2331.5300000000002</v>
      </c>
      <c r="Z35" s="2">
        <v>8106.25</v>
      </c>
      <c r="AA35" s="2">
        <v>3274.16</v>
      </c>
      <c r="AB35" s="2">
        <v>2060.58</v>
      </c>
      <c r="AC35" s="2">
        <v>1790.59</v>
      </c>
      <c r="AD35" s="2">
        <v>2367.29</v>
      </c>
      <c r="AE35" s="2">
        <v>9663.15</v>
      </c>
    </row>
    <row r="36" spans="1:31" x14ac:dyDescent="0.25">
      <c r="A36" t="s">
        <v>223</v>
      </c>
      <c r="B36" s="2">
        <v>1667</v>
      </c>
      <c r="C36" s="2">
        <v>1632</v>
      </c>
      <c r="D36" s="2">
        <v>1690</v>
      </c>
      <c r="E36" s="2">
        <v>1876</v>
      </c>
      <c r="F36" s="2">
        <v>6865</v>
      </c>
      <c r="G36" s="2">
        <v>2283</v>
      </c>
      <c r="H36" s="2">
        <v>1993</v>
      </c>
      <c r="I36" s="2">
        <v>1994.59</v>
      </c>
      <c r="J36" s="2">
        <v>2118.4899999999998</v>
      </c>
      <c r="K36" s="2">
        <v>8373.66</v>
      </c>
      <c r="L36" s="2">
        <v>2310.35</v>
      </c>
      <c r="M36" s="2">
        <v>2169.79</v>
      </c>
      <c r="N36" s="2">
        <v>2150.6999999999998</v>
      </c>
      <c r="O36" s="2">
        <v>2275.25</v>
      </c>
      <c r="P36" s="2">
        <v>8763.99</v>
      </c>
      <c r="Q36" s="2">
        <v>2467.12</v>
      </c>
      <c r="R36" s="2">
        <v>2298.06</v>
      </c>
      <c r="S36" s="2">
        <v>2499.81</v>
      </c>
      <c r="T36" s="2">
        <v>2420.5100000000002</v>
      </c>
      <c r="U36" s="2">
        <v>9566.7099999999991</v>
      </c>
      <c r="V36" s="2">
        <v>2561.19</v>
      </c>
      <c r="W36" s="2">
        <v>2383.17</v>
      </c>
      <c r="X36" s="2">
        <v>2366.59</v>
      </c>
      <c r="Y36" s="2">
        <v>2485.9299999999998</v>
      </c>
      <c r="Z36" s="2">
        <v>9748.0400000000009</v>
      </c>
      <c r="AA36" s="2">
        <v>2754.67</v>
      </c>
      <c r="AB36" s="2">
        <v>2473.39</v>
      </c>
      <c r="AC36" s="2">
        <v>2453.02</v>
      </c>
      <c r="AD36" s="2">
        <v>2576.9899999999998</v>
      </c>
      <c r="AE36" s="2">
        <v>10295.4</v>
      </c>
    </row>
    <row r="37" spans="1:31" x14ac:dyDescent="0.25">
      <c r="A37" t="s">
        <v>224</v>
      </c>
      <c r="B37" s="2">
        <v>1148</v>
      </c>
      <c r="C37" s="2">
        <v>1254</v>
      </c>
      <c r="D37" s="2">
        <v>1239</v>
      </c>
      <c r="E37" s="2">
        <v>1283</v>
      </c>
      <c r="F37" s="2">
        <v>4924</v>
      </c>
      <c r="G37" s="2">
        <v>1291</v>
      </c>
      <c r="H37" s="2">
        <v>1330</v>
      </c>
      <c r="I37" s="2">
        <v>1301.98</v>
      </c>
      <c r="J37" s="2">
        <v>1328.74</v>
      </c>
      <c r="K37" s="2">
        <v>5251.74</v>
      </c>
      <c r="L37" s="2">
        <v>1302.48</v>
      </c>
      <c r="M37" s="2">
        <v>1370.1</v>
      </c>
      <c r="N37" s="2">
        <v>1324.6</v>
      </c>
      <c r="O37" s="2">
        <v>1355.68</v>
      </c>
      <c r="P37" s="2">
        <v>5337.15</v>
      </c>
      <c r="Q37" s="2">
        <v>1394.3</v>
      </c>
      <c r="R37" s="2">
        <v>1467.16</v>
      </c>
      <c r="S37" s="2">
        <v>1412.18</v>
      </c>
      <c r="T37" s="2">
        <v>1442.59</v>
      </c>
      <c r="U37" s="2">
        <v>5610.42</v>
      </c>
      <c r="V37" s="2">
        <v>1411.53</v>
      </c>
      <c r="W37" s="2">
        <v>1487.53</v>
      </c>
      <c r="X37" s="2">
        <v>1431.4</v>
      </c>
      <c r="Y37" s="2">
        <v>1459.79</v>
      </c>
      <c r="Z37" s="2">
        <v>5705.14</v>
      </c>
      <c r="AA37" s="2">
        <v>1424.22</v>
      </c>
      <c r="AB37" s="2">
        <v>1499.03</v>
      </c>
      <c r="AC37" s="2">
        <v>1443.17</v>
      </c>
      <c r="AD37" s="2">
        <v>1472.23</v>
      </c>
      <c r="AE37" s="2">
        <v>5790.31</v>
      </c>
    </row>
    <row r="38" spans="1:31" x14ac:dyDescent="0.25">
      <c r="A38" t="s">
        <v>225</v>
      </c>
      <c r="B38" s="2">
        <v>244</v>
      </c>
      <c r="C38" s="2">
        <v>261</v>
      </c>
      <c r="D38" s="2">
        <v>259</v>
      </c>
      <c r="E38" s="2">
        <v>371</v>
      </c>
      <c r="F38" s="2">
        <v>1135</v>
      </c>
      <c r="G38" s="2">
        <v>253</v>
      </c>
      <c r="H38" s="2">
        <v>204</v>
      </c>
      <c r="I38" s="2">
        <v>259.39</v>
      </c>
      <c r="J38" s="2">
        <v>371.03</v>
      </c>
      <c r="K38" s="2">
        <v>1087.44</v>
      </c>
      <c r="L38" s="2">
        <v>257.81</v>
      </c>
      <c r="M38" s="2">
        <v>216.28</v>
      </c>
      <c r="N38" s="2">
        <v>268.37</v>
      </c>
      <c r="O38" s="2">
        <v>384.6</v>
      </c>
      <c r="P38" s="2">
        <v>1122.08</v>
      </c>
      <c r="Q38" s="2">
        <v>259.04000000000002</v>
      </c>
      <c r="R38" s="2">
        <v>209.12</v>
      </c>
      <c r="S38" s="2">
        <v>274.99</v>
      </c>
      <c r="T38" s="2">
        <v>390.59</v>
      </c>
      <c r="U38" s="2">
        <v>1134.8</v>
      </c>
      <c r="V38" s="2">
        <v>265.67</v>
      </c>
      <c r="W38" s="2">
        <v>214.2</v>
      </c>
      <c r="X38" s="2">
        <v>284.01</v>
      </c>
      <c r="Y38" s="2">
        <v>402.96</v>
      </c>
      <c r="Z38" s="2">
        <v>1157.3699999999999</v>
      </c>
      <c r="AA38" s="2">
        <v>264.57</v>
      </c>
      <c r="AB38" s="2">
        <v>216.25</v>
      </c>
      <c r="AC38" s="2">
        <v>295.39999999999998</v>
      </c>
      <c r="AD38" s="2">
        <v>430.41</v>
      </c>
      <c r="AE38" s="2">
        <v>1183.54</v>
      </c>
    </row>
    <row r="39" spans="1:31" x14ac:dyDescent="0.25">
      <c r="A39" s="3" t="s">
        <v>206</v>
      </c>
      <c r="B39" s="2">
        <v>4527</v>
      </c>
      <c r="C39" s="2">
        <v>4543</v>
      </c>
      <c r="D39" s="2">
        <v>4744</v>
      </c>
      <c r="E39" s="2">
        <v>5824</v>
      </c>
      <c r="F39" s="2">
        <v>19637</v>
      </c>
      <c r="G39" s="2">
        <v>7280</v>
      </c>
      <c r="H39" s="2">
        <v>5691</v>
      </c>
      <c r="I39" s="2">
        <v>5354.47</v>
      </c>
      <c r="J39" s="2">
        <v>6216.64</v>
      </c>
      <c r="K39" s="2">
        <v>24538.17</v>
      </c>
      <c r="L39" s="2">
        <v>5635.88</v>
      </c>
      <c r="M39" s="2">
        <v>5555.87</v>
      </c>
      <c r="N39" s="2">
        <v>5336.93</v>
      </c>
      <c r="O39" s="2">
        <v>6339.19</v>
      </c>
      <c r="P39" s="2">
        <v>22947.1</v>
      </c>
      <c r="Q39" s="2">
        <v>5919.24</v>
      </c>
      <c r="R39" s="2">
        <v>5793.92</v>
      </c>
      <c r="S39" s="2">
        <v>7333.92</v>
      </c>
      <c r="T39" s="2">
        <v>6597.59</v>
      </c>
      <c r="U39" s="2">
        <v>25598.38</v>
      </c>
      <c r="V39" s="2">
        <v>6174.86</v>
      </c>
      <c r="W39" s="2">
        <v>5911.73</v>
      </c>
      <c r="X39" s="2">
        <v>5715.53</v>
      </c>
      <c r="Y39" s="2">
        <v>6626.37</v>
      </c>
      <c r="Z39" s="2">
        <v>24645.34</v>
      </c>
      <c r="AA39" s="2">
        <v>7681.29</v>
      </c>
      <c r="AB39" s="2">
        <v>6219.54</v>
      </c>
      <c r="AC39" s="2">
        <v>5941.16</v>
      </c>
      <c r="AD39" s="2">
        <v>6787.1</v>
      </c>
      <c r="AE39" s="2">
        <v>26981.82</v>
      </c>
    </row>
    <row r="40" spans="1:31" x14ac:dyDescent="0.25">
      <c r="A40" t="s">
        <v>226</v>
      </c>
      <c r="B40" s="2">
        <v>3283</v>
      </c>
      <c r="C40" s="2">
        <v>2759</v>
      </c>
      <c r="D40" s="2">
        <v>3359</v>
      </c>
      <c r="E40" s="2">
        <v>5280</v>
      </c>
      <c r="F40" s="2">
        <v>14681</v>
      </c>
      <c r="G40" s="2">
        <v>6304</v>
      </c>
      <c r="H40" s="2">
        <v>3699</v>
      </c>
      <c r="I40" s="2">
        <v>3509.51</v>
      </c>
      <c r="J40" s="2">
        <v>5224.3999999999996</v>
      </c>
      <c r="K40" s="2">
        <v>18736.830000000002</v>
      </c>
      <c r="L40" s="2">
        <v>4392.09</v>
      </c>
      <c r="M40" s="2">
        <v>3483.55</v>
      </c>
      <c r="N40" s="2">
        <v>3407.58</v>
      </c>
      <c r="O40" s="2">
        <v>5234.67</v>
      </c>
      <c r="P40" s="2">
        <v>16778.64</v>
      </c>
      <c r="Q40" s="2">
        <v>4569.79</v>
      </c>
      <c r="R40" s="2">
        <v>3642.8</v>
      </c>
      <c r="S40" s="2">
        <v>5010.6400000000003</v>
      </c>
      <c r="T40" s="2">
        <v>5318.28</v>
      </c>
      <c r="U40" s="2">
        <v>18773.38</v>
      </c>
      <c r="V40" s="2">
        <v>4782.08</v>
      </c>
      <c r="W40" s="2">
        <v>3702.65</v>
      </c>
      <c r="X40" s="2">
        <v>3441.47</v>
      </c>
      <c r="Y40" s="2">
        <v>5300.63</v>
      </c>
      <c r="Z40" s="2">
        <v>17610.02</v>
      </c>
      <c r="AA40" s="2">
        <v>5908.28</v>
      </c>
      <c r="AB40" s="2">
        <v>3881.74</v>
      </c>
      <c r="AC40" s="2">
        <v>3558.19</v>
      </c>
      <c r="AD40" s="2">
        <v>5334.33</v>
      </c>
      <c r="AE40" s="2">
        <v>19166.88</v>
      </c>
    </row>
    <row r="41" spans="1:31" x14ac:dyDescent="0.25">
      <c r="A41" t="s">
        <v>227</v>
      </c>
      <c r="B41" s="2">
        <v>306</v>
      </c>
      <c r="C41" s="2">
        <v>285</v>
      </c>
      <c r="D41" s="2">
        <v>287</v>
      </c>
      <c r="E41" s="2">
        <v>484</v>
      </c>
      <c r="F41" s="2">
        <v>1362</v>
      </c>
      <c r="G41" s="2">
        <v>404</v>
      </c>
      <c r="H41" s="2">
        <v>289</v>
      </c>
      <c r="I41" s="2">
        <v>292.51</v>
      </c>
      <c r="J41" s="2">
        <v>428.71</v>
      </c>
      <c r="K41" s="2">
        <v>1384.15</v>
      </c>
      <c r="L41" s="2">
        <v>342.3</v>
      </c>
      <c r="M41" s="2">
        <v>276.2</v>
      </c>
      <c r="N41" s="2">
        <v>290.47000000000003</v>
      </c>
      <c r="O41" s="2">
        <v>406.81</v>
      </c>
      <c r="P41" s="2">
        <v>1338.61</v>
      </c>
      <c r="Q41" s="2">
        <v>370.01</v>
      </c>
      <c r="R41" s="2">
        <v>296.7</v>
      </c>
      <c r="S41" s="2">
        <v>344.97</v>
      </c>
      <c r="T41" s="2">
        <v>430.35</v>
      </c>
      <c r="U41" s="2">
        <v>1453.22</v>
      </c>
      <c r="V41" s="2">
        <v>367.97</v>
      </c>
      <c r="W41" s="2">
        <v>300.13</v>
      </c>
      <c r="X41" s="2">
        <v>326.89</v>
      </c>
      <c r="Y41" s="2">
        <v>433.7</v>
      </c>
      <c r="Z41" s="2">
        <v>1454.15</v>
      </c>
      <c r="AA41" s="2">
        <v>391.26</v>
      </c>
      <c r="AB41" s="2">
        <v>305.35000000000002</v>
      </c>
      <c r="AC41" s="2">
        <v>331.93</v>
      </c>
      <c r="AD41" s="2">
        <v>439.88</v>
      </c>
      <c r="AE41" s="2">
        <v>1509.84</v>
      </c>
    </row>
    <row r="42" spans="1:31" x14ac:dyDescent="0.25">
      <c r="A42" t="s">
        <v>228</v>
      </c>
      <c r="B42" s="2">
        <v>830</v>
      </c>
      <c r="C42" s="2">
        <v>816</v>
      </c>
      <c r="D42" s="2">
        <v>851</v>
      </c>
      <c r="E42" s="2">
        <v>932</v>
      </c>
      <c r="F42" s="2">
        <v>3429</v>
      </c>
      <c r="G42" s="2">
        <v>997</v>
      </c>
      <c r="H42" s="2">
        <v>994</v>
      </c>
      <c r="I42" s="2">
        <v>936.82</v>
      </c>
      <c r="J42" s="2">
        <v>963.25</v>
      </c>
      <c r="K42" s="2">
        <v>3891.07</v>
      </c>
      <c r="L42" s="2">
        <v>995.78</v>
      </c>
      <c r="M42" s="2">
        <v>992.06</v>
      </c>
      <c r="N42" s="2">
        <v>974.91</v>
      </c>
      <c r="O42" s="2">
        <v>995.8</v>
      </c>
      <c r="P42" s="2">
        <v>3943.27</v>
      </c>
      <c r="Q42" s="2">
        <v>1094.17</v>
      </c>
      <c r="R42" s="2">
        <v>1015.22</v>
      </c>
      <c r="S42" s="2">
        <v>1074.18</v>
      </c>
      <c r="T42" s="2">
        <v>1003.68</v>
      </c>
      <c r="U42" s="2">
        <v>4117.1000000000004</v>
      </c>
      <c r="V42" s="2">
        <v>1135.8399999999999</v>
      </c>
      <c r="W42" s="2">
        <v>1036.45</v>
      </c>
      <c r="X42" s="2">
        <v>1081.79</v>
      </c>
      <c r="Y42" s="2">
        <v>1007.66</v>
      </c>
      <c r="Z42" s="2">
        <v>4148.2299999999996</v>
      </c>
      <c r="AA42" s="2">
        <v>1178.2</v>
      </c>
      <c r="AB42" s="2">
        <v>1061.58</v>
      </c>
      <c r="AC42" s="2">
        <v>1154.8399999999999</v>
      </c>
      <c r="AD42" s="2">
        <v>1031.1300000000001</v>
      </c>
      <c r="AE42" s="2">
        <v>4325.8999999999996</v>
      </c>
    </row>
    <row r="43" spans="1:31" x14ac:dyDescent="0.25">
      <c r="A43" s="3" t="s">
        <v>229</v>
      </c>
      <c r="B43" s="2">
        <v>4419</v>
      </c>
      <c r="C43" s="2">
        <v>3860</v>
      </c>
      <c r="D43" s="2">
        <v>4497</v>
      </c>
      <c r="E43" s="2">
        <v>6696</v>
      </c>
      <c r="F43" s="2">
        <v>19472</v>
      </c>
      <c r="G43" s="2">
        <v>7705</v>
      </c>
      <c r="H43" s="2">
        <v>4982</v>
      </c>
      <c r="I43" s="2">
        <v>4750.97</v>
      </c>
      <c r="J43" s="2">
        <v>6610.39</v>
      </c>
      <c r="K43" s="2">
        <v>24042.3</v>
      </c>
      <c r="L43" s="2">
        <v>5793.45</v>
      </c>
      <c r="M43" s="2">
        <v>4839.25</v>
      </c>
      <c r="N43" s="2">
        <v>4705.95</v>
      </c>
      <c r="O43" s="2">
        <v>6615.22</v>
      </c>
      <c r="P43" s="2">
        <v>22071.5</v>
      </c>
      <c r="Q43" s="2">
        <v>5991.17</v>
      </c>
      <c r="R43" s="2">
        <v>4967.25</v>
      </c>
      <c r="S43" s="2">
        <v>6509.62</v>
      </c>
      <c r="T43" s="2">
        <v>6777.23</v>
      </c>
      <c r="U43" s="2">
        <v>24231.29</v>
      </c>
      <c r="V43" s="2">
        <v>6205.2</v>
      </c>
      <c r="W43" s="2">
        <v>5045.47</v>
      </c>
      <c r="X43" s="2">
        <v>4841.7</v>
      </c>
      <c r="Y43" s="2">
        <v>6735.79</v>
      </c>
      <c r="Z43" s="2">
        <v>23027.34</v>
      </c>
      <c r="AA43" s="2">
        <v>7651.75</v>
      </c>
      <c r="AB43" s="2">
        <v>5230.75</v>
      </c>
      <c r="AC43" s="2">
        <v>4983.41</v>
      </c>
      <c r="AD43" s="2">
        <v>6792.97</v>
      </c>
      <c r="AE43" s="2">
        <v>24855.51</v>
      </c>
    </row>
    <row r="44" spans="1:31" x14ac:dyDescent="0.25">
      <c r="A44" s="3" t="s">
        <v>230</v>
      </c>
      <c r="B44" s="2">
        <v>108</v>
      </c>
      <c r="C44" s="2">
        <v>683</v>
      </c>
      <c r="D44" s="2">
        <v>247</v>
      </c>
      <c r="E44" s="2">
        <v>-872</v>
      </c>
      <c r="F44" s="2">
        <v>165</v>
      </c>
      <c r="G44" s="2">
        <v>-425</v>
      </c>
      <c r="H44" s="2">
        <v>708</v>
      </c>
      <c r="I44" s="2">
        <v>595.66999999999996</v>
      </c>
      <c r="J44" s="2">
        <v>-425.98</v>
      </c>
      <c r="K44" s="2">
        <v>424.67</v>
      </c>
      <c r="L44" s="2">
        <v>-166.25</v>
      </c>
      <c r="M44" s="2">
        <v>696.53</v>
      </c>
      <c r="N44" s="2">
        <v>630.98</v>
      </c>
      <c r="O44" s="2">
        <v>-276.04000000000002</v>
      </c>
      <c r="P44" s="2">
        <v>804.42</v>
      </c>
      <c r="Q44" s="2">
        <v>-71.930000000000007</v>
      </c>
      <c r="R44" s="2">
        <v>826.67</v>
      </c>
      <c r="S44" s="2">
        <v>824.31</v>
      </c>
      <c r="T44" s="2">
        <v>-179.64</v>
      </c>
      <c r="U44" s="2">
        <v>1328.02</v>
      </c>
      <c r="V44" s="2">
        <v>-30.34</v>
      </c>
      <c r="W44" s="2">
        <v>866.26</v>
      </c>
      <c r="X44" s="2">
        <v>873.83</v>
      </c>
      <c r="Y44" s="2">
        <v>-109.42</v>
      </c>
      <c r="Z44" s="2">
        <v>1550.88</v>
      </c>
      <c r="AA44" s="2">
        <v>29.53</v>
      </c>
      <c r="AB44" s="2">
        <v>988.79</v>
      </c>
      <c r="AC44" s="2">
        <v>957.74</v>
      </c>
      <c r="AD44" s="2">
        <v>-5.87</v>
      </c>
      <c r="AE44" s="2">
        <v>1976.5</v>
      </c>
    </row>
    <row r="45" spans="1:31" x14ac:dyDescent="0.25">
      <c r="A45" s="3" t="s">
        <v>84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3" t="s">
        <v>231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t="s">
        <v>232</v>
      </c>
      <c r="B47" s="2">
        <v>2174</v>
      </c>
      <c r="C47" s="2">
        <v>1805</v>
      </c>
      <c r="D47" s="2">
        <v>2035</v>
      </c>
      <c r="E47" s="2">
        <v>2186</v>
      </c>
      <c r="F47" s="2">
        <v>8200</v>
      </c>
      <c r="G47" s="2">
        <v>2973</v>
      </c>
      <c r="H47" s="2">
        <v>1799</v>
      </c>
      <c r="I47" s="2">
        <v>1866.15</v>
      </c>
      <c r="J47" s="2">
        <v>2044.87</v>
      </c>
      <c r="K47" s="2">
        <v>8683.02</v>
      </c>
      <c r="L47" s="2">
        <v>2791.5</v>
      </c>
      <c r="M47" s="2">
        <v>1890.05</v>
      </c>
      <c r="N47" s="2">
        <v>1879.43</v>
      </c>
      <c r="O47" s="2">
        <v>2077.33</v>
      </c>
      <c r="P47" s="2">
        <v>8737.8799999999992</v>
      </c>
      <c r="Q47" s="2">
        <v>2782.63</v>
      </c>
      <c r="R47" s="2">
        <v>1941.57</v>
      </c>
      <c r="S47" s="2">
        <v>1895.61</v>
      </c>
      <c r="T47" s="2">
        <v>2111.87</v>
      </c>
      <c r="U47" s="2">
        <v>8904.49</v>
      </c>
      <c r="V47" s="2">
        <v>2779.07</v>
      </c>
      <c r="W47" s="2">
        <v>1984.41</v>
      </c>
      <c r="X47" s="2">
        <v>1940.44</v>
      </c>
      <c r="Y47" s="2">
        <v>2157.0700000000002</v>
      </c>
      <c r="Z47" s="2">
        <v>9075.75</v>
      </c>
      <c r="AA47" s="2">
        <v>2821.15</v>
      </c>
      <c r="AB47" s="2">
        <v>2018.16</v>
      </c>
      <c r="AC47" s="2">
        <v>1972.44</v>
      </c>
      <c r="AD47" s="2">
        <v>2193.9899999999998</v>
      </c>
      <c r="AE47" s="2">
        <v>9245.48</v>
      </c>
    </row>
    <row r="48" spans="1:31" x14ac:dyDescent="0.25">
      <c r="A48" t="s">
        <v>233</v>
      </c>
      <c r="B48" s="2">
        <v>286</v>
      </c>
      <c r="C48" s="2">
        <v>284</v>
      </c>
      <c r="D48" s="2">
        <v>639</v>
      </c>
      <c r="E48" s="2">
        <v>411</v>
      </c>
      <c r="F48" s="2">
        <v>1620</v>
      </c>
      <c r="G48" s="2">
        <v>117</v>
      </c>
      <c r="H48" s="2">
        <v>972</v>
      </c>
      <c r="I48" s="2">
        <v>889.77</v>
      </c>
      <c r="J48" s="2">
        <v>351.09</v>
      </c>
      <c r="K48" s="2">
        <v>2329.86</v>
      </c>
      <c r="L48" s="2">
        <v>165.69</v>
      </c>
      <c r="M48" s="2">
        <v>735.52</v>
      </c>
      <c r="N48" s="2">
        <v>751.09</v>
      </c>
      <c r="O48" s="2">
        <v>373.67</v>
      </c>
      <c r="P48" s="2">
        <v>2166.5700000000002</v>
      </c>
      <c r="Q48" s="2">
        <v>186.48</v>
      </c>
      <c r="R48" s="2">
        <v>682.53</v>
      </c>
      <c r="S48" s="2">
        <v>800.49</v>
      </c>
      <c r="T48" s="2">
        <v>372.21</v>
      </c>
      <c r="U48" s="2">
        <v>2197.41</v>
      </c>
      <c r="V48" s="2">
        <v>193.19</v>
      </c>
      <c r="W48" s="2">
        <v>647.22</v>
      </c>
      <c r="X48" s="2">
        <v>724.51</v>
      </c>
      <c r="Y48" s="2">
        <v>388.53</v>
      </c>
      <c r="Z48" s="2">
        <v>2201.19</v>
      </c>
      <c r="AA48" s="2">
        <v>199.51</v>
      </c>
      <c r="AB48" s="2">
        <v>641.69000000000005</v>
      </c>
      <c r="AC48" s="2">
        <v>732.96</v>
      </c>
      <c r="AD48" s="2">
        <v>398.9</v>
      </c>
      <c r="AE48" s="2">
        <v>2246.13</v>
      </c>
    </row>
    <row r="49" spans="1:31" x14ac:dyDescent="0.25">
      <c r="A49" t="s">
        <v>234</v>
      </c>
      <c r="B49" s="2">
        <v>366</v>
      </c>
      <c r="C49" s="2">
        <v>343</v>
      </c>
      <c r="D49" s="2">
        <v>326</v>
      </c>
      <c r="E49" s="2">
        <v>430</v>
      </c>
      <c r="F49" s="2">
        <v>1465</v>
      </c>
      <c r="G49" s="2">
        <v>336</v>
      </c>
      <c r="H49" s="2">
        <v>269</v>
      </c>
      <c r="I49" s="2">
        <v>323.37</v>
      </c>
      <c r="J49" s="2">
        <v>423.88</v>
      </c>
      <c r="K49" s="2">
        <v>1352.25</v>
      </c>
      <c r="L49" s="2">
        <v>335.37</v>
      </c>
      <c r="M49" s="2">
        <v>274.23</v>
      </c>
      <c r="N49" s="2">
        <v>314.39</v>
      </c>
      <c r="O49" s="2">
        <v>410.73</v>
      </c>
      <c r="P49" s="2">
        <v>1343.5</v>
      </c>
      <c r="Q49" s="2">
        <v>342.29</v>
      </c>
      <c r="R49" s="2">
        <v>277.10000000000002</v>
      </c>
      <c r="S49" s="2">
        <v>316.69</v>
      </c>
      <c r="T49" s="2">
        <v>417.11</v>
      </c>
      <c r="U49" s="2">
        <v>1344.41</v>
      </c>
      <c r="V49" s="2">
        <v>342.98</v>
      </c>
      <c r="W49" s="2">
        <v>278.49</v>
      </c>
      <c r="X49" s="2">
        <v>315.18</v>
      </c>
      <c r="Y49" s="2">
        <v>414.35</v>
      </c>
      <c r="Z49" s="2">
        <v>1340.33</v>
      </c>
      <c r="AA49" s="2">
        <v>345.22</v>
      </c>
      <c r="AB49" s="2">
        <v>280.62</v>
      </c>
      <c r="AC49" s="2">
        <v>318.23</v>
      </c>
      <c r="AD49" s="2">
        <v>417.79</v>
      </c>
      <c r="AE49" s="2">
        <v>1344.06</v>
      </c>
    </row>
    <row r="50" spans="1:31" x14ac:dyDescent="0.25">
      <c r="A50" s="3" t="s">
        <v>207</v>
      </c>
      <c r="B50" s="2">
        <v>2826</v>
      </c>
      <c r="C50" s="2">
        <v>2432</v>
      </c>
      <c r="D50" s="2">
        <v>3000</v>
      </c>
      <c r="E50" s="2">
        <v>3027</v>
      </c>
      <c r="F50" s="2">
        <v>11285</v>
      </c>
      <c r="G50" s="2">
        <v>3426</v>
      </c>
      <c r="H50" s="2">
        <v>3040</v>
      </c>
      <c r="I50" s="2">
        <v>3076.95</v>
      </c>
      <c r="J50" s="2">
        <v>2850.41</v>
      </c>
      <c r="K50" s="2">
        <v>12393.31</v>
      </c>
      <c r="L50" s="2">
        <v>3315.37</v>
      </c>
      <c r="M50" s="2">
        <v>2890.23</v>
      </c>
      <c r="N50" s="2">
        <v>2955.27</v>
      </c>
      <c r="O50" s="2">
        <v>2891.25</v>
      </c>
      <c r="P50" s="2">
        <v>12275.58</v>
      </c>
      <c r="Q50" s="2">
        <v>3311.4</v>
      </c>
      <c r="R50" s="2">
        <v>2901.2</v>
      </c>
      <c r="S50" s="2">
        <v>3012.78</v>
      </c>
      <c r="T50" s="2">
        <v>2901.19</v>
      </c>
      <c r="U50" s="2">
        <v>12477.92</v>
      </c>
      <c r="V50" s="2">
        <v>3315.24</v>
      </c>
      <c r="W50" s="2">
        <v>2910.11</v>
      </c>
      <c r="X50" s="2">
        <v>2980.13</v>
      </c>
      <c r="Y50" s="2">
        <v>2959.95</v>
      </c>
      <c r="Z50" s="2">
        <v>12617.21</v>
      </c>
      <c r="AA50" s="2">
        <v>3365.89</v>
      </c>
      <c r="AB50" s="2">
        <v>2940.47</v>
      </c>
      <c r="AC50" s="2">
        <v>3023.62</v>
      </c>
      <c r="AD50" s="2">
        <v>3010.68</v>
      </c>
      <c r="AE50" s="2">
        <v>12835.6</v>
      </c>
    </row>
    <row r="51" spans="1:31" x14ac:dyDescent="0.25">
      <c r="A51" t="s">
        <v>235</v>
      </c>
      <c r="B51" s="2">
        <v>1901</v>
      </c>
      <c r="C51" s="2">
        <v>1664</v>
      </c>
      <c r="D51" s="2">
        <v>1962</v>
      </c>
      <c r="E51" s="2">
        <v>1924</v>
      </c>
      <c r="F51" s="2">
        <v>7451</v>
      </c>
      <c r="G51" s="2">
        <v>2236</v>
      </c>
      <c r="H51" s="2">
        <v>2047</v>
      </c>
      <c r="I51" s="2">
        <v>1971.3</v>
      </c>
      <c r="J51" s="2">
        <v>1817.63</v>
      </c>
      <c r="K51" s="2">
        <v>8098.81</v>
      </c>
      <c r="L51" s="2">
        <v>2156.89</v>
      </c>
      <c r="M51" s="2">
        <v>1947.56</v>
      </c>
      <c r="N51" s="2">
        <v>1885.75</v>
      </c>
      <c r="O51" s="2">
        <v>1820.57</v>
      </c>
      <c r="P51" s="2">
        <v>7991.93</v>
      </c>
      <c r="Q51" s="2">
        <v>2144.04</v>
      </c>
      <c r="R51" s="2">
        <v>1957.73</v>
      </c>
      <c r="S51" s="2">
        <v>1927.67</v>
      </c>
      <c r="T51" s="2">
        <v>1848.5</v>
      </c>
      <c r="U51" s="2">
        <v>8160.22</v>
      </c>
      <c r="V51" s="2">
        <v>2148.1799999999998</v>
      </c>
      <c r="W51" s="2">
        <v>1952.56</v>
      </c>
      <c r="X51" s="2">
        <v>1916.52</v>
      </c>
      <c r="Y51" s="2">
        <v>1873.01</v>
      </c>
      <c r="Z51" s="2">
        <v>8290.5499999999993</v>
      </c>
      <c r="AA51" s="2">
        <v>2188.4899999999998</v>
      </c>
      <c r="AB51" s="2">
        <v>1991.3</v>
      </c>
      <c r="AC51" s="2">
        <v>1953.99</v>
      </c>
      <c r="AD51" s="2">
        <v>1908.3</v>
      </c>
      <c r="AE51" s="2">
        <v>8478.67</v>
      </c>
    </row>
    <row r="52" spans="1:31" x14ac:dyDescent="0.25">
      <c r="A52" t="s">
        <v>236</v>
      </c>
      <c r="B52" s="2">
        <v>392</v>
      </c>
      <c r="C52" s="2">
        <v>452</v>
      </c>
      <c r="D52" s="2">
        <v>436</v>
      </c>
      <c r="E52" s="2">
        <v>493</v>
      </c>
      <c r="F52" s="2">
        <v>1773</v>
      </c>
      <c r="G52" s="2">
        <v>373</v>
      </c>
      <c r="H52" s="2">
        <v>545</v>
      </c>
      <c r="I52" s="2">
        <v>436.22</v>
      </c>
      <c r="J52" s="2">
        <v>460.02</v>
      </c>
      <c r="K52" s="2">
        <v>1787.36</v>
      </c>
      <c r="L52" s="2">
        <v>434.28</v>
      </c>
      <c r="M52" s="2">
        <v>531.35</v>
      </c>
      <c r="N52" s="2">
        <v>442.31</v>
      </c>
      <c r="O52" s="2">
        <v>478.58</v>
      </c>
      <c r="P52" s="2">
        <v>1878.15</v>
      </c>
      <c r="Q52" s="2">
        <v>442.04</v>
      </c>
      <c r="R52" s="2">
        <v>552.70000000000005</v>
      </c>
      <c r="S52" s="2">
        <v>443.65</v>
      </c>
      <c r="T52" s="2">
        <v>495.83</v>
      </c>
      <c r="U52" s="2">
        <v>1905.38</v>
      </c>
      <c r="V52" s="2">
        <v>453.79</v>
      </c>
      <c r="W52" s="2">
        <v>555.30999999999995</v>
      </c>
      <c r="X52" s="2">
        <v>447.94</v>
      </c>
      <c r="Y52" s="2">
        <v>504.56</v>
      </c>
      <c r="Z52" s="2">
        <v>1931.15</v>
      </c>
      <c r="AA52" s="2">
        <v>461.26</v>
      </c>
      <c r="AB52" s="2">
        <v>566.28</v>
      </c>
      <c r="AC52" s="2">
        <v>456.84</v>
      </c>
      <c r="AD52" s="2">
        <v>514.08000000000004</v>
      </c>
      <c r="AE52" s="2">
        <v>1964.58</v>
      </c>
    </row>
    <row r="53" spans="1:31" x14ac:dyDescent="0.25">
      <c r="A53" t="s">
        <v>237</v>
      </c>
      <c r="B53" s="2">
        <v>259</v>
      </c>
      <c r="C53" s="2">
        <v>256</v>
      </c>
      <c r="D53" s="2">
        <v>264</v>
      </c>
      <c r="E53" s="2">
        <v>283</v>
      </c>
      <c r="F53" s="2">
        <v>1062</v>
      </c>
      <c r="G53" s="2">
        <v>262</v>
      </c>
      <c r="H53" s="2">
        <v>247</v>
      </c>
      <c r="I53" s="2">
        <v>266.63</v>
      </c>
      <c r="J53" s="2">
        <v>276.39</v>
      </c>
      <c r="K53" s="2">
        <v>1052.02</v>
      </c>
      <c r="L53" s="2">
        <v>277.99</v>
      </c>
      <c r="M53" s="2">
        <v>251.84</v>
      </c>
      <c r="N53" s="2">
        <v>267.06</v>
      </c>
      <c r="O53" s="2">
        <v>278.74</v>
      </c>
      <c r="P53" s="2">
        <v>1069.8800000000001</v>
      </c>
      <c r="Q53" s="2">
        <v>284.35000000000002</v>
      </c>
      <c r="R53" s="2">
        <v>256.89999999999998</v>
      </c>
      <c r="S53" s="2">
        <v>274.55</v>
      </c>
      <c r="T53" s="2">
        <v>290.70999999999998</v>
      </c>
      <c r="U53" s="2">
        <v>1088.1300000000001</v>
      </c>
      <c r="V53" s="2">
        <v>292.07</v>
      </c>
      <c r="W53" s="2">
        <v>263.35000000000002</v>
      </c>
      <c r="X53" s="2">
        <v>281.55</v>
      </c>
      <c r="Y53" s="2">
        <v>297.58999999999997</v>
      </c>
      <c r="Z53" s="2">
        <v>1110.96</v>
      </c>
      <c r="AA53" s="2">
        <v>297.12</v>
      </c>
      <c r="AB53" s="2">
        <v>268.75</v>
      </c>
      <c r="AC53" s="2">
        <v>287.44</v>
      </c>
      <c r="AD53" s="2">
        <v>303.83</v>
      </c>
      <c r="AE53" s="2">
        <v>1132.56</v>
      </c>
    </row>
    <row r="54" spans="1:31" x14ac:dyDescent="0.25">
      <c r="A54" s="3" t="s">
        <v>238</v>
      </c>
      <c r="B54" s="2">
        <v>2552</v>
      </c>
      <c r="C54" s="2">
        <v>2372</v>
      </c>
      <c r="D54" s="2">
        <v>2662</v>
      </c>
      <c r="E54" s="2">
        <v>2700</v>
      </c>
      <c r="F54" s="2">
        <v>10286</v>
      </c>
      <c r="G54" s="2">
        <v>2871</v>
      </c>
      <c r="H54" s="2">
        <v>2839</v>
      </c>
      <c r="I54" s="2">
        <v>2670</v>
      </c>
      <c r="J54" s="2">
        <v>2575.71</v>
      </c>
      <c r="K54" s="2">
        <v>10955.66</v>
      </c>
      <c r="L54" s="2">
        <v>2895.15</v>
      </c>
      <c r="M54" s="2">
        <v>2718.15</v>
      </c>
      <c r="N54" s="2">
        <v>2610.02</v>
      </c>
      <c r="O54" s="2">
        <v>2607.14</v>
      </c>
      <c r="P54" s="2">
        <v>10993.9</v>
      </c>
      <c r="Q54" s="2">
        <v>2870.43</v>
      </c>
      <c r="R54" s="2">
        <v>2767.32</v>
      </c>
      <c r="S54" s="2">
        <v>2645.86</v>
      </c>
      <c r="T54" s="2">
        <v>2635.04</v>
      </c>
      <c r="U54" s="2">
        <v>11175.59</v>
      </c>
      <c r="V54" s="2">
        <v>2894.04</v>
      </c>
      <c r="W54" s="2">
        <v>2771.22</v>
      </c>
      <c r="X54" s="2">
        <v>2646</v>
      </c>
      <c r="Y54" s="2">
        <v>2675.17</v>
      </c>
      <c r="Z54" s="2">
        <v>11349.92</v>
      </c>
      <c r="AA54" s="2">
        <v>2946.86</v>
      </c>
      <c r="AB54" s="2">
        <v>2826.32</v>
      </c>
      <c r="AC54" s="2">
        <v>2698.28</v>
      </c>
      <c r="AD54" s="2">
        <v>2726.2</v>
      </c>
      <c r="AE54" s="2">
        <v>11579.32</v>
      </c>
    </row>
    <row r="55" spans="1:31" x14ac:dyDescent="0.25">
      <c r="A55" s="3" t="s">
        <v>239</v>
      </c>
      <c r="B55" s="2">
        <v>274</v>
      </c>
      <c r="C55" s="2">
        <v>61</v>
      </c>
      <c r="D55" s="2">
        <v>338</v>
      </c>
      <c r="E55" s="2">
        <v>327</v>
      </c>
      <c r="F55" s="2">
        <v>1000</v>
      </c>
      <c r="G55" s="2">
        <v>555</v>
      </c>
      <c r="H55" s="2">
        <v>202</v>
      </c>
      <c r="I55" s="2">
        <v>400.42</v>
      </c>
      <c r="J55" s="2">
        <v>263.89999999999998</v>
      </c>
      <c r="K55" s="2">
        <v>1420.69</v>
      </c>
      <c r="L55" s="2">
        <v>406.25</v>
      </c>
      <c r="M55" s="2">
        <v>218.6</v>
      </c>
      <c r="N55" s="2">
        <v>345.25</v>
      </c>
      <c r="O55" s="2">
        <v>284.11</v>
      </c>
      <c r="P55" s="2">
        <v>1259.6400000000001</v>
      </c>
      <c r="Q55" s="2">
        <v>440.96</v>
      </c>
      <c r="R55" s="2">
        <v>201.79</v>
      </c>
      <c r="S55" s="2">
        <v>366.92</v>
      </c>
      <c r="T55" s="2">
        <v>266.14999999999998</v>
      </c>
      <c r="U55" s="2">
        <v>1269.58</v>
      </c>
      <c r="V55" s="2">
        <v>421.19</v>
      </c>
      <c r="W55" s="2">
        <v>212.72</v>
      </c>
      <c r="X55" s="2">
        <v>334.13</v>
      </c>
      <c r="Y55" s="2">
        <v>284.77999999999997</v>
      </c>
      <c r="Z55" s="2">
        <v>1267.3599999999999</v>
      </c>
      <c r="AA55" s="2">
        <v>419.02</v>
      </c>
      <c r="AB55" s="2">
        <v>114.14</v>
      </c>
      <c r="AC55" s="2">
        <v>325.35000000000002</v>
      </c>
      <c r="AD55" s="2">
        <v>284.48</v>
      </c>
      <c r="AE55" s="2">
        <v>1256.3499999999999</v>
      </c>
    </row>
    <row r="56" spans="1:31" x14ac:dyDescent="0.25">
      <c r="A56" s="3" t="s">
        <v>84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5">
      <c r="A57" s="3" t="s">
        <v>240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5">
      <c r="A58" t="s">
        <v>208</v>
      </c>
      <c r="B58" s="2">
        <v>1876</v>
      </c>
      <c r="C58" s="2">
        <v>2349</v>
      </c>
      <c r="D58" s="2">
        <v>2717</v>
      </c>
      <c r="E58" s="2">
        <v>2893</v>
      </c>
      <c r="F58" s="2">
        <v>9835</v>
      </c>
      <c r="G58" s="2">
        <v>2331</v>
      </c>
      <c r="H58" s="2">
        <v>2413</v>
      </c>
      <c r="I58" s="2">
        <v>2668.31</v>
      </c>
      <c r="J58" s="2">
        <v>2900.11</v>
      </c>
      <c r="K58" s="2">
        <v>10312.42</v>
      </c>
      <c r="L58" s="2">
        <v>2408.4299999999998</v>
      </c>
      <c r="M58" s="2">
        <v>2537.19</v>
      </c>
      <c r="N58" s="2">
        <v>2810.63</v>
      </c>
      <c r="O58" s="2">
        <v>3004.53</v>
      </c>
      <c r="P58" s="2">
        <v>10814.9</v>
      </c>
      <c r="Q58" s="2">
        <v>2527.02</v>
      </c>
      <c r="R58" s="2">
        <v>2640.61</v>
      </c>
      <c r="S58" s="2">
        <v>2944.93</v>
      </c>
      <c r="T58" s="2">
        <v>3183.8</v>
      </c>
      <c r="U58" s="2">
        <v>11258.87</v>
      </c>
      <c r="V58" s="2">
        <v>2632.84</v>
      </c>
      <c r="W58" s="2">
        <v>2751.09</v>
      </c>
      <c r="X58" s="2">
        <v>3068.64</v>
      </c>
      <c r="Y58" s="2">
        <v>3332.35</v>
      </c>
      <c r="Z58" s="2">
        <v>11666.42</v>
      </c>
      <c r="AA58" s="2">
        <v>2749.5</v>
      </c>
      <c r="AB58" s="2">
        <v>2872.95</v>
      </c>
      <c r="AC58" s="2">
        <v>3204.07</v>
      </c>
      <c r="AD58" s="2">
        <v>3479.01</v>
      </c>
      <c r="AE58" s="2">
        <v>12133.33</v>
      </c>
    </row>
    <row r="59" spans="1:31" x14ac:dyDescent="0.25">
      <c r="A59" t="s">
        <v>241</v>
      </c>
      <c r="B59" s="2">
        <v>1463</v>
      </c>
      <c r="C59" s="2">
        <v>1708</v>
      </c>
      <c r="D59" s="2">
        <v>1777</v>
      </c>
      <c r="E59" s="2">
        <v>1874</v>
      </c>
      <c r="F59" s="2">
        <v>6822</v>
      </c>
      <c r="G59" s="2">
        <v>1780</v>
      </c>
      <c r="H59" s="2">
        <v>1805</v>
      </c>
      <c r="I59" s="2">
        <v>1880.17</v>
      </c>
      <c r="J59" s="2">
        <v>1939.1</v>
      </c>
      <c r="K59" s="2">
        <v>7404.21</v>
      </c>
      <c r="L59" s="2">
        <v>1822.28</v>
      </c>
      <c r="M59" s="2">
        <v>1858.31</v>
      </c>
      <c r="N59" s="2">
        <v>1940.99</v>
      </c>
      <c r="O59" s="2">
        <v>1986.77</v>
      </c>
      <c r="P59" s="2">
        <v>7634.38</v>
      </c>
      <c r="Q59" s="2">
        <v>1908.97</v>
      </c>
      <c r="R59" s="2">
        <v>1936.73</v>
      </c>
      <c r="S59" s="2">
        <v>2026.02</v>
      </c>
      <c r="T59" s="2">
        <v>2102.33</v>
      </c>
      <c r="U59" s="2">
        <v>7926</v>
      </c>
      <c r="V59" s="2">
        <v>1993.07</v>
      </c>
      <c r="W59" s="2">
        <v>2017.37</v>
      </c>
      <c r="X59" s="2">
        <v>2116.25</v>
      </c>
      <c r="Y59" s="2">
        <v>2208.08</v>
      </c>
      <c r="Z59" s="2">
        <v>8234.59</v>
      </c>
      <c r="AA59" s="2">
        <v>2083.88</v>
      </c>
      <c r="AB59" s="2">
        <v>2102</v>
      </c>
      <c r="AC59" s="2">
        <v>2207.33</v>
      </c>
      <c r="AD59" s="2">
        <v>2306.34</v>
      </c>
      <c r="AE59" s="2">
        <v>8556.6299999999992</v>
      </c>
    </row>
    <row r="60" spans="1:31" x14ac:dyDescent="0.25">
      <c r="A60" s="3" t="s">
        <v>242</v>
      </c>
      <c r="B60" s="2">
        <v>413</v>
      </c>
      <c r="C60" s="2">
        <v>641.4</v>
      </c>
      <c r="D60" s="2">
        <v>940.4</v>
      </c>
      <c r="E60" s="2">
        <v>1019</v>
      </c>
      <c r="F60" s="2">
        <v>3013</v>
      </c>
      <c r="G60" s="2">
        <v>551</v>
      </c>
      <c r="H60" s="2">
        <v>608</v>
      </c>
      <c r="I60" s="2">
        <v>789.64</v>
      </c>
      <c r="J60" s="2">
        <v>958.67</v>
      </c>
      <c r="K60" s="2">
        <v>2907.68</v>
      </c>
      <c r="L60" s="2">
        <v>585.03</v>
      </c>
      <c r="M60" s="2">
        <v>681.72</v>
      </c>
      <c r="N60" s="2">
        <v>869.65</v>
      </c>
      <c r="O60" s="2">
        <v>1017.77</v>
      </c>
      <c r="P60" s="2">
        <v>3175.06</v>
      </c>
      <c r="Q60" s="2">
        <v>618.05999999999995</v>
      </c>
      <c r="R60" s="2">
        <v>703.88</v>
      </c>
      <c r="S60" s="2">
        <v>918.91</v>
      </c>
      <c r="T60" s="2">
        <v>1081.47</v>
      </c>
      <c r="U60" s="2">
        <v>3326.18</v>
      </c>
      <c r="V60" s="2">
        <v>639.78</v>
      </c>
      <c r="W60" s="2">
        <v>733.72</v>
      </c>
      <c r="X60" s="2">
        <v>952.38</v>
      </c>
      <c r="Y60" s="2">
        <v>1124.27</v>
      </c>
      <c r="Z60" s="2">
        <v>3428.3</v>
      </c>
      <c r="AA60" s="2">
        <v>665.62</v>
      </c>
      <c r="AB60" s="2">
        <v>770.94</v>
      </c>
      <c r="AC60" s="2">
        <v>996.74</v>
      </c>
      <c r="AD60" s="2">
        <v>1172.68</v>
      </c>
      <c r="AE60" s="2">
        <v>3570.93</v>
      </c>
    </row>
    <row r="61" spans="1:31" x14ac:dyDescent="0.25">
      <c r="A61" s="3" t="s">
        <v>84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3" t="s">
        <v>243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t="s">
        <v>244</v>
      </c>
      <c r="B63" s="2">
        <v>1876</v>
      </c>
      <c r="C63" s="2">
        <v>2349</v>
      </c>
      <c r="D63" s="2">
        <v>2717</v>
      </c>
      <c r="E63" s="2">
        <v>2893</v>
      </c>
      <c r="F63" s="2">
        <v>9116.5300000000007</v>
      </c>
      <c r="G63" s="2">
        <v>2331</v>
      </c>
      <c r="H63" s="2">
        <v>2413</v>
      </c>
      <c r="I63" s="2">
        <v>2635.49</v>
      </c>
      <c r="J63" s="2">
        <v>2835.14</v>
      </c>
      <c r="K63" s="2">
        <v>9534.36</v>
      </c>
      <c r="L63" s="2">
        <v>2307.69</v>
      </c>
      <c r="M63" s="2">
        <v>2413</v>
      </c>
      <c r="N63" s="2">
        <v>2819.97</v>
      </c>
      <c r="O63" s="2">
        <v>3005.25</v>
      </c>
      <c r="P63" s="2">
        <v>9649.2999999999993</v>
      </c>
      <c r="Q63" s="2">
        <v>2376.92</v>
      </c>
      <c r="R63" s="2">
        <v>2485.39</v>
      </c>
      <c r="S63" s="2">
        <v>2904.57</v>
      </c>
      <c r="T63" s="2">
        <v>3095.41</v>
      </c>
      <c r="U63" s="2">
        <v>9882.49</v>
      </c>
      <c r="V63" s="2">
        <v>2448.23</v>
      </c>
      <c r="W63" s="2">
        <v>2559.9499999999998</v>
      </c>
      <c r="X63" s="2">
        <v>2991.71</v>
      </c>
      <c r="Y63" s="2">
        <v>3250.18</v>
      </c>
      <c r="Z63" s="2">
        <v>10151.370000000001</v>
      </c>
      <c r="AA63" s="2">
        <v>2521.6799999999998</v>
      </c>
      <c r="AB63" s="2">
        <v>2636.75</v>
      </c>
      <c r="AC63" s="2">
        <v>3081.46</v>
      </c>
      <c r="AD63" s="2">
        <v>3347.68</v>
      </c>
      <c r="AE63" s="2">
        <v>10395.120000000001</v>
      </c>
    </row>
    <row r="64" spans="1:31" x14ac:dyDescent="0.25">
      <c r="A64" t="s">
        <v>245</v>
      </c>
      <c r="B64" s="2">
        <v>1463</v>
      </c>
      <c r="C64" s="2">
        <v>1708</v>
      </c>
      <c r="D64" s="2">
        <v>1777</v>
      </c>
      <c r="E64" s="2">
        <v>1874</v>
      </c>
      <c r="F64" s="2">
        <v>6082.15</v>
      </c>
      <c r="G64" s="2">
        <v>1780</v>
      </c>
      <c r="H64" s="2">
        <v>1804.5</v>
      </c>
      <c r="I64" s="2">
        <v>1802.68</v>
      </c>
      <c r="J64" s="2">
        <v>1896.45</v>
      </c>
      <c r="K64" s="2">
        <v>6345.52</v>
      </c>
      <c r="L64" s="2">
        <v>1770.68</v>
      </c>
      <c r="M64" s="2">
        <v>1804</v>
      </c>
      <c r="N64" s="2">
        <v>1901.93</v>
      </c>
      <c r="O64" s="2">
        <v>1931.74</v>
      </c>
      <c r="P64" s="2">
        <v>6605.14</v>
      </c>
      <c r="Q64" s="2">
        <v>1805.29</v>
      </c>
      <c r="R64" s="2">
        <v>1840.19</v>
      </c>
      <c r="S64" s="2">
        <v>1944.23</v>
      </c>
      <c r="T64" s="2">
        <v>1976.82</v>
      </c>
      <c r="U64" s="2">
        <v>6715</v>
      </c>
      <c r="V64" s="2">
        <v>1848.08</v>
      </c>
      <c r="W64" s="2">
        <v>1884.93</v>
      </c>
      <c r="X64" s="2">
        <v>1996.51</v>
      </c>
      <c r="Y64" s="2">
        <v>2069.69</v>
      </c>
      <c r="Z64" s="2">
        <v>6850.34</v>
      </c>
      <c r="AA64" s="2">
        <v>1892.14</v>
      </c>
      <c r="AB64" s="2">
        <v>1931.01</v>
      </c>
      <c r="AC64" s="2">
        <v>2050.36</v>
      </c>
      <c r="AD64" s="2">
        <v>2128.19</v>
      </c>
      <c r="AE64" s="2">
        <v>7001.36</v>
      </c>
    </row>
    <row r="65" spans="1:31" x14ac:dyDescent="0.25">
      <c r="A65" s="3" t="s">
        <v>246</v>
      </c>
      <c r="B65" s="2">
        <v>413</v>
      </c>
      <c r="C65" s="2">
        <v>641</v>
      </c>
      <c r="D65" s="2">
        <v>940</v>
      </c>
      <c r="E65" s="2">
        <v>1019</v>
      </c>
      <c r="F65" s="2">
        <v>3214</v>
      </c>
      <c r="G65" s="2">
        <v>551</v>
      </c>
      <c r="H65" s="2">
        <v>609</v>
      </c>
      <c r="I65" s="2">
        <v>777.82</v>
      </c>
      <c r="J65" s="2">
        <v>922.8</v>
      </c>
      <c r="K65" s="2">
        <v>3323.72</v>
      </c>
      <c r="L65" s="2">
        <v>537.01</v>
      </c>
      <c r="M65" s="2">
        <v>609</v>
      </c>
      <c r="N65" s="2">
        <v>918.05</v>
      </c>
      <c r="O65" s="2">
        <v>1073.5</v>
      </c>
      <c r="P65" s="2">
        <v>3313.5</v>
      </c>
      <c r="Q65" s="2">
        <v>571.63</v>
      </c>
      <c r="R65" s="2">
        <v>645.20000000000005</v>
      </c>
      <c r="S65" s="2">
        <v>960.35</v>
      </c>
      <c r="T65" s="2">
        <v>1118.58</v>
      </c>
      <c r="U65" s="2">
        <v>3492.99</v>
      </c>
      <c r="V65" s="2">
        <v>600.15</v>
      </c>
      <c r="W65" s="2">
        <v>675.02</v>
      </c>
      <c r="X65" s="2">
        <v>995.2</v>
      </c>
      <c r="Y65" s="2">
        <v>1180.49</v>
      </c>
      <c r="Z65" s="2">
        <v>3676.71</v>
      </c>
      <c r="AA65" s="2">
        <v>629.53</v>
      </c>
      <c r="AB65" s="2">
        <v>705.74</v>
      </c>
      <c r="AC65" s="2">
        <v>1031.0999999999999</v>
      </c>
      <c r="AD65" s="2">
        <v>1219.49</v>
      </c>
      <c r="AE65" s="2">
        <v>3834.09</v>
      </c>
    </row>
    <row r="66" spans="1:31" x14ac:dyDescent="0.25">
      <c r="A66" s="3" t="s">
        <v>84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5">
      <c r="A67" s="3" t="s">
        <v>97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5">
      <c r="A68" s="3" t="s">
        <v>247</v>
      </c>
      <c r="B68" s="2">
        <v>206</v>
      </c>
      <c r="C68" s="2">
        <v>210</v>
      </c>
      <c r="D68" s="2">
        <v>219</v>
      </c>
      <c r="E68" s="2">
        <v>257</v>
      </c>
      <c r="F68" s="2">
        <v>892</v>
      </c>
      <c r="G68" s="2">
        <v>223</v>
      </c>
      <c r="H68" s="2">
        <v>233</v>
      </c>
      <c r="I68" s="2">
        <v>219.1</v>
      </c>
      <c r="J68" s="2">
        <v>244.48</v>
      </c>
      <c r="K68" s="2">
        <v>919.58</v>
      </c>
      <c r="L68" s="2">
        <v>226.86</v>
      </c>
      <c r="M68" s="2">
        <v>259.10000000000002</v>
      </c>
      <c r="N68" s="2">
        <v>214.67</v>
      </c>
      <c r="O68" s="2">
        <v>235.76</v>
      </c>
      <c r="P68" s="2">
        <v>947.17</v>
      </c>
      <c r="Q68" s="2">
        <v>213</v>
      </c>
      <c r="R68" s="2">
        <v>219</v>
      </c>
      <c r="S68" s="2">
        <v>208.42</v>
      </c>
      <c r="T68" s="2">
        <v>227.75</v>
      </c>
      <c r="U68" s="2">
        <v>925.71</v>
      </c>
      <c r="V68" s="2">
        <v>217</v>
      </c>
      <c r="W68" s="2">
        <v>216</v>
      </c>
      <c r="X68" s="2">
        <v>211.67</v>
      </c>
      <c r="Y68" s="2">
        <v>225.67</v>
      </c>
      <c r="Z68" s="2">
        <v>948.28</v>
      </c>
      <c r="AA68" s="2">
        <v>218.67</v>
      </c>
      <c r="AB68" s="2">
        <v>217.67</v>
      </c>
      <c r="AC68" s="2">
        <v>213.33</v>
      </c>
      <c r="AD68" s="2">
        <v>227.33</v>
      </c>
      <c r="AE68" s="2">
        <v>965.1</v>
      </c>
    </row>
    <row r="69" spans="1:31" x14ac:dyDescent="0.25">
      <c r="A69" s="3" t="s">
        <v>248</v>
      </c>
      <c r="B69" s="2">
        <v>-708</v>
      </c>
      <c r="C69" s="2">
        <v>-660</v>
      </c>
      <c r="D69" s="2">
        <v>-648</v>
      </c>
      <c r="E69" s="2">
        <v>-862</v>
      </c>
      <c r="F69" s="2">
        <v>-2878</v>
      </c>
      <c r="G69" s="2">
        <v>-970</v>
      </c>
      <c r="H69" s="2">
        <v>-460</v>
      </c>
      <c r="I69" s="2">
        <v>-659.27</v>
      </c>
      <c r="J69" s="2">
        <v>-800.09</v>
      </c>
      <c r="K69" s="2">
        <v>-2889.47</v>
      </c>
      <c r="L69" s="2">
        <v>-730.9</v>
      </c>
      <c r="M69" s="2">
        <v>-509.15</v>
      </c>
      <c r="N69" s="2">
        <v>-650.65</v>
      </c>
      <c r="O69" s="2">
        <v>-804.21</v>
      </c>
      <c r="P69" s="2">
        <v>-2797.36</v>
      </c>
      <c r="Q69" s="2">
        <v>-744.87</v>
      </c>
      <c r="R69" s="2">
        <v>-525.5</v>
      </c>
      <c r="S69" s="2">
        <v>-629.70000000000005</v>
      </c>
      <c r="T69" s="2">
        <v>-847.17</v>
      </c>
      <c r="U69" s="2">
        <v>-2880.01</v>
      </c>
      <c r="V69" s="2">
        <v>-817.5</v>
      </c>
      <c r="W69" s="2">
        <v>-605</v>
      </c>
      <c r="X69" s="2">
        <v>-696.5</v>
      </c>
      <c r="Y69" s="2">
        <v>-916.5</v>
      </c>
      <c r="Z69" s="2">
        <v>-3003.32</v>
      </c>
      <c r="AA69" s="2">
        <v>-830</v>
      </c>
      <c r="AB69" s="2">
        <v>-617.5</v>
      </c>
      <c r="AC69" s="2">
        <v>-709</v>
      </c>
      <c r="AD69" s="2">
        <v>-929</v>
      </c>
      <c r="AE69" s="2">
        <v>-3058.21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9D87-0B9A-43F6-B21A-B38D53612050}">
  <dimension ref="A2:AE49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249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s="3" t="s">
        <v>250</v>
      </c>
      <c r="B16" s="2">
        <v>104485</v>
      </c>
      <c r="C16" s="2">
        <v>105785</v>
      </c>
      <c r="D16" s="2">
        <v>107085</v>
      </c>
      <c r="E16" s="2">
        <v>108385</v>
      </c>
      <c r="F16" s="2">
        <v>108385</v>
      </c>
      <c r="G16" s="2">
        <v>109685</v>
      </c>
      <c r="H16" s="2">
        <v>110985</v>
      </c>
      <c r="I16" s="2">
        <v>112285</v>
      </c>
      <c r="J16" s="2">
        <v>113585</v>
      </c>
      <c r="K16" s="2">
        <v>113585</v>
      </c>
      <c r="L16" s="2">
        <v>93270</v>
      </c>
      <c r="M16" s="2">
        <v>93370</v>
      </c>
      <c r="N16" s="2">
        <v>93470</v>
      </c>
      <c r="O16" s="2">
        <v>93570</v>
      </c>
      <c r="P16" s="2">
        <v>118785</v>
      </c>
      <c r="Q16" s="2">
        <v>93670</v>
      </c>
      <c r="R16" s="2">
        <v>93770</v>
      </c>
      <c r="S16" s="2">
        <v>93870</v>
      </c>
      <c r="T16" s="2">
        <v>93970</v>
      </c>
      <c r="U16" s="2">
        <v>123985</v>
      </c>
      <c r="V16" s="2">
        <v>94070</v>
      </c>
      <c r="W16" s="2">
        <v>94170</v>
      </c>
      <c r="X16" s="2">
        <v>94270</v>
      </c>
      <c r="Y16" s="2">
        <v>94370</v>
      </c>
      <c r="Z16" s="2">
        <v>94370</v>
      </c>
      <c r="AA16" s="2">
        <v>94470</v>
      </c>
      <c r="AB16" s="2">
        <v>94570</v>
      </c>
      <c r="AC16" s="2">
        <v>94670</v>
      </c>
      <c r="AD16" s="2">
        <v>94770</v>
      </c>
      <c r="AE16" s="2">
        <v>94770</v>
      </c>
    </row>
    <row r="17" spans="1:31" x14ac:dyDescent="0.25">
      <c r="A17" s="3" t="s">
        <v>251</v>
      </c>
      <c r="B17" s="2">
        <v>1300</v>
      </c>
      <c r="C17" s="2">
        <v>1300</v>
      </c>
      <c r="D17" s="2">
        <v>1300</v>
      </c>
      <c r="E17" s="2">
        <v>2500</v>
      </c>
      <c r="F17" s="2">
        <v>10000</v>
      </c>
      <c r="G17" s="2">
        <v>1300</v>
      </c>
      <c r="H17" s="2">
        <v>1300</v>
      </c>
      <c r="I17" s="2">
        <v>1300</v>
      </c>
      <c r="J17" s="2">
        <v>1300</v>
      </c>
      <c r="K17" s="2">
        <v>5200</v>
      </c>
      <c r="L17" s="2">
        <v>100</v>
      </c>
      <c r="M17" s="2">
        <v>100</v>
      </c>
      <c r="N17" s="2">
        <v>100</v>
      </c>
      <c r="O17" s="2">
        <v>100</v>
      </c>
      <c r="P17" s="2">
        <v>5200</v>
      </c>
      <c r="Q17" s="2">
        <v>100</v>
      </c>
      <c r="R17" s="2">
        <v>100</v>
      </c>
      <c r="S17" s="2">
        <v>100</v>
      </c>
      <c r="T17" s="2">
        <v>100</v>
      </c>
      <c r="U17" s="2">
        <v>5200</v>
      </c>
      <c r="V17" s="2">
        <v>100</v>
      </c>
      <c r="W17" s="2">
        <v>100</v>
      </c>
      <c r="X17" s="2">
        <v>100</v>
      </c>
      <c r="Y17" s="2">
        <v>100</v>
      </c>
      <c r="Z17" s="2">
        <v>400</v>
      </c>
      <c r="AA17" s="2">
        <v>100</v>
      </c>
      <c r="AB17" s="2">
        <v>100</v>
      </c>
      <c r="AC17" s="2">
        <v>100</v>
      </c>
      <c r="AD17" s="2">
        <v>100</v>
      </c>
      <c r="AE17" s="2">
        <v>400</v>
      </c>
    </row>
    <row r="18" spans="1:31" x14ac:dyDescent="0.25">
      <c r="A18" s="3" t="s">
        <v>84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5">
      <c r="A19" t="s">
        <v>252</v>
      </c>
      <c r="B19" s="2">
        <v>32483.96</v>
      </c>
      <c r="C19" s="2">
        <v>32973.449999999997</v>
      </c>
      <c r="D19" s="2">
        <v>32964.660000000003</v>
      </c>
      <c r="E19" s="2">
        <v>35514.980000000003</v>
      </c>
      <c r="F19" s="2">
        <v>35014.980000000003</v>
      </c>
      <c r="G19" s="2">
        <v>37514.629999999997</v>
      </c>
      <c r="H19" s="2">
        <v>39117.480000000003</v>
      </c>
      <c r="I19" s="2">
        <v>39759.379999999997</v>
      </c>
      <c r="J19" s="2">
        <v>41084.54</v>
      </c>
      <c r="K19" s="2">
        <v>40584.54</v>
      </c>
      <c r="L19" s="2">
        <v>36362.5</v>
      </c>
      <c r="M19" s="2">
        <v>36292.5</v>
      </c>
      <c r="N19" s="2">
        <v>36042.5</v>
      </c>
      <c r="O19" s="2">
        <v>35992.5</v>
      </c>
      <c r="P19" s="2">
        <v>43791.65</v>
      </c>
      <c r="Q19" s="2">
        <v>36192.5</v>
      </c>
      <c r="R19" s="2">
        <v>36342.5</v>
      </c>
      <c r="S19" s="2">
        <v>36392.5</v>
      </c>
      <c r="T19" s="2">
        <v>36542.5</v>
      </c>
      <c r="U19" s="2">
        <v>46428.42</v>
      </c>
      <c r="V19" s="2">
        <v>36792.5</v>
      </c>
      <c r="W19" s="2">
        <v>36942.5</v>
      </c>
      <c r="X19" s="2">
        <v>36992.5</v>
      </c>
      <c r="Y19" s="2">
        <v>37142.5</v>
      </c>
      <c r="Z19" s="2">
        <v>47978.34</v>
      </c>
      <c r="AA19" s="2">
        <v>37392.5</v>
      </c>
      <c r="AB19" s="2">
        <v>37542.5</v>
      </c>
      <c r="AC19" s="2">
        <v>37592.5</v>
      </c>
      <c r="AD19" s="2">
        <v>37742.5</v>
      </c>
      <c r="AE19" s="2">
        <v>50495.34</v>
      </c>
    </row>
    <row r="20" spans="1:31" x14ac:dyDescent="0.25">
      <c r="A20" t="s">
        <v>253</v>
      </c>
      <c r="B20" s="2">
        <v>15900</v>
      </c>
      <c r="C20" s="2">
        <v>15950</v>
      </c>
      <c r="D20" s="2">
        <v>16000</v>
      </c>
      <c r="E20" s="2">
        <v>16050</v>
      </c>
      <c r="F20" s="2">
        <v>16050</v>
      </c>
      <c r="G20" s="2">
        <v>17050</v>
      </c>
      <c r="H20" s="2">
        <v>18050</v>
      </c>
      <c r="I20" s="2">
        <v>18100</v>
      </c>
      <c r="J20" s="2">
        <v>18150</v>
      </c>
      <c r="K20" s="2">
        <v>18150</v>
      </c>
      <c r="L20" s="2">
        <v>20150</v>
      </c>
      <c r="M20" s="2">
        <v>20250</v>
      </c>
      <c r="N20" s="2">
        <v>20350</v>
      </c>
      <c r="O20" s="2">
        <v>20450</v>
      </c>
      <c r="P20" s="2">
        <v>18350</v>
      </c>
      <c r="Q20" s="2">
        <v>20550</v>
      </c>
      <c r="R20" s="2">
        <v>20650</v>
      </c>
      <c r="S20" s="2">
        <v>20750</v>
      </c>
      <c r="T20" s="2">
        <v>20850</v>
      </c>
      <c r="U20" s="2">
        <v>18550</v>
      </c>
      <c r="V20" s="2">
        <v>20950</v>
      </c>
      <c r="W20" s="2">
        <v>21050</v>
      </c>
      <c r="X20" s="2">
        <v>21150</v>
      </c>
      <c r="Y20" s="2">
        <v>21250</v>
      </c>
      <c r="Z20" s="2">
        <v>21250</v>
      </c>
      <c r="AA20" s="2">
        <v>21350</v>
      </c>
      <c r="AB20" s="2">
        <v>21450</v>
      </c>
      <c r="AC20" s="2">
        <v>21550</v>
      </c>
      <c r="AD20" s="2">
        <v>21650</v>
      </c>
      <c r="AE20" s="2">
        <v>21650</v>
      </c>
    </row>
    <row r="21" spans="1:31" x14ac:dyDescent="0.25">
      <c r="A21" s="3" t="s">
        <v>254</v>
      </c>
      <c r="B21" s="2">
        <v>42052.87</v>
      </c>
      <c r="C21" s="2">
        <v>42093.85</v>
      </c>
      <c r="D21" s="2">
        <v>42134.83</v>
      </c>
      <c r="E21" s="2">
        <v>44905.29</v>
      </c>
      <c r="F21" s="2">
        <v>44905.29</v>
      </c>
      <c r="G21" s="2">
        <v>47544.6</v>
      </c>
      <c r="H21" s="2">
        <v>49674.080000000002</v>
      </c>
      <c r="I21" s="2">
        <v>50006.04</v>
      </c>
      <c r="J21" s="2">
        <v>50588.01</v>
      </c>
      <c r="K21" s="2">
        <v>50588.01</v>
      </c>
      <c r="L21" s="2">
        <v>43289.95</v>
      </c>
      <c r="M21" s="2">
        <v>43453.88</v>
      </c>
      <c r="N21" s="2">
        <v>43617.81</v>
      </c>
      <c r="O21" s="2">
        <v>43781.74</v>
      </c>
      <c r="P21" s="2">
        <v>52903.37</v>
      </c>
      <c r="Q21" s="2">
        <v>43945.67</v>
      </c>
      <c r="R21" s="2">
        <v>44109.599999999999</v>
      </c>
      <c r="S21" s="2">
        <v>44273.53</v>
      </c>
      <c r="T21" s="2">
        <v>44437.46</v>
      </c>
      <c r="U21" s="2">
        <v>54721.86</v>
      </c>
      <c r="V21" s="2">
        <v>44601.39</v>
      </c>
      <c r="W21" s="2">
        <v>44765.32</v>
      </c>
      <c r="X21" s="2">
        <v>44929.25</v>
      </c>
      <c r="Y21" s="2">
        <v>45093.18</v>
      </c>
      <c r="Z21" s="2">
        <v>45093.18</v>
      </c>
      <c r="AA21" s="2">
        <v>45257.11</v>
      </c>
      <c r="AB21" s="2">
        <v>45421.04</v>
      </c>
      <c r="AC21" s="2">
        <v>45584.98</v>
      </c>
      <c r="AD21" s="2">
        <v>45748.91</v>
      </c>
      <c r="AE21" s="2">
        <v>45748.91</v>
      </c>
    </row>
    <row r="22" spans="1:31" x14ac:dyDescent="0.25">
      <c r="A22" s="3" t="s">
        <v>255</v>
      </c>
      <c r="B22" s="2">
        <v>40212.720000000001</v>
      </c>
      <c r="C22" s="2">
        <v>42073.36</v>
      </c>
      <c r="D22" s="2">
        <v>42114.34</v>
      </c>
      <c r="E22" s="2">
        <v>43520.06</v>
      </c>
      <c r="F22" s="2">
        <v>41638.94</v>
      </c>
      <c r="G22" s="2">
        <v>46224.95</v>
      </c>
      <c r="H22" s="2">
        <v>48609.34</v>
      </c>
      <c r="I22" s="2">
        <v>49840.06</v>
      </c>
      <c r="J22" s="2">
        <v>50297.03</v>
      </c>
      <c r="K22" s="2">
        <v>47746.65</v>
      </c>
      <c r="L22" s="2">
        <v>43207.98</v>
      </c>
      <c r="M22" s="2">
        <v>43371.91</v>
      </c>
      <c r="N22" s="2">
        <v>43535.839999999997</v>
      </c>
      <c r="O22" s="2">
        <v>43699.77</v>
      </c>
      <c r="P22" s="2">
        <v>51745.69</v>
      </c>
      <c r="Q22" s="2">
        <v>43863.7</v>
      </c>
      <c r="R22" s="2">
        <v>44027.64</v>
      </c>
      <c r="S22" s="2">
        <v>44191.57</v>
      </c>
      <c r="T22" s="2">
        <v>44355.5</v>
      </c>
      <c r="U22" s="2">
        <v>53812.61</v>
      </c>
      <c r="V22" s="2">
        <v>44519.43</v>
      </c>
      <c r="W22" s="2">
        <v>44683.360000000001</v>
      </c>
      <c r="X22" s="2">
        <v>44847.29</v>
      </c>
      <c r="Y22" s="2">
        <v>45011.22</v>
      </c>
      <c r="Z22" s="2">
        <v>44765.32</v>
      </c>
      <c r="AA22" s="2">
        <v>45175.15</v>
      </c>
      <c r="AB22" s="2">
        <v>45339.08</v>
      </c>
      <c r="AC22" s="2">
        <v>45503.01</v>
      </c>
      <c r="AD22" s="2">
        <v>45666.94</v>
      </c>
      <c r="AE22" s="2">
        <v>45421.04</v>
      </c>
    </row>
    <row r="23" spans="1:31" x14ac:dyDescent="0.25">
      <c r="A23" t="s">
        <v>256</v>
      </c>
      <c r="B23" s="2">
        <v>3.57</v>
      </c>
      <c r="C23" s="2">
        <v>3.5</v>
      </c>
      <c r="D23" s="2">
        <v>3.9</v>
      </c>
      <c r="E23" s="2">
        <v>4.46</v>
      </c>
      <c r="F23" s="2">
        <v>3.9</v>
      </c>
      <c r="G23" s="2">
        <v>6.67</v>
      </c>
      <c r="H23" s="2">
        <v>5.0199999999999996</v>
      </c>
      <c r="I23" s="2">
        <v>4.6500000000000004</v>
      </c>
      <c r="J23" s="2">
        <v>4.7699999999999996</v>
      </c>
      <c r="K23" s="2">
        <v>5.38</v>
      </c>
      <c r="L23" s="2">
        <v>7.37</v>
      </c>
      <c r="M23" s="2">
        <v>5.4</v>
      </c>
      <c r="N23" s="2">
        <v>4.87</v>
      </c>
      <c r="O23" s="2">
        <v>5.85</v>
      </c>
      <c r="P23" s="2">
        <v>4.9400000000000004</v>
      </c>
      <c r="Q23" s="2">
        <v>7.59</v>
      </c>
      <c r="R23" s="2">
        <v>5.62</v>
      </c>
      <c r="S23" s="2">
        <v>5.1100000000000003</v>
      </c>
      <c r="T23" s="2">
        <v>6.14</v>
      </c>
      <c r="U23" s="2">
        <v>5.36</v>
      </c>
      <c r="V23" s="2">
        <v>7.82</v>
      </c>
      <c r="W23" s="2">
        <v>5.79</v>
      </c>
      <c r="X23" s="2">
        <v>5.1100000000000003</v>
      </c>
      <c r="Y23" s="2">
        <v>6.14</v>
      </c>
      <c r="Z23" s="2">
        <v>6.21</v>
      </c>
      <c r="AA23" s="2">
        <v>8.1300000000000008</v>
      </c>
      <c r="AB23" s="2">
        <v>6.02</v>
      </c>
      <c r="AC23" s="2">
        <v>5.32</v>
      </c>
      <c r="AD23" s="2">
        <v>6.45</v>
      </c>
      <c r="AE23" s="2">
        <v>6.48</v>
      </c>
    </row>
    <row r="24" spans="1:31" x14ac:dyDescent="0.25">
      <c r="A24" s="3" t="s">
        <v>257</v>
      </c>
      <c r="B24" s="2">
        <v>414</v>
      </c>
      <c r="C24" s="2">
        <v>427</v>
      </c>
      <c r="D24" s="2">
        <v>477</v>
      </c>
      <c r="E24" s="2">
        <v>564</v>
      </c>
      <c r="F24" s="2">
        <v>1882</v>
      </c>
      <c r="G24" s="2">
        <v>901</v>
      </c>
      <c r="H24" s="2">
        <v>717</v>
      </c>
      <c r="I24" s="2">
        <v>641.39</v>
      </c>
      <c r="J24" s="2">
        <v>673.39</v>
      </c>
      <c r="K24" s="2">
        <v>2932.79</v>
      </c>
      <c r="L24" s="2">
        <v>757.79</v>
      </c>
      <c r="M24" s="2">
        <v>697.3</v>
      </c>
      <c r="N24" s="2">
        <v>671.03</v>
      </c>
      <c r="O24" s="2">
        <v>720.11</v>
      </c>
      <c r="P24" s="2">
        <v>3037.48</v>
      </c>
      <c r="Q24" s="2">
        <v>826.6</v>
      </c>
      <c r="R24" s="2">
        <v>761.26</v>
      </c>
      <c r="S24" s="2">
        <v>928.93</v>
      </c>
      <c r="T24" s="2">
        <v>784.82</v>
      </c>
      <c r="U24" s="2">
        <v>3482.66</v>
      </c>
      <c r="V24" s="2">
        <v>878.47</v>
      </c>
      <c r="W24" s="2">
        <v>800.18</v>
      </c>
      <c r="X24" s="2">
        <v>785.76</v>
      </c>
      <c r="Y24" s="2">
        <v>832.89</v>
      </c>
      <c r="Z24" s="2">
        <v>3631.28</v>
      </c>
      <c r="AA24" s="2">
        <v>1065.1500000000001</v>
      </c>
      <c r="AB24" s="2">
        <v>882.87</v>
      </c>
      <c r="AC24" s="2">
        <v>852.22</v>
      </c>
      <c r="AD24" s="2">
        <v>887.66</v>
      </c>
      <c r="AE24" s="2">
        <v>3989.27</v>
      </c>
    </row>
    <row r="25" spans="1:31" x14ac:dyDescent="0.25">
      <c r="A25" s="3" t="s">
        <v>84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t="s">
        <v>258</v>
      </c>
      <c r="B26" s="2">
        <v>32483.96</v>
      </c>
      <c r="C26" s="2">
        <v>32973.449999999997</v>
      </c>
      <c r="D26" s="2">
        <v>32964.660000000003</v>
      </c>
      <c r="E26" s="2">
        <v>35514.980000000003</v>
      </c>
      <c r="F26" s="2">
        <v>35014.980000000003</v>
      </c>
      <c r="G26" s="2">
        <v>37514.629999999997</v>
      </c>
      <c r="H26" s="2">
        <v>39117.480000000003</v>
      </c>
      <c r="I26" s="2">
        <v>39759.379999999997</v>
      </c>
      <c r="J26" s="2">
        <v>41084.54</v>
      </c>
      <c r="K26" s="2">
        <v>40584.54</v>
      </c>
      <c r="L26" s="2">
        <v>36362.5</v>
      </c>
      <c r="M26" s="2">
        <v>36292.5</v>
      </c>
      <c r="N26" s="2">
        <v>36042.5</v>
      </c>
      <c r="O26" s="2">
        <v>35992.5</v>
      </c>
      <c r="P26" s="2">
        <v>43791.65</v>
      </c>
      <c r="Q26" s="2">
        <v>36192.5</v>
      </c>
      <c r="R26" s="2">
        <v>36342.5</v>
      </c>
      <c r="S26" s="2">
        <v>36392.5</v>
      </c>
      <c r="T26" s="2">
        <v>36542.5</v>
      </c>
      <c r="U26" s="2">
        <v>46428.42</v>
      </c>
      <c r="V26" s="2">
        <v>36792.5</v>
      </c>
      <c r="W26" s="2">
        <v>36942.5</v>
      </c>
      <c r="X26" s="2">
        <v>36992.5</v>
      </c>
      <c r="Y26" s="2">
        <v>37142.5</v>
      </c>
      <c r="Z26" s="2">
        <v>47978.34</v>
      </c>
      <c r="AA26" s="2">
        <v>37392.5</v>
      </c>
      <c r="AB26" s="2">
        <v>37542.5</v>
      </c>
      <c r="AC26" s="2">
        <v>37592.5</v>
      </c>
      <c r="AD26" s="2">
        <v>37742.5</v>
      </c>
      <c r="AE26" s="2">
        <v>50495.34</v>
      </c>
    </row>
    <row r="27" spans="1:31" x14ac:dyDescent="0.25">
      <c r="A27" t="s">
        <v>259</v>
      </c>
      <c r="B27" s="2">
        <v>8516.0400000000009</v>
      </c>
      <c r="C27" s="2">
        <v>8039.05</v>
      </c>
      <c r="D27" s="2">
        <v>8047.84</v>
      </c>
      <c r="E27" s="2">
        <v>8516.27</v>
      </c>
      <c r="F27" s="2">
        <v>9016.27</v>
      </c>
      <c r="G27" s="2">
        <v>8541.6200000000008</v>
      </c>
      <c r="H27" s="2">
        <v>8913.77</v>
      </c>
      <c r="I27" s="2">
        <v>8878.14</v>
      </c>
      <c r="J27" s="2">
        <v>8966.67</v>
      </c>
      <c r="K27" s="2">
        <v>9660.42</v>
      </c>
      <c r="L27" s="2">
        <v>12962.5</v>
      </c>
      <c r="M27" s="2">
        <v>12757.5</v>
      </c>
      <c r="N27" s="2">
        <v>12732.5</v>
      </c>
      <c r="O27" s="2">
        <v>13007.5</v>
      </c>
      <c r="P27" s="2">
        <v>9279.27</v>
      </c>
      <c r="Q27" s="2">
        <v>13157.5</v>
      </c>
      <c r="R27" s="2">
        <v>13107.5</v>
      </c>
      <c r="S27" s="2">
        <v>13157.5</v>
      </c>
      <c r="T27" s="2">
        <v>13357.5</v>
      </c>
      <c r="U27" s="2">
        <v>9907.6299999999992</v>
      </c>
      <c r="V27" s="2">
        <v>13457.5</v>
      </c>
      <c r="W27" s="2">
        <v>13407.5</v>
      </c>
      <c r="X27" s="2">
        <v>13457.5</v>
      </c>
      <c r="Y27" s="2">
        <v>13657.5</v>
      </c>
      <c r="Z27" s="2">
        <v>9725.44</v>
      </c>
      <c r="AA27" s="2">
        <v>13757.5</v>
      </c>
      <c r="AB27" s="2">
        <v>13707.5</v>
      </c>
      <c r="AC27" s="2">
        <v>13757.5</v>
      </c>
      <c r="AD27" s="2">
        <v>13957.5</v>
      </c>
      <c r="AE27" s="2">
        <v>9907.01</v>
      </c>
    </row>
    <row r="28" spans="1:31" x14ac:dyDescent="0.25">
      <c r="A28" s="3" t="s">
        <v>260</v>
      </c>
      <c r="B28" s="2">
        <v>41000</v>
      </c>
      <c r="C28" s="2">
        <v>41000</v>
      </c>
      <c r="D28" s="2">
        <v>41000</v>
      </c>
      <c r="E28" s="2">
        <v>44000</v>
      </c>
      <c r="F28" s="2">
        <v>44000</v>
      </c>
      <c r="G28" s="2">
        <v>46000</v>
      </c>
      <c r="H28" s="2">
        <v>48000</v>
      </c>
      <c r="I28" s="2">
        <v>48221.88</v>
      </c>
      <c r="J28" s="2">
        <v>49419.05</v>
      </c>
      <c r="K28" s="2">
        <v>49467.49</v>
      </c>
      <c r="L28" s="2">
        <v>50338.89</v>
      </c>
      <c r="M28" s="2">
        <v>50756.67</v>
      </c>
      <c r="N28" s="2">
        <v>50665.440000000002</v>
      </c>
      <c r="O28" s="2">
        <v>51510.57</v>
      </c>
      <c r="P28" s="2">
        <v>53379.92</v>
      </c>
      <c r="Q28" s="2">
        <v>52623.199999999997</v>
      </c>
      <c r="R28" s="2">
        <v>53127.13</v>
      </c>
      <c r="S28" s="2">
        <v>53124.42</v>
      </c>
      <c r="T28" s="2">
        <v>53903.22</v>
      </c>
      <c r="U28" s="2">
        <v>55831.38</v>
      </c>
      <c r="V28" s="2">
        <v>55299.03</v>
      </c>
      <c r="W28" s="2">
        <v>55683.13</v>
      </c>
      <c r="X28" s="2">
        <v>55833.67</v>
      </c>
      <c r="Y28" s="2">
        <v>56514.02</v>
      </c>
      <c r="Z28" s="2">
        <v>58173.93</v>
      </c>
      <c r="AA28" s="2">
        <v>57296.62</v>
      </c>
      <c r="AB28" s="2">
        <v>57502.44</v>
      </c>
      <c r="AC28" s="2">
        <v>57522.14</v>
      </c>
      <c r="AD28" s="2">
        <v>58152.04</v>
      </c>
      <c r="AE28" s="2">
        <v>60193.79</v>
      </c>
    </row>
    <row r="29" spans="1:31" x14ac:dyDescent="0.25">
      <c r="A29" t="s">
        <v>253</v>
      </c>
      <c r="B29" s="2">
        <v>15900</v>
      </c>
      <c r="C29" s="2">
        <v>15950</v>
      </c>
      <c r="D29" s="2">
        <v>16000</v>
      </c>
      <c r="E29" s="2">
        <v>16050</v>
      </c>
      <c r="F29" s="2">
        <v>16050</v>
      </c>
      <c r="G29" s="2">
        <v>17050</v>
      </c>
      <c r="H29" s="2">
        <v>18050</v>
      </c>
      <c r="I29" s="2">
        <v>18100</v>
      </c>
      <c r="J29" s="2">
        <v>18150</v>
      </c>
      <c r="K29" s="2">
        <v>18150</v>
      </c>
      <c r="L29" s="2">
        <v>20150</v>
      </c>
      <c r="M29" s="2">
        <v>20250</v>
      </c>
      <c r="N29" s="2">
        <v>20350</v>
      </c>
      <c r="O29" s="2">
        <v>20450</v>
      </c>
      <c r="P29" s="2">
        <v>18350</v>
      </c>
      <c r="Q29" s="2">
        <v>20550</v>
      </c>
      <c r="R29" s="2">
        <v>20650</v>
      </c>
      <c r="S29" s="2">
        <v>20750</v>
      </c>
      <c r="T29" s="2">
        <v>20850</v>
      </c>
      <c r="U29" s="2">
        <v>18550</v>
      </c>
      <c r="V29" s="2">
        <v>20950</v>
      </c>
      <c r="W29" s="2">
        <v>21050</v>
      </c>
      <c r="X29" s="2">
        <v>21150</v>
      </c>
      <c r="Y29" s="2">
        <v>21250</v>
      </c>
      <c r="Z29" s="2">
        <v>21250</v>
      </c>
      <c r="AA29" s="2">
        <v>21350</v>
      </c>
      <c r="AB29" s="2">
        <v>21450</v>
      </c>
      <c r="AC29" s="2">
        <v>21550</v>
      </c>
      <c r="AD29" s="2">
        <v>21650</v>
      </c>
      <c r="AE29" s="2">
        <v>21650</v>
      </c>
    </row>
    <row r="30" spans="1:31" x14ac:dyDescent="0.25">
      <c r="A30" s="3" t="s">
        <v>261</v>
      </c>
      <c r="B30" s="2">
        <v>47515.33</v>
      </c>
      <c r="C30" s="2">
        <v>47552.83</v>
      </c>
      <c r="D30" s="2">
        <v>47577.83</v>
      </c>
      <c r="E30" s="2">
        <v>49871.58</v>
      </c>
      <c r="F30" s="2">
        <v>48722.26</v>
      </c>
      <c r="G30" s="2">
        <v>51421.58</v>
      </c>
      <c r="H30" s="2">
        <v>52921.58</v>
      </c>
      <c r="I30" s="2">
        <v>53340.33</v>
      </c>
      <c r="J30" s="2">
        <v>53884.08</v>
      </c>
      <c r="K30" s="2">
        <v>52274.76</v>
      </c>
      <c r="L30" s="2">
        <v>51805.65</v>
      </c>
      <c r="M30" s="2">
        <v>52355.65</v>
      </c>
      <c r="N30" s="2">
        <v>52905.65</v>
      </c>
      <c r="O30" s="2">
        <v>53455.65</v>
      </c>
      <c r="P30" s="2">
        <v>58481.01</v>
      </c>
      <c r="Q30" s="2">
        <v>54505.65</v>
      </c>
      <c r="R30" s="2">
        <v>55055.65</v>
      </c>
      <c r="S30" s="2">
        <v>55605.65</v>
      </c>
      <c r="T30" s="2">
        <v>56155.65</v>
      </c>
      <c r="U30" s="2">
        <v>60819.05</v>
      </c>
      <c r="V30" s="2">
        <v>57205.65</v>
      </c>
      <c r="W30" s="2">
        <v>57755.65</v>
      </c>
      <c r="X30" s="2">
        <v>58305.65</v>
      </c>
      <c r="Y30" s="2">
        <v>58855.65</v>
      </c>
      <c r="Z30" s="2">
        <v>58881.45</v>
      </c>
      <c r="AA30" s="2">
        <v>59905.65</v>
      </c>
      <c r="AB30" s="2">
        <v>60455.65</v>
      </c>
      <c r="AC30" s="2">
        <v>61005.65</v>
      </c>
      <c r="AD30" s="2">
        <v>61555.65</v>
      </c>
      <c r="AE30" s="2">
        <v>60710.93</v>
      </c>
    </row>
    <row r="31" spans="1:31" x14ac:dyDescent="0.25">
      <c r="A31" s="3" t="s">
        <v>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t="s">
        <v>262</v>
      </c>
      <c r="B32" s="2">
        <v>5000</v>
      </c>
      <c r="C32" s="2">
        <v>50</v>
      </c>
      <c r="D32" s="2" t="s">
        <v>55</v>
      </c>
      <c r="E32" s="2">
        <v>3000</v>
      </c>
      <c r="F32" s="2">
        <v>8000</v>
      </c>
      <c r="G32" s="2">
        <v>2000</v>
      </c>
      <c r="H32" s="2">
        <v>2000</v>
      </c>
      <c r="I32" s="2">
        <v>285.42</v>
      </c>
      <c r="J32" s="2">
        <v>1368.19</v>
      </c>
      <c r="K32" s="2">
        <v>5334.68</v>
      </c>
      <c r="L32" s="2">
        <v>1107.1400000000001</v>
      </c>
      <c r="M32" s="2">
        <v>537.14</v>
      </c>
      <c r="N32" s="2">
        <v>-117.29</v>
      </c>
      <c r="O32" s="2">
        <v>950.76</v>
      </c>
      <c r="P32" s="2">
        <v>4173.26</v>
      </c>
      <c r="Q32" s="2">
        <v>912.93</v>
      </c>
      <c r="R32" s="2">
        <v>671.91</v>
      </c>
      <c r="S32" s="2">
        <v>-3.62</v>
      </c>
      <c r="T32" s="2">
        <v>778.81</v>
      </c>
      <c r="U32" s="2">
        <v>2614.88</v>
      </c>
      <c r="V32" s="2">
        <v>838.2</v>
      </c>
      <c r="W32" s="2">
        <v>537.74</v>
      </c>
      <c r="X32" s="2">
        <v>210.76</v>
      </c>
      <c r="Y32" s="2">
        <v>680.35</v>
      </c>
      <c r="Z32" s="2">
        <v>2376.09</v>
      </c>
      <c r="AA32" s="2">
        <v>782.6</v>
      </c>
      <c r="AB32" s="2">
        <v>240.13</v>
      </c>
      <c r="AC32" s="2">
        <v>22.98</v>
      </c>
      <c r="AD32" s="2">
        <v>568.22</v>
      </c>
      <c r="AE32" s="2">
        <v>2356.5</v>
      </c>
    </row>
    <row r="33" spans="1:31" x14ac:dyDescent="0.25">
      <c r="A33" s="3" t="s">
        <v>260</v>
      </c>
      <c r="B33" s="2">
        <v>41000</v>
      </c>
      <c r="C33" s="2">
        <v>41000</v>
      </c>
      <c r="D33" s="2">
        <v>41000</v>
      </c>
      <c r="E33" s="2">
        <v>44000</v>
      </c>
      <c r="F33" s="2">
        <v>44000</v>
      </c>
      <c r="G33" s="2">
        <v>46000</v>
      </c>
      <c r="H33" s="2">
        <v>48000</v>
      </c>
      <c r="I33" s="2">
        <v>48221.88</v>
      </c>
      <c r="J33" s="2">
        <v>49419.05</v>
      </c>
      <c r="K33" s="2">
        <v>49467.49</v>
      </c>
      <c r="L33" s="2">
        <v>50338.89</v>
      </c>
      <c r="M33" s="2">
        <v>50756.67</v>
      </c>
      <c r="N33" s="2">
        <v>50665.440000000002</v>
      </c>
      <c r="O33" s="2">
        <v>51510.57</v>
      </c>
      <c r="P33" s="2">
        <v>53379.92</v>
      </c>
      <c r="Q33" s="2">
        <v>52623.199999999997</v>
      </c>
      <c r="R33" s="2">
        <v>53127.13</v>
      </c>
      <c r="S33" s="2">
        <v>53124.42</v>
      </c>
      <c r="T33" s="2">
        <v>53903.22</v>
      </c>
      <c r="U33" s="2">
        <v>55831.38</v>
      </c>
      <c r="V33" s="2">
        <v>55299.03</v>
      </c>
      <c r="W33" s="2">
        <v>55683.13</v>
      </c>
      <c r="X33" s="2">
        <v>55833.67</v>
      </c>
      <c r="Y33" s="2">
        <v>56514.02</v>
      </c>
      <c r="Z33" s="2">
        <v>58173.93</v>
      </c>
      <c r="AA33" s="2">
        <v>57296.62</v>
      </c>
      <c r="AB33" s="2">
        <v>57502.44</v>
      </c>
      <c r="AC33" s="2">
        <v>57522.14</v>
      </c>
      <c r="AD33" s="2">
        <v>58152.04</v>
      </c>
      <c r="AE33" s="2">
        <v>60193.79</v>
      </c>
    </row>
    <row r="34" spans="1:31" x14ac:dyDescent="0.25">
      <c r="A34" t="s">
        <v>263</v>
      </c>
      <c r="B34" s="2">
        <v>38500</v>
      </c>
      <c r="C34" s="2">
        <v>41000</v>
      </c>
      <c r="D34" s="2">
        <v>41000</v>
      </c>
      <c r="E34" s="2">
        <v>42500</v>
      </c>
      <c r="F34" s="2">
        <v>40000</v>
      </c>
      <c r="G34" s="2">
        <v>45000</v>
      </c>
      <c r="H34" s="2">
        <v>47000</v>
      </c>
      <c r="I34" s="2">
        <v>48114.85</v>
      </c>
      <c r="J34" s="2">
        <v>48820.47</v>
      </c>
      <c r="K34" s="2">
        <v>47025.49</v>
      </c>
      <c r="L34" s="2">
        <v>49908.33</v>
      </c>
      <c r="M34" s="2">
        <v>50547.78</v>
      </c>
      <c r="N34" s="2">
        <v>50711.06</v>
      </c>
      <c r="O34" s="2">
        <v>51088.01</v>
      </c>
      <c r="P34" s="2">
        <v>51520.160000000003</v>
      </c>
      <c r="Q34" s="2">
        <v>52223.79</v>
      </c>
      <c r="R34" s="2">
        <v>52875.16</v>
      </c>
      <c r="S34" s="2">
        <v>53125.77</v>
      </c>
      <c r="T34" s="2">
        <v>53513.82</v>
      </c>
      <c r="U34" s="2">
        <v>54699.92</v>
      </c>
      <c r="V34" s="2">
        <v>54879.93</v>
      </c>
      <c r="W34" s="2">
        <v>55491.08</v>
      </c>
      <c r="X34" s="2">
        <v>55758.400000000001</v>
      </c>
      <c r="Y34" s="2">
        <v>56173.85</v>
      </c>
      <c r="Z34" s="2">
        <v>57176.84</v>
      </c>
      <c r="AA34" s="2">
        <v>56905.32</v>
      </c>
      <c r="AB34" s="2">
        <v>57399.53</v>
      </c>
      <c r="AC34" s="2">
        <v>57512.29</v>
      </c>
      <c r="AD34" s="2">
        <v>57837.09</v>
      </c>
      <c r="AE34" s="2">
        <v>59288.88</v>
      </c>
    </row>
    <row r="35" spans="1:31" x14ac:dyDescent="0.25">
      <c r="A35" s="3" t="s">
        <v>84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t="s">
        <v>264</v>
      </c>
      <c r="B36" s="2">
        <v>3775</v>
      </c>
      <c r="C36" s="2">
        <v>75</v>
      </c>
      <c r="D36" s="2">
        <v>100</v>
      </c>
      <c r="E36" s="2">
        <v>3025</v>
      </c>
      <c r="F36" s="2">
        <v>6500</v>
      </c>
      <c r="G36" s="2">
        <v>1550</v>
      </c>
      <c r="H36" s="2">
        <v>1500</v>
      </c>
      <c r="I36" s="2">
        <v>558.33000000000004</v>
      </c>
      <c r="J36" s="2">
        <v>725</v>
      </c>
      <c r="K36" s="2">
        <v>3552.5</v>
      </c>
      <c r="L36" s="2">
        <v>1050</v>
      </c>
      <c r="M36" s="2">
        <v>550</v>
      </c>
      <c r="N36" s="2">
        <v>550</v>
      </c>
      <c r="O36" s="2">
        <v>550</v>
      </c>
      <c r="P36" s="2">
        <v>6206.25</v>
      </c>
      <c r="Q36" s="2">
        <v>1050</v>
      </c>
      <c r="R36" s="2">
        <v>550</v>
      </c>
      <c r="S36" s="2">
        <v>550</v>
      </c>
      <c r="T36" s="2">
        <v>550</v>
      </c>
      <c r="U36" s="2">
        <v>2338.04</v>
      </c>
      <c r="V36" s="2">
        <v>1050</v>
      </c>
      <c r="W36" s="2">
        <v>550</v>
      </c>
      <c r="X36" s="2">
        <v>550</v>
      </c>
      <c r="Y36" s="2">
        <v>550</v>
      </c>
      <c r="Z36" s="2">
        <v>1859.2</v>
      </c>
      <c r="AA36" s="2">
        <v>1050</v>
      </c>
      <c r="AB36" s="2">
        <v>550</v>
      </c>
      <c r="AC36" s="2">
        <v>550</v>
      </c>
      <c r="AD36" s="2">
        <v>550</v>
      </c>
      <c r="AE36" s="2">
        <v>1829.48</v>
      </c>
    </row>
    <row r="37" spans="1:31" x14ac:dyDescent="0.25">
      <c r="A37" s="3" t="s">
        <v>265</v>
      </c>
      <c r="B37" s="2">
        <v>47515.33</v>
      </c>
      <c r="C37" s="2">
        <v>47552.83</v>
      </c>
      <c r="D37" s="2">
        <v>47577.83</v>
      </c>
      <c r="E37" s="2">
        <v>49871.58</v>
      </c>
      <c r="F37" s="2">
        <v>48722.26</v>
      </c>
      <c r="G37" s="2">
        <v>51421.58</v>
      </c>
      <c r="H37" s="2">
        <v>52921.58</v>
      </c>
      <c r="I37" s="2">
        <v>53340.33</v>
      </c>
      <c r="J37" s="2">
        <v>53884.08</v>
      </c>
      <c r="K37" s="2">
        <v>52274.76</v>
      </c>
      <c r="L37" s="2">
        <v>51805.65</v>
      </c>
      <c r="M37" s="2">
        <v>52355.65</v>
      </c>
      <c r="N37" s="2">
        <v>52905.65</v>
      </c>
      <c r="O37" s="2">
        <v>53455.65</v>
      </c>
      <c r="P37" s="2">
        <v>58481.01</v>
      </c>
      <c r="Q37" s="2">
        <v>54505.65</v>
      </c>
      <c r="R37" s="2">
        <v>55055.65</v>
      </c>
      <c r="S37" s="2">
        <v>55605.65</v>
      </c>
      <c r="T37" s="2">
        <v>56155.65</v>
      </c>
      <c r="U37" s="2">
        <v>60819.05</v>
      </c>
      <c r="V37" s="2">
        <v>57205.65</v>
      </c>
      <c r="W37" s="2">
        <v>57755.65</v>
      </c>
      <c r="X37" s="2">
        <v>58305.65</v>
      </c>
      <c r="Y37" s="2">
        <v>58855.65</v>
      </c>
      <c r="Z37" s="2">
        <v>58881.45</v>
      </c>
      <c r="AA37" s="2">
        <v>59905.65</v>
      </c>
      <c r="AB37" s="2">
        <v>60455.65</v>
      </c>
      <c r="AC37" s="2">
        <v>61005.65</v>
      </c>
      <c r="AD37" s="2">
        <v>61555.65</v>
      </c>
      <c r="AE37" s="2">
        <v>60710.93</v>
      </c>
    </row>
    <row r="38" spans="1:31" x14ac:dyDescent="0.25">
      <c r="A38" t="s">
        <v>266</v>
      </c>
      <c r="B38" s="2">
        <v>45419.49</v>
      </c>
      <c r="C38" s="2">
        <v>47534.080000000002</v>
      </c>
      <c r="D38" s="2">
        <v>47565.33</v>
      </c>
      <c r="E38" s="2">
        <v>48724.7</v>
      </c>
      <c r="F38" s="2">
        <v>46438.93</v>
      </c>
      <c r="G38" s="2">
        <v>50563.24</v>
      </c>
      <c r="H38" s="2">
        <v>52171.58</v>
      </c>
      <c r="I38" s="2">
        <v>53130.95</v>
      </c>
      <c r="J38" s="2">
        <v>53612.2</v>
      </c>
      <c r="K38" s="2">
        <v>50755.18</v>
      </c>
      <c r="L38" s="2">
        <v>51113.99</v>
      </c>
      <c r="M38" s="2">
        <v>52080.65</v>
      </c>
      <c r="N38" s="2">
        <v>52630.65</v>
      </c>
      <c r="O38" s="2">
        <v>53180.65</v>
      </c>
      <c r="P38" s="2">
        <v>55584.55</v>
      </c>
      <c r="Q38" s="2">
        <v>53813.99</v>
      </c>
      <c r="R38" s="2">
        <v>54780.65</v>
      </c>
      <c r="S38" s="2">
        <v>55330.65</v>
      </c>
      <c r="T38" s="2">
        <v>55880.65</v>
      </c>
      <c r="U38" s="2">
        <v>59856.7</v>
      </c>
      <c r="V38" s="2">
        <v>56513.99</v>
      </c>
      <c r="W38" s="2">
        <v>57480.65</v>
      </c>
      <c r="X38" s="2">
        <v>58030.65</v>
      </c>
      <c r="Y38" s="2">
        <v>58580.65</v>
      </c>
      <c r="Z38" s="2">
        <v>58210.19</v>
      </c>
      <c r="AA38" s="2">
        <v>59213.99</v>
      </c>
      <c r="AB38" s="2">
        <v>60180.65</v>
      </c>
      <c r="AC38" s="2">
        <v>60730.65</v>
      </c>
      <c r="AD38" s="2">
        <v>61280.65</v>
      </c>
      <c r="AE38" s="2">
        <v>60054.53</v>
      </c>
    </row>
    <row r="39" spans="1:31" x14ac:dyDescent="0.25">
      <c r="A39" t="s">
        <v>267</v>
      </c>
      <c r="B39" s="2">
        <v>9.86</v>
      </c>
      <c r="C39" s="2">
        <v>9.4499999999999993</v>
      </c>
      <c r="D39" s="2">
        <v>10.45</v>
      </c>
      <c r="E39" s="2">
        <v>12.14</v>
      </c>
      <c r="F39" s="2">
        <v>10.58</v>
      </c>
      <c r="G39" s="2">
        <v>15</v>
      </c>
      <c r="H39" s="2">
        <v>13.11</v>
      </c>
      <c r="I39" s="2">
        <v>12.79</v>
      </c>
      <c r="J39" s="2">
        <v>13.12</v>
      </c>
      <c r="K39" s="2">
        <v>13.74</v>
      </c>
      <c r="L39" s="2">
        <v>15.12</v>
      </c>
      <c r="M39" s="2">
        <v>14.61</v>
      </c>
      <c r="N39" s="2">
        <v>14.65</v>
      </c>
      <c r="O39" s="2">
        <v>15.31</v>
      </c>
      <c r="P39" s="2">
        <v>14.26</v>
      </c>
      <c r="Q39" s="2">
        <v>15.75</v>
      </c>
      <c r="R39" s="2">
        <v>15.25</v>
      </c>
      <c r="S39" s="2">
        <v>16.98</v>
      </c>
      <c r="T39" s="2">
        <v>16.05</v>
      </c>
      <c r="U39" s="2">
        <v>15.17</v>
      </c>
      <c r="V39" s="2">
        <v>16.899999999999999</v>
      </c>
      <c r="W39" s="2">
        <v>15.8</v>
      </c>
      <c r="X39" s="2">
        <v>15.79</v>
      </c>
      <c r="Y39" s="2">
        <v>16.489999999999998</v>
      </c>
      <c r="Z39" s="2">
        <v>16.5</v>
      </c>
      <c r="AA39" s="2">
        <v>18.59</v>
      </c>
      <c r="AB39" s="2">
        <v>16.73</v>
      </c>
      <c r="AC39" s="2">
        <v>16.600000000000001</v>
      </c>
      <c r="AD39" s="2">
        <v>17.18</v>
      </c>
      <c r="AE39" s="2">
        <v>17.46</v>
      </c>
    </row>
    <row r="40" spans="1:31" x14ac:dyDescent="0.25">
      <c r="A40" s="3" t="s">
        <v>268</v>
      </c>
      <c r="B40" s="2">
        <v>1226</v>
      </c>
      <c r="C40" s="2">
        <v>1232</v>
      </c>
      <c r="D40" s="2">
        <v>1363</v>
      </c>
      <c r="E40" s="2">
        <v>1628</v>
      </c>
      <c r="F40" s="2">
        <v>5449</v>
      </c>
      <c r="G40" s="2">
        <v>2099</v>
      </c>
      <c r="H40" s="2">
        <v>1895</v>
      </c>
      <c r="I40" s="2">
        <v>1853.56</v>
      </c>
      <c r="J40" s="2">
        <v>2014.04</v>
      </c>
      <c r="K40" s="2">
        <v>7861.6</v>
      </c>
      <c r="L40" s="2">
        <v>2201.9499999999998</v>
      </c>
      <c r="M40" s="2">
        <v>2089.96</v>
      </c>
      <c r="N40" s="2">
        <v>2080.62</v>
      </c>
      <c r="O40" s="2">
        <v>2241.2199999999998</v>
      </c>
      <c r="P40" s="2">
        <v>8763.15</v>
      </c>
      <c r="Q40" s="2">
        <v>2430</v>
      </c>
      <c r="R40" s="2">
        <v>2299.73</v>
      </c>
      <c r="S40" s="2">
        <v>2486.67</v>
      </c>
      <c r="T40" s="2">
        <v>2465.75</v>
      </c>
      <c r="U40" s="2">
        <v>9879.9699999999993</v>
      </c>
      <c r="V40" s="2">
        <v>2601.5500000000002</v>
      </c>
      <c r="W40" s="2">
        <v>2441.77</v>
      </c>
      <c r="X40" s="2">
        <v>2447.87</v>
      </c>
      <c r="Y40" s="2">
        <v>2610.06</v>
      </c>
      <c r="Z40" s="2">
        <v>10567.42</v>
      </c>
      <c r="AA40" s="2">
        <v>2922.68</v>
      </c>
      <c r="AB40" s="2">
        <v>2647.11</v>
      </c>
      <c r="AC40" s="2">
        <v>2633.82</v>
      </c>
      <c r="AD40" s="2">
        <v>2789.32</v>
      </c>
      <c r="AE40" s="2">
        <v>11479.93</v>
      </c>
    </row>
    <row r="41" spans="1:31" x14ac:dyDescent="0.25">
      <c r="A41" s="3" t="s">
        <v>84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5">
      <c r="A42" t="s">
        <v>269</v>
      </c>
      <c r="B42" s="2">
        <v>414</v>
      </c>
      <c r="C42" s="2">
        <v>427</v>
      </c>
      <c r="D42" s="2">
        <v>477</v>
      </c>
      <c r="E42" s="2">
        <v>564</v>
      </c>
      <c r="F42" s="2">
        <v>1882</v>
      </c>
      <c r="G42" s="2">
        <v>901</v>
      </c>
      <c r="H42" s="2">
        <v>717</v>
      </c>
      <c r="I42" s="2">
        <v>641.39</v>
      </c>
      <c r="J42" s="2">
        <v>673.39</v>
      </c>
      <c r="K42" s="2">
        <v>2932.79</v>
      </c>
      <c r="L42" s="2">
        <v>757.79</v>
      </c>
      <c r="M42" s="2">
        <v>697.3</v>
      </c>
      <c r="N42" s="2">
        <v>671.03</v>
      </c>
      <c r="O42" s="2">
        <v>720.11</v>
      </c>
      <c r="P42" s="2">
        <v>3037.48</v>
      </c>
      <c r="Q42" s="2">
        <v>826.6</v>
      </c>
      <c r="R42" s="2">
        <v>761.26</v>
      </c>
      <c r="S42" s="2">
        <v>928.93</v>
      </c>
      <c r="T42" s="2">
        <v>784.82</v>
      </c>
      <c r="U42" s="2">
        <v>3482.66</v>
      </c>
      <c r="V42" s="2">
        <v>878.47</v>
      </c>
      <c r="W42" s="2">
        <v>800.18</v>
      </c>
      <c r="X42" s="2">
        <v>785.76</v>
      </c>
      <c r="Y42" s="2">
        <v>832.89</v>
      </c>
      <c r="Z42" s="2">
        <v>3631.28</v>
      </c>
      <c r="AA42" s="2">
        <v>1065.1500000000001</v>
      </c>
      <c r="AB42" s="2">
        <v>882.87</v>
      </c>
      <c r="AC42" s="2">
        <v>852.22</v>
      </c>
      <c r="AD42" s="2">
        <v>887.66</v>
      </c>
      <c r="AE42" s="2">
        <v>3989.27</v>
      </c>
    </row>
    <row r="43" spans="1:31" x14ac:dyDescent="0.25">
      <c r="A43" t="s">
        <v>270</v>
      </c>
      <c r="B43" s="2">
        <v>763</v>
      </c>
      <c r="C43" s="2">
        <v>759</v>
      </c>
      <c r="D43" s="2">
        <v>843</v>
      </c>
      <c r="E43" s="2">
        <v>1013</v>
      </c>
      <c r="F43" s="2">
        <v>3378</v>
      </c>
      <c r="G43" s="2">
        <v>1151</v>
      </c>
      <c r="H43" s="2">
        <v>1155</v>
      </c>
      <c r="I43" s="2">
        <v>1169.5</v>
      </c>
      <c r="J43" s="2">
        <v>1292.5999999999999</v>
      </c>
      <c r="K43" s="2">
        <v>4768.1000000000004</v>
      </c>
      <c r="L43" s="2">
        <v>1365.64</v>
      </c>
      <c r="M43" s="2">
        <v>1334.39</v>
      </c>
      <c r="N43" s="2">
        <v>1333.94</v>
      </c>
      <c r="O43" s="2">
        <v>1442.22</v>
      </c>
      <c r="P43" s="2">
        <v>5485.98</v>
      </c>
      <c r="Q43" s="2">
        <v>1517.48</v>
      </c>
      <c r="R43" s="2">
        <v>1476.71</v>
      </c>
      <c r="S43" s="2">
        <v>1475.14</v>
      </c>
      <c r="T43" s="2">
        <v>1594.67</v>
      </c>
      <c r="U43" s="2">
        <v>6153.49</v>
      </c>
      <c r="V43" s="2">
        <v>1629.55</v>
      </c>
      <c r="W43" s="2">
        <v>1574.01</v>
      </c>
      <c r="X43" s="2">
        <v>1571.74</v>
      </c>
      <c r="Y43" s="2">
        <v>1683.45</v>
      </c>
      <c r="Z43" s="2">
        <v>6672.01</v>
      </c>
      <c r="AA43" s="2">
        <v>1760.76</v>
      </c>
      <c r="AB43" s="2">
        <v>1694.76</v>
      </c>
      <c r="AC43" s="2">
        <v>1688.19</v>
      </c>
      <c r="AD43" s="2">
        <v>1804.7</v>
      </c>
      <c r="AE43" s="2">
        <v>7215.17</v>
      </c>
    </row>
    <row r="44" spans="1:31" x14ac:dyDescent="0.25">
      <c r="A44" t="s">
        <v>271</v>
      </c>
      <c r="B44" s="2">
        <v>49</v>
      </c>
      <c r="C44" s="2">
        <v>46</v>
      </c>
      <c r="D44" s="2">
        <v>43</v>
      </c>
      <c r="E44" s="2">
        <v>51</v>
      </c>
      <c r="F44" s="2">
        <v>189</v>
      </c>
      <c r="G44" s="2">
        <v>47</v>
      </c>
      <c r="H44" s="2">
        <v>23</v>
      </c>
      <c r="I44" s="2">
        <v>42.79</v>
      </c>
      <c r="J44" s="2">
        <v>48.02</v>
      </c>
      <c r="K44" s="2">
        <v>160.81</v>
      </c>
      <c r="L44" s="2">
        <v>78.53</v>
      </c>
      <c r="M44" s="2">
        <v>58.28</v>
      </c>
      <c r="N44" s="2">
        <v>75.650000000000006</v>
      </c>
      <c r="O44" s="2">
        <v>78.89</v>
      </c>
      <c r="P44" s="2">
        <v>243.98</v>
      </c>
      <c r="Q44" s="2">
        <v>85.91</v>
      </c>
      <c r="R44" s="2">
        <v>61.76</v>
      </c>
      <c r="S44" s="2">
        <v>82.6</v>
      </c>
      <c r="T44" s="2">
        <v>86.26</v>
      </c>
      <c r="U44" s="2">
        <v>247.23</v>
      </c>
      <c r="V44" s="2">
        <v>93.52</v>
      </c>
      <c r="W44" s="2">
        <v>67.58</v>
      </c>
      <c r="X44" s="2">
        <v>90.37</v>
      </c>
      <c r="Y44" s="2">
        <v>93.72</v>
      </c>
      <c r="Z44" s="2">
        <v>268.13</v>
      </c>
      <c r="AA44" s="2">
        <v>96.76</v>
      </c>
      <c r="AB44" s="2">
        <v>69.48</v>
      </c>
      <c r="AC44" s="2">
        <v>93.41</v>
      </c>
      <c r="AD44" s="2">
        <v>96.95</v>
      </c>
      <c r="AE44" s="2">
        <v>278.75</v>
      </c>
    </row>
    <row r="45" spans="1:31" x14ac:dyDescent="0.25">
      <c r="A45" s="3" t="s">
        <v>268</v>
      </c>
      <c r="B45" s="2">
        <v>1226</v>
      </c>
      <c r="C45" s="2">
        <v>1232</v>
      </c>
      <c r="D45" s="2">
        <v>1363</v>
      </c>
      <c r="E45" s="2">
        <v>1628</v>
      </c>
      <c r="F45" s="2">
        <v>5449</v>
      </c>
      <c r="G45" s="2">
        <v>2099</v>
      </c>
      <c r="H45" s="2">
        <v>1895</v>
      </c>
      <c r="I45" s="2">
        <v>1853.56</v>
      </c>
      <c r="J45" s="2">
        <v>2014.04</v>
      </c>
      <c r="K45" s="2">
        <v>7861.6</v>
      </c>
      <c r="L45" s="2">
        <v>2201.9499999999998</v>
      </c>
      <c r="M45" s="2">
        <v>2089.96</v>
      </c>
      <c r="N45" s="2">
        <v>2080.62</v>
      </c>
      <c r="O45" s="2">
        <v>2241.2199999999998</v>
      </c>
      <c r="P45" s="2">
        <v>8763.15</v>
      </c>
      <c r="Q45" s="2">
        <v>2430</v>
      </c>
      <c r="R45" s="2">
        <v>2299.73</v>
      </c>
      <c r="S45" s="2">
        <v>2486.67</v>
      </c>
      <c r="T45" s="2">
        <v>2465.75</v>
      </c>
      <c r="U45" s="2">
        <v>9879.9699999999993</v>
      </c>
      <c r="V45" s="2">
        <v>2601.5500000000002</v>
      </c>
      <c r="W45" s="2">
        <v>2441.77</v>
      </c>
      <c r="X45" s="2">
        <v>2447.87</v>
      </c>
      <c r="Y45" s="2">
        <v>2610.06</v>
      </c>
      <c r="Z45" s="2">
        <v>10567.42</v>
      </c>
      <c r="AA45" s="2">
        <v>2922.68</v>
      </c>
      <c r="AB45" s="2">
        <v>2647.11</v>
      </c>
      <c r="AC45" s="2">
        <v>2633.82</v>
      </c>
      <c r="AD45" s="2">
        <v>2789.32</v>
      </c>
      <c r="AE45" s="2">
        <v>11479.93</v>
      </c>
    </row>
    <row r="46" spans="1:31" x14ac:dyDescent="0.25">
      <c r="A46" t="s">
        <v>272</v>
      </c>
      <c r="B46" s="2">
        <v>976</v>
      </c>
      <c r="C46" s="2">
        <v>883</v>
      </c>
      <c r="D46" s="2">
        <v>1115</v>
      </c>
      <c r="E46" s="2">
        <v>1552</v>
      </c>
      <c r="F46" s="2">
        <v>4526</v>
      </c>
      <c r="G46" s="2">
        <v>1945</v>
      </c>
      <c r="H46" s="2">
        <v>1184</v>
      </c>
      <c r="I46" s="2">
        <v>1194.97</v>
      </c>
      <c r="J46" s="2">
        <v>1580.49</v>
      </c>
      <c r="K46" s="2">
        <v>5904.46</v>
      </c>
      <c r="L46" s="2">
        <v>1831.2</v>
      </c>
      <c r="M46" s="2">
        <v>1249.6099999999999</v>
      </c>
      <c r="N46" s="2">
        <v>1258.05</v>
      </c>
      <c r="O46" s="2">
        <v>1667.48</v>
      </c>
      <c r="P46" s="2">
        <v>6090.14</v>
      </c>
      <c r="Q46" s="2">
        <v>1951.11</v>
      </c>
      <c r="R46" s="2">
        <v>1320.33</v>
      </c>
      <c r="S46" s="2">
        <v>1589.26</v>
      </c>
      <c r="T46" s="2">
        <v>1767.05</v>
      </c>
      <c r="U46" s="2">
        <v>6636.7</v>
      </c>
      <c r="V46" s="2">
        <v>2082.5500000000002</v>
      </c>
      <c r="W46" s="2">
        <v>1391.2</v>
      </c>
      <c r="X46" s="2">
        <v>1394.13</v>
      </c>
      <c r="Y46" s="2">
        <v>1826.5</v>
      </c>
      <c r="Z46" s="2">
        <v>6796.51</v>
      </c>
      <c r="AA46" s="2">
        <v>2219.11</v>
      </c>
      <c r="AB46" s="2">
        <v>1457.92</v>
      </c>
      <c r="AC46" s="2">
        <v>1460.1</v>
      </c>
      <c r="AD46" s="2">
        <v>1913.77</v>
      </c>
      <c r="AE46" s="2">
        <v>7169.45</v>
      </c>
    </row>
    <row r="47" spans="1:31" x14ac:dyDescent="0.25">
      <c r="A47" t="s">
        <v>273</v>
      </c>
      <c r="B47" s="2">
        <v>464</v>
      </c>
      <c r="C47" s="2">
        <v>449</v>
      </c>
      <c r="D47" s="2">
        <v>465</v>
      </c>
      <c r="E47" s="2">
        <v>629</v>
      </c>
      <c r="F47" s="2">
        <v>2007</v>
      </c>
      <c r="G47" s="2">
        <v>586</v>
      </c>
      <c r="H47" s="2">
        <v>521</v>
      </c>
      <c r="I47" s="2">
        <v>484.45</v>
      </c>
      <c r="J47" s="2">
        <v>614.21</v>
      </c>
      <c r="K47" s="2">
        <v>2204.5</v>
      </c>
      <c r="L47" s="2">
        <v>562.34</v>
      </c>
      <c r="M47" s="2">
        <v>515.35</v>
      </c>
      <c r="N47" s="2">
        <v>498.21</v>
      </c>
      <c r="O47" s="2">
        <v>614.11</v>
      </c>
      <c r="P47" s="2">
        <v>2262.69</v>
      </c>
      <c r="Q47" s="2">
        <v>586.91</v>
      </c>
      <c r="R47" s="2">
        <v>528.13</v>
      </c>
      <c r="S47" s="2">
        <v>524.57000000000005</v>
      </c>
      <c r="T47" s="2">
        <v>626.54</v>
      </c>
      <c r="U47" s="2">
        <v>2366.31</v>
      </c>
      <c r="V47" s="2">
        <v>586.97</v>
      </c>
      <c r="W47" s="2">
        <v>529.13</v>
      </c>
      <c r="X47" s="2">
        <v>519.33000000000004</v>
      </c>
      <c r="Y47" s="2">
        <v>622.55999999999995</v>
      </c>
      <c r="Z47" s="2">
        <v>2407.7199999999998</v>
      </c>
      <c r="AA47" s="2">
        <v>603.78</v>
      </c>
      <c r="AB47" s="2">
        <v>543.69000000000005</v>
      </c>
      <c r="AC47" s="2">
        <v>533.55999999999995</v>
      </c>
      <c r="AD47" s="2">
        <v>640.46</v>
      </c>
      <c r="AE47" s="2">
        <v>2488.23</v>
      </c>
    </row>
    <row r="48" spans="1:31" x14ac:dyDescent="0.25">
      <c r="A48" s="3" t="s">
        <v>274</v>
      </c>
      <c r="B48" s="2">
        <v>1440</v>
      </c>
      <c r="C48" s="2">
        <v>1332</v>
      </c>
      <c r="D48" s="2">
        <v>1580</v>
      </c>
      <c r="E48" s="2">
        <v>2181</v>
      </c>
      <c r="F48" s="2">
        <v>6533</v>
      </c>
      <c r="G48" s="2">
        <v>2531</v>
      </c>
      <c r="H48" s="2">
        <v>1705</v>
      </c>
      <c r="I48" s="2">
        <v>1668.42</v>
      </c>
      <c r="J48" s="2">
        <v>2184.42</v>
      </c>
      <c r="K48" s="2">
        <v>8088.09</v>
      </c>
      <c r="L48" s="2">
        <v>2393.54</v>
      </c>
      <c r="M48" s="2">
        <v>1764.96</v>
      </c>
      <c r="N48" s="2">
        <v>1756.27</v>
      </c>
      <c r="O48" s="2">
        <v>2281.59</v>
      </c>
      <c r="P48" s="2">
        <v>8394.73</v>
      </c>
      <c r="Q48" s="2">
        <v>2538.02</v>
      </c>
      <c r="R48" s="2">
        <v>1848.45</v>
      </c>
      <c r="S48" s="2">
        <v>2113.83</v>
      </c>
      <c r="T48" s="2">
        <v>2393.59</v>
      </c>
      <c r="U48" s="2">
        <v>9073.02</v>
      </c>
      <c r="V48" s="2">
        <v>2669.52</v>
      </c>
      <c r="W48" s="2">
        <v>1920.34</v>
      </c>
      <c r="X48" s="2">
        <v>1913.46</v>
      </c>
      <c r="Y48" s="2">
        <v>2449.06</v>
      </c>
      <c r="Z48" s="2">
        <v>9437.99</v>
      </c>
      <c r="AA48" s="2">
        <v>2822.89</v>
      </c>
      <c r="AB48" s="2">
        <v>2001.62</v>
      </c>
      <c r="AC48" s="2">
        <v>1993.67</v>
      </c>
      <c r="AD48" s="2">
        <v>2554.23</v>
      </c>
      <c r="AE48" s="2">
        <v>10029.34</v>
      </c>
    </row>
    <row r="49" spans="1:31" x14ac:dyDescent="0.25">
      <c r="A49" s="3" t="s">
        <v>275</v>
      </c>
      <c r="B49" s="2">
        <v>-214</v>
      </c>
      <c r="C49" s="2">
        <v>-101</v>
      </c>
      <c r="D49" s="2">
        <v>-217</v>
      </c>
      <c r="E49" s="2">
        <v>-552</v>
      </c>
      <c r="F49" s="2">
        <v>-1084</v>
      </c>
      <c r="G49" s="2">
        <v>-432</v>
      </c>
      <c r="H49" s="2">
        <v>189</v>
      </c>
      <c r="I49" s="2">
        <v>181.39</v>
      </c>
      <c r="J49" s="2">
        <v>-175.06</v>
      </c>
      <c r="K49" s="2">
        <v>-232.35</v>
      </c>
      <c r="L49" s="2">
        <v>-200.59</v>
      </c>
      <c r="M49" s="2">
        <v>327.8</v>
      </c>
      <c r="N49" s="2">
        <v>324.36</v>
      </c>
      <c r="O49" s="2">
        <v>-40.36</v>
      </c>
      <c r="P49" s="2">
        <v>359.59</v>
      </c>
      <c r="Q49" s="2">
        <v>-108.03</v>
      </c>
      <c r="R49" s="2">
        <v>451.28</v>
      </c>
      <c r="S49" s="2">
        <v>372.83</v>
      </c>
      <c r="T49" s="2">
        <v>72.17</v>
      </c>
      <c r="U49" s="2">
        <v>799.19</v>
      </c>
      <c r="V49" s="2">
        <v>-67.97</v>
      </c>
      <c r="W49" s="2">
        <v>521.42999999999995</v>
      </c>
      <c r="X49" s="2">
        <v>534.41</v>
      </c>
      <c r="Y49" s="2">
        <v>160.99</v>
      </c>
      <c r="Z49" s="2">
        <v>1129.43</v>
      </c>
      <c r="AA49" s="2">
        <v>99.78</v>
      </c>
      <c r="AB49" s="2">
        <v>645.49</v>
      </c>
      <c r="AC49" s="2">
        <v>640.15</v>
      </c>
      <c r="AD49" s="2">
        <v>235.09</v>
      </c>
      <c r="AE49" s="2">
        <v>1450.59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C67F-0050-4B1E-BE3D-057B2F2CCA94}">
  <dimension ref="A2:AE52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276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t="s">
        <v>277</v>
      </c>
      <c r="B16" s="2">
        <v>7826</v>
      </c>
      <c r="C16" s="2">
        <v>8148</v>
      </c>
      <c r="D16" s="2">
        <v>8527</v>
      </c>
      <c r="E16" s="2">
        <v>8941</v>
      </c>
      <c r="F16" s="2">
        <v>7826</v>
      </c>
      <c r="G16" s="2">
        <v>9305</v>
      </c>
      <c r="H16" s="2">
        <v>9739</v>
      </c>
      <c r="I16" s="2">
        <v>10187.08</v>
      </c>
      <c r="J16" s="2">
        <v>10585.54</v>
      </c>
      <c r="K16" s="2">
        <v>9304.94</v>
      </c>
      <c r="L16" s="2">
        <v>10970.3</v>
      </c>
      <c r="M16" s="2">
        <v>11352.17</v>
      </c>
      <c r="N16" s="2">
        <v>11741.5</v>
      </c>
      <c r="O16" s="2">
        <v>12118.03</v>
      </c>
      <c r="P16" s="2">
        <v>10972.49</v>
      </c>
      <c r="Q16" s="2">
        <v>12468.98</v>
      </c>
      <c r="R16" s="2">
        <v>12823.06</v>
      </c>
      <c r="S16" s="2">
        <v>13200.51</v>
      </c>
      <c r="T16" s="2">
        <v>13557.76</v>
      </c>
      <c r="U16" s="2">
        <v>12479.19</v>
      </c>
      <c r="V16" s="2">
        <v>13904.77</v>
      </c>
      <c r="W16" s="2">
        <v>14235.31</v>
      </c>
      <c r="X16" s="2">
        <v>14601.13</v>
      </c>
      <c r="Y16" s="2">
        <v>14942.62</v>
      </c>
      <c r="Z16" s="2">
        <v>13860.71</v>
      </c>
      <c r="AA16" s="2">
        <v>15274.73</v>
      </c>
      <c r="AB16" s="2">
        <v>15593.72</v>
      </c>
      <c r="AC16" s="2">
        <v>15951.35</v>
      </c>
      <c r="AD16" s="2">
        <v>16288.43</v>
      </c>
      <c r="AE16" s="2">
        <v>15130.43</v>
      </c>
    </row>
    <row r="17" spans="1:31" x14ac:dyDescent="0.25">
      <c r="A17" t="s">
        <v>278</v>
      </c>
      <c r="B17" s="2">
        <v>625.89</v>
      </c>
      <c r="C17" s="2">
        <v>696.78</v>
      </c>
      <c r="D17" s="2">
        <v>695.87</v>
      </c>
      <c r="E17" s="2">
        <v>714.9</v>
      </c>
      <c r="F17" s="2">
        <v>2776.82</v>
      </c>
      <c r="G17" s="2">
        <v>791.53</v>
      </c>
      <c r="H17" s="2">
        <v>824.17</v>
      </c>
      <c r="I17" s="2">
        <v>795.99</v>
      </c>
      <c r="J17" s="2">
        <v>803.64</v>
      </c>
      <c r="K17" s="2">
        <v>3215.33</v>
      </c>
      <c r="L17" s="2">
        <v>775.71</v>
      </c>
      <c r="M17" s="2">
        <v>830.43</v>
      </c>
      <c r="N17" s="2">
        <v>815.09</v>
      </c>
      <c r="O17" s="2">
        <v>841.92</v>
      </c>
      <c r="P17" s="2">
        <v>3353.21</v>
      </c>
      <c r="Q17" s="2">
        <v>790.01</v>
      </c>
      <c r="R17" s="2">
        <v>867.91</v>
      </c>
      <c r="S17" s="2">
        <v>849.77</v>
      </c>
      <c r="T17" s="2">
        <v>877.87</v>
      </c>
      <c r="U17" s="2">
        <v>3181.33</v>
      </c>
      <c r="V17" s="2">
        <v>820.56</v>
      </c>
      <c r="W17" s="2">
        <v>904.37</v>
      </c>
      <c r="X17" s="2">
        <v>883.56</v>
      </c>
      <c r="Y17" s="2">
        <v>912.82</v>
      </c>
      <c r="Z17" s="2">
        <v>3641.85</v>
      </c>
      <c r="AA17" s="2">
        <v>864.85</v>
      </c>
      <c r="AB17" s="2">
        <v>955.04</v>
      </c>
      <c r="AC17" s="2">
        <v>932.2</v>
      </c>
      <c r="AD17" s="2">
        <v>963.27</v>
      </c>
      <c r="AE17" s="2">
        <v>3800.68</v>
      </c>
    </row>
    <row r="18" spans="1:31" x14ac:dyDescent="0.25">
      <c r="A18" t="s">
        <v>279</v>
      </c>
      <c r="B18" s="2">
        <v>303.27999999999997</v>
      </c>
      <c r="C18" s="2">
        <v>318.33</v>
      </c>
      <c r="D18" s="2">
        <v>281.87</v>
      </c>
      <c r="E18" s="2">
        <v>350.96</v>
      </c>
      <c r="F18" s="2">
        <v>1297.82</v>
      </c>
      <c r="G18" s="2">
        <v>356.92</v>
      </c>
      <c r="H18" s="2">
        <v>376.22</v>
      </c>
      <c r="I18" s="2">
        <v>394.77</v>
      </c>
      <c r="J18" s="2">
        <v>416.13</v>
      </c>
      <c r="K18" s="2">
        <v>1346.47</v>
      </c>
      <c r="L18" s="2">
        <v>410.01</v>
      </c>
      <c r="M18" s="2">
        <v>423.49</v>
      </c>
      <c r="N18" s="2">
        <v>438.36</v>
      </c>
      <c r="O18" s="2">
        <v>470.1</v>
      </c>
      <c r="P18" s="2">
        <v>1793.67</v>
      </c>
      <c r="Q18" s="2">
        <v>464.11</v>
      </c>
      <c r="R18" s="2">
        <v>476.07</v>
      </c>
      <c r="S18" s="2">
        <v>490.37</v>
      </c>
      <c r="T18" s="2">
        <v>523.23</v>
      </c>
      <c r="U18" s="2">
        <v>1726.08</v>
      </c>
      <c r="V18" s="2">
        <v>514.67999999999995</v>
      </c>
      <c r="W18" s="2">
        <v>525.89</v>
      </c>
      <c r="X18" s="2">
        <v>539.69000000000005</v>
      </c>
      <c r="Y18" s="2">
        <v>573.6</v>
      </c>
      <c r="Z18" s="2">
        <v>2271.29</v>
      </c>
      <c r="AA18" s="2">
        <v>562.67999999999995</v>
      </c>
      <c r="AB18" s="2">
        <v>573.79999999999995</v>
      </c>
      <c r="AC18" s="2">
        <v>587.71</v>
      </c>
      <c r="AD18" s="2">
        <v>623.36</v>
      </c>
      <c r="AE18" s="2">
        <v>2494.19</v>
      </c>
    </row>
    <row r="19" spans="1:31" x14ac:dyDescent="0.25">
      <c r="A19" t="s">
        <v>280</v>
      </c>
      <c r="B19" s="2">
        <v>1.3299999999999999E-2</v>
      </c>
      <c r="C19" s="2">
        <v>1.3299999999999999E-2</v>
      </c>
      <c r="D19" s="2">
        <v>1.11E-2</v>
      </c>
      <c r="E19" s="2">
        <v>1.34E-2</v>
      </c>
      <c r="F19" s="2">
        <v>1.29E-2</v>
      </c>
      <c r="G19" s="2">
        <v>1.3100000000000001E-2</v>
      </c>
      <c r="H19" s="2">
        <v>1.3100000000000001E-2</v>
      </c>
      <c r="I19" s="2">
        <v>1.32E-2</v>
      </c>
      <c r="J19" s="2">
        <v>1.34E-2</v>
      </c>
      <c r="K19" s="2">
        <v>1.2999999999999999E-2</v>
      </c>
      <c r="L19" s="2">
        <v>1.23E-2</v>
      </c>
      <c r="M19" s="2">
        <v>1.23E-2</v>
      </c>
      <c r="N19" s="2">
        <v>1.23E-2</v>
      </c>
      <c r="O19" s="2">
        <v>1.2800000000000001E-2</v>
      </c>
      <c r="P19" s="2">
        <v>1.3299999999999999E-2</v>
      </c>
      <c r="Q19" s="2">
        <v>1.2200000000000001E-2</v>
      </c>
      <c r="R19" s="2">
        <v>1.2200000000000001E-2</v>
      </c>
      <c r="S19" s="2">
        <v>1.2200000000000001E-2</v>
      </c>
      <c r="T19" s="2">
        <v>1.2699999999999999E-2</v>
      </c>
      <c r="U19" s="2">
        <v>1.0699999999999999E-2</v>
      </c>
      <c r="V19" s="2">
        <v>1.2200000000000001E-2</v>
      </c>
      <c r="W19" s="2">
        <v>1.2200000000000001E-2</v>
      </c>
      <c r="X19" s="2">
        <v>1.2200000000000001E-2</v>
      </c>
      <c r="Y19" s="2">
        <v>1.2699999999999999E-2</v>
      </c>
      <c r="Z19" s="2">
        <v>1.35E-2</v>
      </c>
      <c r="AA19" s="2">
        <v>1.2200000000000001E-2</v>
      </c>
      <c r="AB19" s="2">
        <v>1.2200000000000001E-2</v>
      </c>
      <c r="AC19" s="2">
        <v>1.2200000000000001E-2</v>
      </c>
      <c r="AD19" s="2">
        <v>1.26E-2</v>
      </c>
      <c r="AE19" s="2">
        <v>1.3599999999999999E-2</v>
      </c>
    </row>
    <row r="20" spans="1:31" x14ac:dyDescent="0.25">
      <c r="A20" t="s">
        <v>281</v>
      </c>
      <c r="B20" s="2">
        <v>322</v>
      </c>
      <c r="C20" s="2">
        <v>379</v>
      </c>
      <c r="D20" s="2">
        <v>414</v>
      </c>
      <c r="E20" s="2">
        <v>364</v>
      </c>
      <c r="F20" s="2">
        <v>1479</v>
      </c>
      <c r="G20" s="2">
        <v>434</v>
      </c>
      <c r="H20" s="2">
        <v>448</v>
      </c>
      <c r="I20" s="2">
        <v>399.29</v>
      </c>
      <c r="J20" s="2">
        <v>386.04</v>
      </c>
      <c r="K20" s="2">
        <v>1667.8</v>
      </c>
      <c r="L20" s="2">
        <v>381.87</v>
      </c>
      <c r="M20" s="2">
        <v>389.33</v>
      </c>
      <c r="N20" s="2">
        <v>376.53</v>
      </c>
      <c r="O20" s="2">
        <v>362.86</v>
      </c>
      <c r="P20" s="2">
        <v>1517.66</v>
      </c>
      <c r="Q20" s="2">
        <v>354.08</v>
      </c>
      <c r="R20" s="2">
        <v>377.45</v>
      </c>
      <c r="S20" s="2">
        <v>357.25</v>
      </c>
      <c r="T20" s="2">
        <v>341.04</v>
      </c>
      <c r="U20" s="2">
        <v>1381.28</v>
      </c>
      <c r="V20" s="2">
        <v>330.54</v>
      </c>
      <c r="W20" s="2">
        <v>365.82</v>
      </c>
      <c r="X20" s="2">
        <v>341.49</v>
      </c>
      <c r="Y20" s="2">
        <v>332.11</v>
      </c>
      <c r="Z20" s="2">
        <v>1269.72</v>
      </c>
      <c r="AA20" s="2">
        <v>319</v>
      </c>
      <c r="AB20" s="2">
        <v>357.62</v>
      </c>
      <c r="AC20" s="2">
        <v>337.08</v>
      </c>
      <c r="AD20" s="2">
        <v>325.72000000000003</v>
      </c>
      <c r="AE20" s="2">
        <v>1193.98</v>
      </c>
    </row>
    <row r="21" spans="1:31" x14ac:dyDescent="0.25">
      <c r="A21" s="3" t="s">
        <v>123</v>
      </c>
      <c r="B21" s="2">
        <v>8148</v>
      </c>
      <c r="C21" s="2">
        <v>8527</v>
      </c>
      <c r="D21" s="2">
        <v>8941</v>
      </c>
      <c r="E21" s="2">
        <v>9305</v>
      </c>
      <c r="F21" s="2">
        <v>9305</v>
      </c>
      <c r="G21" s="2">
        <v>9739</v>
      </c>
      <c r="H21" s="2">
        <v>10187</v>
      </c>
      <c r="I21" s="2">
        <v>10586.4</v>
      </c>
      <c r="J21" s="2">
        <v>10972.44</v>
      </c>
      <c r="K21" s="2">
        <v>10972.49</v>
      </c>
      <c r="L21" s="2">
        <v>11352.17</v>
      </c>
      <c r="M21" s="2">
        <v>11741.5</v>
      </c>
      <c r="N21" s="2">
        <v>12118.03</v>
      </c>
      <c r="O21" s="2">
        <v>12480.89</v>
      </c>
      <c r="P21" s="2">
        <v>12490.77</v>
      </c>
      <c r="Q21" s="2">
        <v>12823.06</v>
      </c>
      <c r="R21" s="2">
        <v>13200.51</v>
      </c>
      <c r="S21" s="2">
        <v>13557.76</v>
      </c>
      <c r="T21" s="2">
        <v>13898.8</v>
      </c>
      <c r="U21" s="2">
        <v>13860.48</v>
      </c>
      <c r="V21" s="2">
        <v>14235.31</v>
      </c>
      <c r="W21" s="2">
        <v>14601.13</v>
      </c>
      <c r="X21" s="2">
        <v>14942.62</v>
      </c>
      <c r="Y21" s="2">
        <v>15274.73</v>
      </c>
      <c r="Z21" s="2">
        <v>15130.43</v>
      </c>
      <c r="AA21" s="2">
        <v>15593.72</v>
      </c>
      <c r="AB21" s="2">
        <v>15951.35</v>
      </c>
      <c r="AC21" s="2">
        <v>16288.43</v>
      </c>
      <c r="AD21" s="2">
        <v>16614.150000000001</v>
      </c>
      <c r="AE21" s="2">
        <v>16324.41</v>
      </c>
    </row>
    <row r="22" spans="1:31" x14ac:dyDescent="0.25">
      <c r="A22" t="s">
        <v>124</v>
      </c>
      <c r="B22" s="2">
        <v>7987</v>
      </c>
      <c r="C22" s="2">
        <v>8337.5</v>
      </c>
      <c r="D22" s="2">
        <v>8733.5</v>
      </c>
      <c r="E22" s="2">
        <v>9123</v>
      </c>
      <c r="F22" s="2">
        <v>8565.5</v>
      </c>
      <c r="G22" s="2">
        <v>9522</v>
      </c>
      <c r="H22" s="2">
        <v>9963</v>
      </c>
      <c r="I22" s="2">
        <v>10386.31</v>
      </c>
      <c r="J22" s="2">
        <v>10777.86</v>
      </c>
      <c r="K22" s="2">
        <v>10144.86</v>
      </c>
      <c r="L22" s="2">
        <v>11161.24</v>
      </c>
      <c r="M22" s="2">
        <v>11546.84</v>
      </c>
      <c r="N22" s="2">
        <v>11929.77</v>
      </c>
      <c r="O22" s="2">
        <v>12299.46</v>
      </c>
      <c r="P22" s="2">
        <v>11733.84</v>
      </c>
      <c r="Q22" s="2">
        <v>12646.02</v>
      </c>
      <c r="R22" s="2">
        <v>13011.78</v>
      </c>
      <c r="S22" s="2">
        <v>13379.13</v>
      </c>
      <c r="T22" s="2">
        <v>13728.28</v>
      </c>
      <c r="U22" s="2">
        <v>13171.84</v>
      </c>
      <c r="V22" s="2">
        <v>14070.04</v>
      </c>
      <c r="W22" s="2">
        <v>14418.22</v>
      </c>
      <c r="X22" s="2">
        <v>14771.88</v>
      </c>
      <c r="Y22" s="2">
        <v>15108.68</v>
      </c>
      <c r="Z22" s="2">
        <v>14497.69</v>
      </c>
      <c r="AA22" s="2">
        <v>15434.23</v>
      </c>
      <c r="AB22" s="2">
        <v>15772.54</v>
      </c>
      <c r="AC22" s="2">
        <v>16119.89</v>
      </c>
      <c r="AD22" s="2">
        <v>16451.29</v>
      </c>
      <c r="AE22" s="2">
        <v>15729.52</v>
      </c>
    </row>
    <row r="23" spans="1:31" x14ac:dyDescent="0.25">
      <c r="A23" t="s">
        <v>125</v>
      </c>
      <c r="B23" s="2">
        <v>46.87</v>
      </c>
      <c r="C23" s="2">
        <v>47.78</v>
      </c>
      <c r="D23" s="2">
        <v>47.56</v>
      </c>
      <c r="E23" s="2">
        <v>51.26</v>
      </c>
      <c r="F23" s="2">
        <v>48.32</v>
      </c>
      <c r="G23" s="2">
        <v>48.83</v>
      </c>
      <c r="H23" s="2">
        <v>47.21</v>
      </c>
      <c r="I23" s="2">
        <v>46.51</v>
      </c>
      <c r="J23" s="2">
        <v>49.6</v>
      </c>
      <c r="K23" s="2">
        <v>48.12</v>
      </c>
      <c r="L23" s="2">
        <v>47.14</v>
      </c>
      <c r="M23" s="2">
        <v>46.42</v>
      </c>
      <c r="N23" s="2">
        <v>45.7</v>
      </c>
      <c r="O23" s="2">
        <v>48.47</v>
      </c>
      <c r="P23" s="2">
        <v>47.21</v>
      </c>
      <c r="Q23" s="2">
        <v>47.16</v>
      </c>
      <c r="R23" s="2">
        <v>46.49</v>
      </c>
      <c r="S23" s="2">
        <v>45.86</v>
      </c>
      <c r="T23" s="2">
        <v>48.49</v>
      </c>
      <c r="U23" s="2">
        <v>46.76</v>
      </c>
      <c r="V23" s="2">
        <v>47.06</v>
      </c>
      <c r="W23" s="2">
        <v>46.3</v>
      </c>
      <c r="X23" s="2">
        <v>45.96</v>
      </c>
      <c r="Y23" s="2">
        <v>48.51</v>
      </c>
      <c r="Z23" s="2">
        <v>46.71</v>
      </c>
      <c r="AA23" s="2">
        <v>47.38</v>
      </c>
      <c r="AB23" s="2">
        <v>46.53</v>
      </c>
      <c r="AC23" s="2">
        <v>46.22</v>
      </c>
      <c r="AD23" s="2">
        <v>48.65</v>
      </c>
      <c r="AE23" s="2">
        <v>46.87</v>
      </c>
    </row>
    <row r="24" spans="1:31" x14ac:dyDescent="0.25">
      <c r="A24" s="3" t="s">
        <v>126</v>
      </c>
      <c r="B24" s="2">
        <v>1123</v>
      </c>
      <c r="C24" s="2">
        <v>1195</v>
      </c>
      <c r="D24" s="2">
        <v>1246</v>
      </c>
      <c r="E24" s="2">
        <v>1403</v>
      </c>
      <c r="F24" s="2">
        <v>4967</v>
      </c>
      <c r="G24" s="2">
        <v>1395</v>
      </c>
      <c r="H24" s="2">
        <v>1411</v>
      </c>
      <c r="I24" s="2">
        <v>1450.07</v>
      </c>
      <c r="J24" s="2">
        <v>1606.28</v>
      </c>
      <c r="K24" s="2">
        <v>5861.71</v>
      </c>
      <c r="L24" s="2">
        <v>1579.24</v>
      </c>
      <c r="M24" s="2">
        <v>1606.7</v>
      </c>
      <c r="N24" s="2">
        <v>1635.53</v>
      </c>
      <c r="O24" s="2">
        <v>1788.53</v>
      </c>
      <c r="P24" s="2">
        <v>6647.92</v>
      </c>
      <c r="Q24" s="2">
        <v>1789.19</v>
      </c>
      <c r="R24" s="2">
        <v>1814.69</v>
      </c>
      <c r="S24" s="2">
        <v>1840.72</v>
      </c>
      <c r="T24" s="2">
        <v>1997.6</v>
      </c>
      <c r="U24" s="2">
        <v>7387.21</v>
      </c>
      <c r="V24" s="2">
        <v>1987.02</v>
      </c>
      <c r="W24" s="2">
        <v>2003.07</v>
      </c>
      <c r="X24" s="2">
        <v>2037.68</v>
      </c>
      <c r="Y24" s="2">
        <v>2199.91</v>
      </c>
      <c r="Z24" s="2">
        <v>8130.32</v>
      </c>
      <c r="AA24" s="2">
        <v>2194.91</v>
      </c>
      <c r="AB24" s="2">
        <v>2202.83</v>
      </c>
      <c r="AC24" s="2">
        <v>2236.92</v>
      </c>
      <c r="AD24" s="2">
        <v>2403.21</v>
      </c>
      <c r="AE24" s="2">
        <v>8856.1200000000008</v>
      </c>
    </row>
    <row r="25" spans="1:31" x14ac:dyDescent="0.25">
      <c r="A25" s="3" t="s">
        <v>84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t="s">
        <v>124</v>
      </c>
      <c r="B26" s="2">
        <v>7987</v>
      </c>
      <c r="C26" s="2">
        <v>8337.5</v>
      </c>
      <c r="D26" s="2">
        <v>8733.5</v>
      </c>
      <c r="E26" s="2">
        <v>9123</v>
      </c>
      <c r="F26" s="2">
        <v>8565.5</v>
      </c>
      <c r="G26" s="2">
        <v>9522</v>
      </c>
      <c r="H26" s="2">
        <v>9963</v>
      </c>
      <c r="I26" s="2">
        <v>10386.31</v>
      </c>
      <c r="J26" s="2">
        <v>10777.86</v>
      </c>
      <c r="K26" s="2">
        <v>10144.86</v>
      </c>
      <c r="L26" s="2">
        <v>11161.24</v>
      </c>
      <c r="M26" s="2">
        <v>11546.84</v>
      </c>
      <c r="N26" s="2">
        <v>11929.77</v>
      </c>
      <c r="O26" s="2">
        <v>12299.46</v>
      </c>
      <c r="P26" s="2">
        <v>11733.84</v>
      </c>
      <c r="Q26" s="2">
        <v>12646.02</v>
      </c>
      <c r="R26" s="2">
        <v>13011.78</v>
      </c>
      <c r="S26" s="2">
        <v>13379.13</v>
      </c>
      <c r="T26" s="2">
        <v>13728.28</v>
      </c>
      <c r="U26" s="2">
        <v>13171.84</v>
      </c>
      <c r="V26" s="2">
        <v>14070.04</v>
      </c>
      <c r="W26" s="2">
        <v>14418.22</v>
      </c>
      <c r="X26" s="2">
        <v>14771.88</v>
      </c>
      <c r="Y26" s="2">
        <v>15108.68</v>
      </c>
      <c r="Z26" s="2">
        <v>14497.69</v>
      </c>
      <c r="AA26" s="2">
        <v>15434.23</v>
      </c>
      <c r="AB26" s="2">
        <v>15772.54</v>
      </c>
      <c r="AC26" s="2">
        <v>16119.89</v>
      </c>
      <c r="AD26" s="2">
        <v>16451.29</v>
      </c>
      <c r="AE26" s="2">
        <v>15729.52</v>
      </c>
    </row>
    <row r="27" spans="1:31" x14ac:dyDescent="0.25">
      <c r="A27" t="s">
        <v>282</v>
      </c>
      <c r="B27" s="2">
        <v>35.47</v>
      </c>
      <c r="C27" s="2">
        <v>35.26</v>
      </c>
      <c r="D27" s="2">
        <v>34.92</v>
      </c>
      <c r="E27" s="2">
        <v>35.26</v>
      </c>
      <c r="F27" s="2">
        <v>35.14</v>
      </c>
      <c r="G27" s="2">
        <v>34.200000000000003</v>
      </c>
      <c r="H27" s="2">
        <v>33.69</v>
      </c>
      <c r="I27" s="2">
        <v>33.92</v>
      </c>
      <c r="J27" s="2">
        <v>34.590000000000003</v>
      </c>
      <c r="K27" s="2">
        <v>34.15</v>
      </c>
      <c r="L27" s="2">
        <v>35.090000000000003</v>
      </c>
      <c r="M27" s="2">
        <v>34.840000000000003</v>
      </c>
      <c r="N27" s="2">
        <v>34.78</v>
      </c>
      <c r="O27" s="2">
        <v>35.11</v>
      </c>
      <c r="P27" s="2">
        <v>34.65</v>
      </c>
      <c r="Q27" s="2">
        <v>36</v>
      </c>
      <c r="R27" s="2">
        <v>35.659999999999997</v>
      </c>
      <c r="S27" s="2">
        <v>35.61</v>
      </c>
      <c r="T27" s="2">
        <v>36.11</v>
      </c>
      <c r="U27" s="2">
        <v>35.29</v>
      </c>
      <c r="V27" s="2">
        <v>36.85</v>
      </c>
      <c r="W27" s="2">
        <v>36.270000000000003</v>
      </c>
      <c r="X27" s="2">
        <v>36.340000000000003</v>
      </c>
      <c r="Y27" s="2">
        <v>36.94</v>
      </c>
      <c r="Z27" s="2">
        <v>35.909999999999997</v>
      </c>
      <c r="AA27" s="2">
        <v>37.56</v>
      </c>
      <c r="AB27" s="2">
        <v>36.97</v>
      </c>
      <c r="AC27" s="2">
        <v>37</v>
      </c>
      <c r="AD27" s="2">
        <v>37.619999999999997</v>
      </c>
      <c r="AE27" s="2">
        <v>36.51</v>
      </c>
    </row>
    <row r="28" spans="1:31" x14ac:dyDescent="0.25">
      <c r="A28" s="3" t="s">
        <v>283</v>
      </c>
      <c r="B28" s="2">
        <v>850</v>
      </c>
      <c r="C28" s="2">
        <v>882</v>
      </c>
      <c r="D28" s="2">
        <v>915</v>
      </c>
      <c r="E28" s="2">
        <v>965</v>
      </c>
      <c r="F28" s="2">
        <v>3612</v>
      </c>
      <c r="G28" s="2">
        <v>977</v>
      </c>
      <c r="H28" s="2">
        <v>1007</v>
      </c>
      <c r="I28" s="2">
        <v>1056.42</v>
      </c>
      <c r="J28" s="2">
        <v>1117.6300000000001</v>
      </c>
      <c r="K28" s="2">
        <v>4157.3900000000003</v>
      </c>
      <c r="L28" s="2">
        <v>1172.45</v>
      </c>
      <c r="M28" s="2">
        <v>1202.98</v>
      </c>
      <c r="N28" s="2">
        <v>1243.68</v>
      </c>
      <c r="O28" s="2">
        <v>1294</v>
      </c>
      <c r="P28" s="2">
        <v>4871.13</v>
      </c>
      <c r="Q28" s="2">
        <v>1363.23</v>
      </c>
      <c r="R28" s="2">
        <v>1388.65</v>
      </c>
      <c r="S28" s="2">
        <v>1425.28</v>
      </c>
      <c r="T28" s="2">
        <v>1482.4</v>
      </c>
      <c r="U28" s="2">
        <v>5556.66</v>
      </c>
      <c r="V28" s="2">
        <v>1549.26</v>
      </c>
      <c r="W28" s="2">
        <v>1561.71</v>
      </c>
      <c r="X28" s="2">
        <v>1602.69</v>
      </c>
      <c r="Y28" s="2">
        <v>1665.72</v>
      </c>
      <c r="Z28" s="2">
        <v>6233.71</v>
      </c>
      <c r="AA28" s="2">
        <v>1729.35</v>
      </c>
      <c r="AB28" s="2">
        <v>1738.67</v>
      </c>
      <c r="AC28" s="2">
        <v>1778</v>
      </c>
      <c r="AD28" s="2">
        <v>1844.58</v>
      </c>
      <c r="AE28" s="2">
        <v>6870.82</v>
      </c>
    </row>
    <row r="29" spans="1:31" x14ac:dyDescent="0.25">
      <c r="A29" s="3" t="s">
        <v>84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5">
      <c r="A30" t="s">
        <v>284</v>
      </c>
      <c r="B30" s="2">
        <v>715.79</v>
      </c>
      <c r="C30" s="2">
        <v>787.46</v>
      </c>
      <c r="D30" s="2">
        <v>835.14</v>
      </c>
      <c r="E30" s="2">
        <v>877.08</v>
      </c>
      <c r="F30" s="2">
        <v>3215.47</v>
      </c>
      <c r="G30" s="2">
        <v>923.51</v>
      </c>
      <c r="H30" s="2">
        <v>941.48</v>
      </c>
      <c r="I30" s="2">
        <v>955.53</v>
      </c>
      <c r="J30" s="2">
        <v>991.92</v>
      </c>
      <c r="K30" s="2">
        <v>3812.44</v>
      </c>
      <c r="L30" s="2">
        <v>765.57</v>
      </c>
      <c r="M30" s="2">
        <v>853.83</v>
      </c>
      <c r="N30" s="2">
        <v>863.49</v>
      </c>
      <c r="O30" s="2">
        <v>924.78</v>
      </c>
      <c r="P30" s="2">
        <v>4133.83</v>
      </c>
      <c r="Q30" s="2">
        <v>802.83</v>
      </c>
      <c r="R30" s="2">
        <v>915.8</v>
      </c>
      <c r="S30" s="2">
        <v>923.49</v>
      </c>
      <c r="T30" s="2">
        <v>988.14</v>
      </c>
      <c r="U30" s="2">
        <v>4481.4799999999996</v>
      </c>
      <c r="V30" s="2">
        <v>865.85</v>
      </c>
      <c r="W30" s="2">
        <v>986.59</v>
      </c>
      <c r="X30" s="2">
        <v>992.83</v>
      </c>
      <c r="Y30" s="2">
        <v>1060.92</v>
      </c>
      <c r="Z30" s="2">
        <v>4823.8500000000004</v>
      </c>
      <c r="AA30" s="2">
        <v>1002.42</v>
      </c>
      <c r="AB30" s="2">
        <v>1102.19</v>
      </c>
      <c r="AC30" s="2">
        <v>1108.94</v>
      </c>
      <c r="AD30" s="2">
        <v>1152.26</v>
      </c>
      <c r="AE30" s="2">
        <v>5197.0600000000004</v>
      </c>
    </row>
    <row r="31" spans="1:31" x14ac:dyDescent="0.25">
      <c r="A31" t="s">
        <v>285</v>
      </c>
      <c r="B31" s="2">
        <v>457.58</v>
      </c>
      <c r="C31" s="2">
        <v>466.06</v>
      </c>
      <c r="D31" s="2">
        <v>462.22</v>
      </c>
      <c r="E31" s="2">
        <v>499.07</v>
      </c>
      <c r="F31" s="2">
        <v>440.03</v>
      </c>
      <c r="G31" s="2">
        <v>522.80999999999995</v>
      </c>
      <c r="H31" s="2">
        <v>501.56</v>
      </c>
      <c r="I31" s="2">
        <v>440.23</v>
      </c>
      <c r="J31" s="2">
        <v>576.01</v>
      </c>
      <c r="K31" s="2">
        <v>459.78</v>
      </c>
      <c r="L31" s="2">
        <v>621.15</v>
      </c>
      <c r="M31" s="2">
        <v>461.51</v>
      </c>
      <c r="N31" s="2">
        <v>458.33</v>
      </c>
      <c r="O31" s="2">
        <v>697.07</v>
      </c>
      <c r="P31" s="2">
        <v>432.96</v>
      </c>
      <c r="Q31" s="2">
        <v>473.82</v>
      </c>
      <c r="R31" s="2">
        <v>461.51</v>
      </c>
      <c r="S31" s="2">
        <v>458.33</v>
      </c>
      <c r="T31" s="2">
        <v>478.33</v>
      </c>
      <c r="U31" s="2">
        <v>522.35</v>
      </c>
      <c r="V31" s="2">
        <v>473.82</v>
      </c>
      <c r="W31" s="2">
        <v>461.51</v>
      </c>
      <c r="X31" s="2">
        <v>458.33</v>
      </c>
      <c r="Y31" s="2">
        <v>478.33</v>
      </c>
      <c r="Z31" s="2">
        <v>519.72</v>
      </c>
      <c r="AA31" s="2">
        <v>473.82</v>
      </c>
      <c r="AB31" s="2">
        <v>461.51</v>
      </c>
      <c r="AC31" s="2">
        <v>458.33</v>
      </c>
      <c r="AD31" s="2">
        <v>478.33</v>
      </c>
      <c r="AE31" s="2">
        <v>519.16</v>
      </c>
    </row>
    <row r="32" spans="1:31" x14ac:dyDescent="0.25">
      <c r="A32" s="3" t="s">
        <v>286</v>
      </c>
      <c r="B32" s="2">
        <v>273</v>
      </c>
      <c r="C32" s="2">
        <v>313</v>
      </c>
      <c r="D32" s="2">
        <v>331</v>
      </c>
      <c r="E32" s="2">
        <v>438</v>
      </c>
      <c r="F32" s="2">
        <v>1355</v>
      </c>
      <c r="G32" s="2">
        <v>418</v>
      </c>
      <c r="H32" s="2">
        <v>404</v>
      </c>
      <c r="I32" s="2">
        <v>393.76</v>
      </c>
      <c r="J32" s="2">
        <v>487.74</v>
      </c>
      <c r="K32" s="2">
        <v>1703.5</v>
      </c>
      <c r="L32" s="2">
        <v>403.83</v>
      </c>
      <c r="M32" s="2">
        <v>402.81</v>
      </c>
      <c r="N32" s="2">
        <v>390.81</v>
      </c>
      <c r="O32" s="2">
        <v>489.35</v>
      </c>
      <c r="P32" s="2">
        <v>1772.84</v>
      </c>
      <c r="Q32" s="2">
        <v>420.41</v>
      </c>
      <c r="R32" s="2">
        <v>425.13</v>
      </c>
      <c r="S32" s="2">
        <v>414.62</v>
      </c>
      <c r="T32" s="2">
        <v>506.19</v>
      </c>
      <c r="U32" s="2">
        <v>1819.98</v>
      </c>
      <c r="V32" s="2">
        <v>429.48</v>
      </c>
      <c r="W32" s="2">
        <v>438.54</v>
      </c>
      <c r="X32" s="2">
        <v>434.65</v>
      </c>
      <c r="Y32" s="2">
        <v>521.78</v>
      </c>
      <c r="Z32" s="2">
        <v>1879.42</v>
      </c>
      <c r="AA32" s="2">
        <v>458.03</v>
      </c>
      <c r="AB32" s="2">
        <v>462.47</v>
      </c>
      <c r="AC32" s="2">
        <v>460.46</v>
      </c>
      <c r="AD32" s="2">
        <v>545.21</v>
      </c>
      <c r="AE32" s="2">
        <v>1963.28</v>
      </c>
    </row>
    <row r="33" spans="1:31" x14ac:dyDescent="0.25">
      <c r="A33" s="3" t="s">
        <v>84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3" t="s">
        <v>287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t="s">
        <v>288</v>
      </c>
      <c r="B35" s="2">
        <v>850</v>
      </c>
      <c r="C35" s="2">
        <v>882</v>
      </c>
      <c r="D35" s="2">
        <v>915</v>
      </c>
      <c r="E35" s="2">
        <v>965</v>
      </c>
      <c r="F35" s="2">
        <v>3612</v>
      </c>
      <c r="G35" s="2">
        <v>977</v>
      </c>
      <c r="H35" s="2">
        <v>1007</v>
      </c>
      <c r="I35" s="2">
        <v>1056.42</v>
      </c>
      <c r="J35" s="2">
        <v>1117.6300000000001</v>
      </c>
      <c r="K35" s="2">
        <v>4157.3900000000003</v>
      </c>
      <c r="L35" s="2">
        <v>1172.45</v>
      </c>
      <c r="M35" s="2">
        <v>1202.98</v>
      </c>
      <c r="N35" s="2">
        <v>1243.68</v>
      </c>
      <c r="O35" s="2">
        <v>1294</v>
      </c>
      <c r="P35" s="2">
        <v>4871.13</v>
      </c>
      <c r="Q35" s="2">
        <v>1363.23</v>
      </c>
      <c r="R35" s="2">
        <v>1388.65</v>
      </c>
      <c r="S35" s="2">
        <v>1425.28</v>
      </c>
      <c r="T35" s="2">
        <v>1482.4</v>
      </c>
      <c r="U35" s="2">
        <v>5556.66</v>
      </c>
      <c r="V35" s="2">
        <v>1549.26</v>
      </c>
      <c r="W35" s="2">
        <v>1561.71</v>
      </c>
      <c r="X35" s="2">
        <v>1602.69</v>
      </c>
      <c r="Y35" s="2">
        <v>1665.72</v>
      </c>
      <c r="Z35" s="2">
        <v>6233.71</v>
      </c>
      <c r="AA35" s="2">
        <v>1729.35</v>
      </c>
      <c r="AB35" s="2">
        <v>1738.67</v>
      </c>
      <c r="AC35" s="2">
        <v>1778</v>
      </c>
      <c r="AD35" s="2">
        <v>1844.58</v>
      </c>
      <c r="AE35" s="2">
        <v>6870.82</v>
      </c>
    </row>
    <row r="36" spans="1:31" x14ac:dyDescent="0.25">
      <c r="A36" t="s">
        <v>289</v>
      </c>
      <c r="B36" s="2">
        <v>273</v>
      </c>
      <c r="C36" s="2">
        <v>313</v>
      </c>
      <c r="D36" s="2">
        <v>331</v>
      </c>
      <c r="E36" s="2">
        <v>438</v>
      </c>
      <c r="F36" s="2">
        <v>1355</v>
      </c>
      <c r="G36" s="2">
        <v>418</v>
      </c>
      <c r="H36" s="2">
        <v>404</v>
      </c>
      <c r="I36" s="2">
        <v>393.76</v>
      </c>
      <c r="J36" s="2">
        <v>487.74</v>
      </c>
      <c r="K36" s="2">
        <v>1703.5</v>
      </c>
      <c r="L36" s="2">
        <v>403.83</v>
      </c>
      <c r="M36" s="2">
        <v>402.81</v>
      </c>
      <c r="N36" s="2">
        <v>390.81</v>
      </c>
      <c r="O36" s="2">
        <v>489.35</v>
      </c>
      <c r="P36" s="2">
        <v>1772.84</v>
      </c>
      <c r="Q36" s="2">
        <v>420.41</v>
      </c>
      <c r="R36" s="2">
        <v>425.13</v>
      </c>
      <c r="S36" s="2">
        <v>414.62</v>
      </c>
      <c r="T36" s="2">
        <v>506.19</v>
      </c>
      <c r="U36" s="2">
        <v>1819.98</v>
      </c>
      <c r="V36" s="2">
        <v>429.48</v>
      </c>
      <c r="W36" s="2">
        <v>438.54</v>
      </c>
      <c r="X36" s="2">
        <v>434.65</v>
      </c>
      <c r="Y36" s="2">
        <v>521.78</v>
      </c>
      <c r="Z36" s="2">
        <v>1879.42</v>
      </c>
      <c r="AA36" s="2">
        <v>458.03</v>
      </c>
      <c r="AB36" s="2">
        <v>462.47</v>
      </c>
      <c r="AC36" s="2">
        <v>460.46</v>
      </c>
      <c r="AD36" s="2">
        <v>545.21</v>
      </c>
      <c r="AE36" s="2">
        <v>1963.28</v>
      </c>
    </row>
    <row r="37" spans="1:31" x14ac:dyDescent="0.25">
      <c r="A37" s="3" t="s">
        <v>290</v>
      </c>
      <c r="B37" s="2">
        <v>1123</v>
      </c>
      <c r="C37" s="2">
        <v>1195</v>
      </c>
      <c r="D37" s="2">
        <v>1246</v>
      </c>
      <c r="E37" s="2">
        <v>1403</v>
      </c>
      <c r="F37" s="2">
        <v>4967</v>
      </c>
      <c r="G37" s="2">
        <v>1395</v>
      </c>
      <c r="H37" s="2">
        <v>1411</v>
      </c>
      <c r="I37" s="2">
        <v>1450.07</v>
      </c>
      <c r="J37" s="2">
        <v>1606.28</v>
      </c>
      <c r="K37" s="2">
        <v>5861.71</v>
      </c>
      <c r="L37" s="2">
        <v>1579.24</v>
      </c>
      <c r="M37" s="2">
        <v>1606.7</v>
      </c>
      <c r="N37" s="2">
        <v>1635.53</v>
      </c>
      <c r="O37" s="2">
        <v>1788.53</v>
      </c>
      <c r="P37" s="2">
        <v>6647.92</v>
      </c>
      <c r="Q37" s="2">
        <v>1789.19</v>
      </c>
      <c r="R37" s="2">
        <v>1814.69</v>
      </c>
      <c r="S37" s="2">
        <v>1840.72</v>
      </c>
      <c r="T37" s="2">
        <v>1997.6</v>
      </c>
      <c r="U37" s="2">
        <v>7387.21</v>
      </c>
      <c r="V37" s="2">
        <v>1987.02</v>
      </c>
      <c r="W37" s="2">
        <v>2003.07</v>
      </c>
      <c r="X37" s="2">
        <v>2037.68</v>
      </c>
      <c r="Y37" s="2">
        <v>2199.91</v>
      </c>
      <c r="Z37" s="2">
        <v>8130.32</v>
      </c>
      <c r="AA37" s="2">
        <v>2194.91</v>
      </c>
      <c r="AB37" s="2">
        <v>2202.83</v>
      </c>
      <c r="AC37" s="2">
        <v>2236.92</v>
      </c>
      <c r="AD37" s="2">
        <v>2403.21</v>
      </c>
      <c r="AE37" s="2">
        <v>8856.1200000000008</v>
      </c>
    </row>
    <row r="38" spans="1:31" x14ac:dyDescent="0.25">
      <c r="A38" t="s">
        <v>291</v>
      </c>
      <c r="B38" s="2">
        <v>523.34</v>
      </c>
      <c r="C38" s="2">
        <v>541.77</v>
      </c>
      <c r="D38" s="2">
        <v>564.35</v>
      </c>
      <c r="E38" s="2">
        <v>587.99</v>
      </c>
      <c r="F38" s="2">
        <v>2054.27</v>
      </c>
      <c r="G38" s="2">
        <v>659.39</v>
      </c>
      <c r="H38" s="2">
        <v>678.31</v>
      </c>
      <c r="I38" s="2">
        <v>702.25</v>
      </c>
      <c r="J38" s="2">
        <v>730.95</v>
      </c>
      <c r="K38" s="2">
        <v>2440.69</v>
      </c>
      <c r="L38" s="2">
        <v>671.22</v>
      </c>
      <c r="M38" s="2">
        <v>695.22</v>
      </c>
      <c r="N38" s="2">
        <v>719.22</v>
      </c>
      <c r="O38" s="2">
        <v>743.22</v>
      </c>
      <c r="P38" s="2">
        <v>2536.6999999999998</v>
      </c>
      <c r="Q38" s="2">
        <v>767.22</v>
      </c>
      <c r="R38" s="2">
        <v>791.22</v>
      </c>
      <c r="S38" s="2">
        <v>815.22</v>
      </c>
      <c r="T38" s="2">
        <v>839.22</v>
      </c>
      <c r="U38" s="2">
        <v>2857.31</v>
      </c>
      <c r="V38" s="2">
        <v>863.22</v>
      </c>
      <c r="W38" s="2">
        <v>887.22</v>
      </c>
      <c r="X38" s="2">
        <v>911.22</v>
      </c>
      <c r="Y38" s="2">
        <v>935.22</v>
      </c>
      <c r="Z38" s="2">
        <v>3172.98</v>
      </c>
      <c r="AA38" s="2">
        <v>959.22</v>
      </c>
      <c r="AB38" s="2">
        <v>983.22</v>
      </c>
      <c r="AC38" s="2">
        <v>1007.22</v>
      </c>
      <c r="AD38" s="2">
        <v>1031.22</v>
      </c>
      <c r="AE38" s="2">
        <v>3469.14</v>
      </c>
    </row>
    <row r="39" spans="1:31" x14ac:dyDescent="0.25">
      <c r="A39" t="s">
        <v>292</v>
      </c>
      <c r="B39" s="2">
        <v>273</v>
      </c>
      <c r="C39" s="2">
        <v>313</v>
      </c>
      <c r="D39" s="2">
        <v>331</v>
      </c>
      <c r="E39" s="2">
        <v>459.37</v>
      </c>
      <c r="F39" s="2">
        <v>1479.17</v>
      </c>
      <c r="G39" s="2">
        <v>443.26</v>
      </c>
      <c r="H39" s="2">
        <v>438.54</v>
      </c>
      <c r="I39" s="2">
        <v>444.58</v>
      </c>
      <c r="J39" s="2">
        <v>520.11</v>
      </c>
      <c r="K39" s="2">
        <v>1855.35</v>
      </c>
      <c r="L39" s="2">
        <v>451.75</v>
      </c>
      <c r="M39" s="2">
        <v>464.47</v>
      </c>
      <c r="N39" s="2">
        <v>491.57</v>
      </c>
      <c r="O39" s="2">
        <v>504.77</v>
      </c>
      <c r="P39" s="2">
        <v>1884.47</v>
      </c>
      <c r="Q39" s="2">
        <v>502.63</v>
      </c>
      <c r="R39" s="2">
        <v>515.35</v>
      </c>
      <c r="S39" s="2">
        <v>544.37</v>
      </c>
      <c r="T39" s="2">
        <v>557.57000000000005</v>
      </c>
      <c r="U39" s="2">
        <v>2111.8000000000002</v>
      </c>
      <c r="V39" s="2">
        <v>553.51</v>
      </c>
      <c r="W39" s="2">
        <v>566.23</v>
      </c>
      <c r="X39" s="2">
        <v>597.16999999999996</v>
      </c>
      <c r="Y39" s="2">
        <v>610.37</v>
      </c>
      <c r="Z39" s="2">
        <v>2310.64</v>
      </c>
      <c r="AA39" s="2">
        <v>604.39</v>
      </c>
      <c r="AB39" s="2">
        <v>617.11</v>
      </c>
      <c r="AC39" s="2">
        <v>649.97</v>
      </c>
      <c r="AD39" s="2">
        <v>663.17</v>
      </c>
      <c r="AE39" s="2">
        <v>2489.21</v>
      </c>
    </row>
    <row r="40" spans="1:31" x14ac:dyDescent="0.25">
      <c r="A40" t="s">
        <v>293</v>
      </c>
      <c r="B40" s="2">
        <v>182.9</v>
      </c>
      <c r="C40" s="2">
        <v>189.64</v>
      </c>
      <c r="D40" s="2">
        <v>222.68</v>
      </c>
      <c r="E40" s="2">
        <v>232.47</v>
      </c>
      <c r="F40" s="2">
        <v>844.31</v>
      </c>
      <c r="G40" s="2">
        <v>208</v>
      </c>
      <c r="H40" s="2">
        <v>211.73</v>
      </c>
      <c r="I40" s="2">
        <v>254.56</v>
      </c>
      <c r="J40" s="2">
        <v>259.89999999999998</v>
      </c>
      <c r="K40" s="2">
        <v>957.69</v>
      </c>
      <c r="L40" s="2">
        <v>206</v>
      </c>
      <c r="M40" s="2">
        <v>190.55</v>
      </c>
      <c r="N40" s="2">
        <v>190.96</v>
      </c>
      <c r="O40" s="2">
        <v>190.96</v>
      </c>
      <c r="P40" s="2">
        <v>1374.84</v>
      </c>
      <c r="Q40" s="2">
        <v>212.18</v>
      </c>
      <c r="R40" s="2">
        <v>196.27</v>
      </c>
      <c r="S40" s="2">
        <v>196.69</v>
      </c>
      <c r="T40" s="2">
        <v>196.69</v>
      </c>
      <c r="U40" s="2">
        <v>1524.9</v>
      </c>
      <c r="V40" s="2">
        <v>218.55</v>
      </c>
      <c r="W40" s="2">
        <v>202.15</v>
      </c>
      <c r="X40" s="2">
        <v>202.59</v>
      </c>
      <c r="Y40" s="2">
        <v>202.59</v>
      </c>
      <c r="Z40" s="2">
        <v>1668.48</v>
      </c>
      <c r="AA40" s="2">
        <v>225.1</v>
      </c>
      <c r="AB40" s="2">
        <v>208.22</v>
      </c>
      <c r="AC40" s="2">
        <v>208.67</v>
      </c>
      <c r="AD40" s="2">
        <v>208.67</v>
      </c>
      <c r="AE40" s="2">
        <v>1811.56</v>
      </c>
    </row>
    <row r="41" spans="1:31" x14ac:dyDescent="0.25">
      <c r="A41" s="3" t="s">
        <v>294</v>
      </c>
      <c r="B41" s="2">
        <v>994.1</v>
      </c>
      <c r="C41" s="2">
        <v>1059.76</v>
      </c>
      <c r="D41" s="2">
        <v>1130.75</v>
      </c>
      <c r="E41" s="2">
        <v>1232.32</v>
      </c>
      <c r="F41" s="2">
        <v>4267.03</v>
      </c>
      <c r="G41" s="2">
        <v>1274.1099999999999</v>
      </c>
      <c r="H41" s="2">
        <v>1305</v>
      </c>
      <c r="I41" s="2">
        <v>1365.49</v>
      </c>
      <c r="J41" s="2">
        <v>1453.57</v>
      </c>
      <c r="K41" s="2">
        <v>5095.6400000000003</v>
      </c>
      <c r="L41" s="2">
        <v>1211.9100000000001</v>
      </c>
      <c r="M41" s="2">
        <v>1228.5899999999999</v>
      </c>
      <c r="N41" s="2">
        <v>1262.55</v>
      </c>
      <c r="O41" s="2">
        <v>1300.42</v>
      </c>
      <c r="P41" s="2">
        <v>5356.96</v>
      </c>
      <c r="Q41" s="2">
        <v>1314.51</v>
      </c>
      <c r="R41" s="2">
        <v>1333.8</v>
      </c>
      <c r="S41" s="2">
        <v>1371.3</v>
      </c>
      <c r="T41" s="2">
        <v>1407.05</v>
      </c>
      <c r="U41" s="2">
        <v>5936.89</v>
      </c>
      <c r="V41" s="2">
        <v>1417.2</v>
      </c>
      <c r="W41" s="2">
        <v>1438.78</v>
      </c>
      <c r="X41" s="2">
        <v>1487.83</v>
      </c>
      <c r="Y41" s="2">
        <v>1517.29</v>
      </c>
      <c r="Z41" s="2">
        <v>6492.96</v>
      </c>
      <c r="AA41" s="2">
        <v>1520.38</v>
      </c>
      <c r="AB41" s="2">
        <v>1543.67</v>
      </c>
      <c r="AC41" s="2">
        <v>1609.96</v>
      </c>
      <c r="AD41" s="2">
        <v>1631.7</v>
      </c>
      <c r="AE41" s="2">
        <v>7022.94</v>
      </c>
    </row>
    <row r="42" spans="1:31" x14ac:dyDescent="0.25">
      <c r="A42" s="3" t="s">
        <v>295</v>
      </c>
      <c r="B42" s="2">
        <v>128.9</v>
      </c>
      <c r="C42" s="2">
        <v>135.24</v>
      </c>
      <c r="D42" s="2">
        <v>115.25</v>
      </c>
      <c r="E42" s="2">
        <v>170.68</v>
      </c>
      <c r="F42" s="2">
        <v>699.97</v>
      </c>
      <c r="G42" s="2">
        <v>118.49</v>
      </c>
      <c r="H42" s="2">
        <v>106</v>
      </c>
      <c r="I42" s="2">
        <v>98.09</v>
      </c>
      <c r="J42" s="2">
        <v>106.67</v>
      </c>
      <c r="K42" s="2">
        <v>731.79</v>
      </c>
      <c r="L42" s="2">
        <v>377.04</v>
      </c>
      <c r="M42" s="2">
        <v>404.24</v>
      </c>
      <c r="N42" s="2">
        <v>419.07</v>
      </c>
      <c r="O42" s="2">
        <v>448.4</v>
      </c>
      <c r="P42" s="2">
        <v>1337.93</v>
      </c>
      <c r="Q42" s="2">
        <v>516.59</v>
      </c>
      <c r="R42" s="2">
        <v>540.28</v>
      </c>
      <c r="S42" s="2">
        <v>551.54</v>
      </c>
      <c r="T42" s="2">
        <v>584.74</v>
      </c>
      <c r="U42" s="2">
        <v>1681.4</v>
      </c>
      <c r="V42" s="2">
        <v>660.29</v>
      </c>
      <c r="W42" s="2">
        <v>659.04</v>
      </c>
      <c r="X42" s="2">
        <v>681.77</v>
      </c>
      <c r="Y42" s="2">
        <v>723.92</v>
      </c>
      <c r="Z42" s="2">
        <v>2033.34</v>
      </c>
      <c r="AA42" s="2">
        <v>810.38</v>
      </c>
      <c r="AB42" s="2">
        <v>804.88</v>
      </c>
      <c r="AC42" s="2">
        <v>814.17</v>
      </c>
      <c r="AD42" s="2">
        <v>867.42</v>
      </c>
      <c r="AE42" s="2">
        <v>2422.4899999999998</v>
      </c>
    </row>
    <row r="43" spans="1:31" x14ac:dyDescent="0.25">
      <c r="A43" s="3" t="s">
        <v>84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3" t="s">
        <v>296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t="s">
        <v>297</v>
      </c>
      <c r="B45" s="2">
        <v>615.48</v>
      </c>
      <c r="C45" s="2">
        <v>684.55</v>
      </c>
      <c r="D45" s="2">
        <v>733.76</v>
      </c>
      <c r="E45" s="2">
        <v>699.29</v>
      </c>
      <c r="F45" s="2">
        <v>2733.07</v>
      </c>
      <c r="G45" s="2">
        <v>782.94</v>
      </c>
      <c r="H45" s="2">
        <v>813.21</v>
      </c>
      <c r="I45" s="2">
        <v>773.92</v>
      </c>
      <c r="J45" s="2">
        <v>782.27</v>
      </c>
      <c r="K45" s="2">
        <v>3152.34</v>
      </c>
      <c r="L45" s="2">
        <v>745</v>
      </c>
      <c r="M45" s="2">
        <v>749.97</v>
      </c>
      <c r="N45" s="2">
        <v>761.01</v>
      </c>
      <c r="O45" s="2">
        <v>775.78</v>
      </c>
      <c r="P45" s="2">
        <v>3031.76</v>
      </c>
      <c r="Q45" s="2">
        <v>764.04</v>
      </c>
      <c r="R45" s="2">
        <v>773.77</v>
      </c>
      <c r="S45" s="2">
        <v>791.34</v>
      </c>
      <c r="T45" s="2">
        <v>802.3</v>
      </c>
      <c r="U45" s="2">
        <v>3131.44</v>
      </c>
      <c r="V45" s="2">
        <v>784</v>
      </c>
      <c r="W45" s="2">
        <v>798.01</v>
      </c>
      <c r="X45" s="2">
        <v>837.11</v>
      </c>
      <c r="Y45" s="2">
        <v>836.44</v>
      </c>
      <c r="Z45" s="2">
        <v>3255.55</v>
      </c>
      <c r="AA45" s="2">
        <v>805.12</v>
      </c>
      <c r="AB45" s="2">
        <v>822.37</v>
      </c>
      <c r="AC45" s="2">
        <v>893.28</v>
      </c>
      <c r="AD45" s="2">
        <v>878.73</v>
      </c>
      <c r="AE45" s="2">
        <v>3399.5</v>
      </c>
    </row>
    <row r="46" spans="1:31" x14ac:dyDescent="0.25">
      <c r="A46" t="s">
        <v>298</v>
      </c>
      <c r="B46" s="2">
        <v>293.48</v>
      </c>
      <c r="C46" s="2">
        <v>305.55</v>
      </c>
      <c r="D46" s="2">
        <v>319.76</v>
      </c>
      <c r="E46" s="2">
        <v>335.29</v>
      </c>
      <c r="F46" s="2">
        <v>1254.08</v>
      </c>
      <c r="G46" s="2">
        <v>348.94</v>
      </c>
      <c r="H46" s="2">
        <v>365.21</v>
      </c>
      <c r="I46" s="2">
        <v>382.01</v>
      </c>
      <c r="J46" s="2">
        <v>396.71</v>
      </c>
      <c r="K46" s="2">
        <v>1492.87</v>
      </c>
      <c r="L46" s="2">
        <v>411.17</v>
      </c>
      <c r="M46" s="2">
        <v>423.69</v>
      </c>
      <c r="N46" s="2">
        <v>435.92</v>
      </c>
      <c r="O46" s="2">
        <v>448.11</v>
      </c>
      <c r="P46" s="2">
        <v>1718.89</v>
      </c>
      <c r="Q46" s="2">
        <v>460.4</v>
      </c>
      <c r="R46" s="2">
        <v>471.79</v>
      </c>
      <c r="S46" s="2">
        <v>483.11</v>
      </c>
      <c r="T46" s="2">
        <v>494.67</v>
      </c>
      <c r="U46" s="2">
        <v>1909.97</v>
      </c>
      <c r="V46" s="2">
        <v>506.21</v>
      </c>
      <c r="W46" s="2">
        <v>516.62</v>
      </c>
      <c r="X46" s="2">
        <v>527.16999999999996</v>
      </c>
      <c r="Y46" s="2">
        <v>538.79999999999995</v>
      </c>
      <c r="Z46" s="2">
        <v>2088.8000000000002</v>
      </c>
      <c r="AA46" s="2">
        <v>549.96</v>
      </c>
      <c r="AB46" s="2">
        <v>559.53</v>
      </c>
      <c r="AC46" s="2">
        <v>569.38</v>
      </c>
      <c r="AD46" s="2">
        <v>581.53</v>
      </c>
      <c r="AE46" s="2">
        <v>2260.4</v>
      </c>
    </row>
    <row r="47" spans="1:31" x14ac:dyDescent="0.25">
      <c r="A47" t="s">
        <v>299</v>
      </c>
      <c r="B47" s="2">
        <v>2.8799999999999999E-2</v>
      </c>
      <c r="C47" s="2">
        <v>2.1700000000000001E-2</v>
      </c>
      <c r="D47" s="2">
        <v>2.1700000000000001E-2</v>
      </c>
      <c r="E47" s="2">
        <v>2.5000000000000001E-2</v>
      </c>
      <c r="F47" s="2">
        <v>3.6700000000000003E-2</v>
      </c>
      <c r="G47" s="2">
        <v>2.12E-2</v>
      </c>
      <c r="H47" s="2">
        <v>2.12E-2</v>
      </c>
      <c r="I47" s="2">
        <v>1.8800000000000001E-2</v>
      </c>
      <c r="J47" s="2">
        <v>0.02</v>
      </c>
      <c r="K47" s="2">
        <v>0.03</v>
      </c>
      <c r="L47" s="2">
        <v>1.55E-2</v>
      </c>
      <c r="M47" s="2">
        <v>2.2499999999999999E-2</v>
      </c>
      <c r="N47" s="2">
        <v>2.2499999999999999E-2</v>
      </c>
      <c r="O47" s="2">
        <v>1.7500000000000002E-2</v>
      </c>
      <c r="P47" s="2">
        <v>1.4999999999999999E-2</v>
      </c>
      <c r="Q47" s="2">
        <v>1.5800000000000002E-2</v>
      </c>
      <c r="R47" s="2">
        <v>2.12E-2</v>
      </c>
      <c r="S47" s="2">
        <v>2.12E-2</v>
      </c>
      <c r="T47" s="2">
        <v>1.7500000000000002E-2</v>
      </c>
      <c r="U47" s="2">
        <v>1.3299999999999999E-2</v>
      </c>
      <c r="V47" s="2">
        <v>1.5800000000000002E-2</v>
      </c>
      <c r="W47" s="2">
        <v>2.12E-2</v>
      </c>
      <c r="X47" s="2">
        <v>2.12E-2</v>
      </c>
      <c r="Y47" s="2">
        <v>1.7500000000000002E-2</v>
      </c>
      <c r="Z47" s="2">
        <v>1.3299999999999999E-2</v>
      </c>
      <c r="AA47" s="2">
        <v>1.7500000000000002E-2</v>
      </c>
      <c r="AB47" s="2">
        <v>2.3800000000000002E-2</v>
      </c>
      <c r="AC47" s="2">
        <v>2.3800000000000002E-2</v>
      </c>
      <c r="AD47" s="2">
        <v>1.7500000000000002E-2</v>
      </c>
      <c r="AE47" s="2">
        <v>1.3299999999999999E-2</v>
      </c>
    </row>
    <row r="48" spans="1:31" x14ac:dyDescent="0.25">
      <c r="A48" s="3" t="s">
        <v>300</v>
      </c>
      <c r="B48" s="2">
        <v>322</v>
      </c>
      <c r="C48" s="2">
        <v>378.67</v>
      </c>
      <c r="D48" s="2">
        <v>414</v>
      </c>
      <c r="E48" s="2">
        <v>364</v>
      </c>
      <c r="F48" s="2">
        <v>1390.31</v>
      </c>
      <c r="G48" s="2">
        <v>434.33</v>
      </c>
      <c r="H48" s="2">
        <v>448</v>
      </c>
      <c r="I48" s="2">
        <v>383.46</v>
      </c>
      <c r="J48" s="2">
        <v>405.28</v>
      </c>
      <c r="K48" s="2">
        <v>1445.9</v>
      </c>
      <c r="L48" s="2">
        <v>333.83</v>
      </c>
      <c r="M48" s="2">
        <v>326.27999999999997</v>
      </c>
      <c r="N48" s="2">
        <v>325.08999999999997</v>
      </c>
      <c r="O48" s="2">
        <v>327.66000000000003</v>
      </c>
      <c r="P48" s="2">
        <v>1135.3399999999999</v>
      </c>
      <c r="Q48" s="2">
        <v>303.64</v>
      </c>
      <c r="R48" s="2">
        <v>301.98</v>
      </c>
      <c r="S48" s="2">
        <v>308.22000000000003</v>
      </c>
      <c r="T48" s="2">
        <v>307.63</v>
      </c>
      <c r="U48" s="2">
        <v>992.41</v>
      </c>
      <c r="V48" s="2">
        <v>277.79000000000002</v>
      </c>
      <c r="W48" s="2">
        <v>281.38</v>
      </c>
      <c r="X48" s="2">
        <v>309.93</v>
      </c>
      <c r="Y48" s="2">
        <v>297.64</v>
      </c>
      <c r="Z48" s="2">
        <v>882.25</v>
      </c>
      <c r="AA48" s="2">
        <v>255.16</v>
      </c>
      <c r="AB48" s="2">
        <v>262.83999999999997</v>
      </c>
      <c r="AC48" s="2">
        <v>323.89999999999998</v>
      </c>
      <c r="AD48" s="2">
        <v>297.2</v>
      </c>
      <c r="AE48" s="2">
        <v>797.71</v>
      </c>
    </row>
    <row r="49" spans="1:31" x14ac:dyDescent="0.25">
      <c r="A49" s="3" t="s">
        <v>301</v>
      </c>
      <c r="B49" s="2">
        <v>8148</v>
      </c>
      <c r="C49" s="2">
        <v>8527</v>
      </c>
      <c r="D49" s="2">
        <v>8941</v>
      </c>
      <c r="E49" s="2">
        <v>9305</v>
      </c>
      <c r="F49" s="2">
        <v>9264.9</v>
      </c>
      <c r="G49" s="2">
        <v>9739</v>
      </c>
      <c r="H49" s="2" t="s">
        <v>55</v>
      </c>
      <c r="I49" s="2" t="s">
        <v>55</v>
      </c>
      <c r="J49" s="2" t="s">
        <v>55</v>
      </c>
      <c r="K49" s="2">
        <v>10465.42</v>
      </c>
      <c r="L49" s="2" t="s">
        <v>55</v>
      </c>
      <c r="M49" s="2" t="s">
        <v>55</v>
      </c>
      <c r="N49" s="2" t="s">
        <v>55</v>
      </c>
      <c r="O49" s="2" t="s">
        <v>55</v>
      </c>
      <c r="P49" s="2">
        <v>10671.94</v>
      </c>
      <c r="Q49" s="2" t="s">
        <v>55</v>
      </c>
      <c r="R49" s="2" t="s">
        <v>55</v>
      </c>
      <c r="S49" s="2" t="s">
        <v>55</v>
      </c>
      <c r="T49" s="2" t="s">
        <v>55</v>
      </c>
      <c r="U49" s="2">
        <v>11211.72</v>
      </c>
      <c r="V49" s="2" t="s">
        <v>55</v>
      </c>
      <c r="W49" s="2" t="s">
        <v>55</v>
      </c>
      <c r="X49" s="2" t="s">
        <v>55</v>
      </c>
      <c r="Y49" s="2" t="s">
        <v>55</v>
      </c>
      <c r="Z49" s="2">
        <v>11658.15</v>
      </c>
      <c r="AA49" s="2" t="s">
        <v>55</v>
      </c>
      <c r="AB49" s="2" t="s">
        <v>55</v>
      </c>
      <c r="AC49" s="2" t="s">
        <v>55</v>
      </c>
      <c r="AD49" s="2" t="s">
        <v>55</v>
      </c>
      <c r="AE49" s="2">
        <v>12033.64</v>
      </c>
    </row>
    <row r="50" spans="1:31" x14ac:dyDescent="0.25">
      <c r="A50" t="s">
        <v>302</v>
      </c>
      <c r="B50" s="2">
        <v>7987.25</v>
      </c>
      <c r="C50" s="2">
        <v>8337.5</v>
      </c>
      <c r="D50" s="2">
        <v>8733.75</v>
      </c>
      <c r="E50" s="2">
        <v>9123</v>
      </c>
      <c r="F50" s="2">
        <v>8599.14</v>
      </c>
      <c r="G50" s="2">
        <v>9522.25</v>
      </c>
      <c r="H50" s="2">
        <v>9963.5</v>
      </c>
      <c r="I50" s="2">
        <v>10386.969999999999</v>
      </c>
      <c r="J50" s="2">
        <v>10787.57</v>
      </c>
      <c r="K50" s="2">
        <v>9855.14</v>
      </c>
      <c r="L50" s="2">
        <v>11142.72</v>
      </c>
      <c r="M50" s="2">
        <v>11506.15</v>
      </c>
      <c r="N50" s="2">
        <v>11892.08</v>
      </c>
      <c r="O50" s="2">
        <v>12242.89</v>
      </c>
      <c r="P50" s="2">
        <v>10340.64</v>
      </c>
      <c r="Q50" s="2">
        <v>12530.81</v>
      </c>
      <c r="R50" s="2">
        <v>12849.7</v>
      </c>
      <c r="S50" s="2">
        <v>13223.47</v>
      </c>
      <c r="T50" s="2">
        <v>13557.89</v>
      </c>
      <c r="U50" s="2">
        <v>10941.83</v>
      </c>
      <c r="V50" s="2">
        <v>13824.27</v>
      </c>
      <c r="W50" s="2">
        <v>14126.07</v>
      </c>
      <c r="X50" s="2">
        <v>14488.3</v>
      </c>
      <c r="Y50" s="2">
        <v>14807.14</v>
      </c>
      <c r="Z50" s="2">
        <v>11434.94</v>
      </c>
      <c r="AA50" s="2">
        <v>15074.68</v>
      </c>
      <c r="AB50" s="2">
        <v>15403.78</v>
      </c>
      <c r="AC50" s="2">
        <v>15798.78</v>
      </c>
      <c r="AD50" s="2">
        <v>16146.46</v>
      </c>
      <c r="AE50" s="2">
        <v>11845.9</v>
      </c>
    </row>
    <row r="51" spans="1:31" x14ac:dyDescent="0.25">
      <c r="A51" t="s">
        <v>303</v>
      </c>
      <c r="B51" s="2">
        <v>50</v>
      </c>
      <c r="C51" s="2">
        <v>50</v>
      </c>
      <c r="D51" s="2">
        <v>50</v>
      </c>
      <c r="E51" s="2">
        <v>50</v>
      </c>
      <c r="F51" s="2">
        <v>41.67</v>
      </c>
      <c r="G51" s="2">
        <v>50</v>
      </c>
      <c r="H51" s="2" t="s">
        <v>55</v>
      </c>
      <c r="I51" s="2" t="s">
        <v>55</v>
      </c>
      <c r="J51" s="2" t="s">
        <v>55</v>
      </c>
      <c r="K51" s="2">
        <v>34.229999999999997</v>
      </c>
      <c r="L51" s="2" t="s">
        <v>55</v>
      </c>
      <c r="M51" s="2" t="s">
        <v>55</v>
      </c>
      <c r="N51" s="2" t="s">
        <v>55</v>
      </c>
      <c r="O51" s="2" t="s">
        <v>55</v>
      </c>
      <c r="P51" s="2">
        <v>35.229999999999997</v>
      </c>
      <c r="Q51" s="2" t="s">
        <v>55</v>
      </c>
      <c r="R51" s="2" t="s">
        <v>55</v>
      </c>
      <c r="S51" s="2" t="s">
        <v>55</v>
      </c>
      <c r="T51" s="2" t="s">
        <v>55</v>
      </c>
      <c r="U51" s="2">
        <v>36.229999999999997</v>
      </c>
      <c r="V51" s="2" t="s">
        <v>55</v>
      </c>
      <c r="W51" s="2" t="s">
        <v>55</v>
      </c>
      <c r="X51" s="2" t="s">
        <v>55</v>
      </c>
      <c r="Y51" s="2" t="s">
        <v>55</v>
      </c>
      <c r="Z51" s="2">
        <v>37.229999999999997</v>
      </c>
      <c r="AA51" s="2" t="s">
        <v>55</v>
      </c>
      <c r="AB51" s="2" t="s">
        <v>55</v>
      </c>
      <c r="AC51" s="2" t="s">
        <v>55</v>
      </c>
      <c r="AD51" s="2" t="s">
        <v>55</v>
      </c>
      <c r="AE51" s="2">
        <v>38.229999999999997</v>
      </c>
    </row>
    <row r="52" spans="1:31" x14ac:dyDescent="0.25">
      <c r="A52" s="3" t="s">
        <v>304</v>
      </c>
      <c r="B52" s="2">
        <v>1198.05</v>
      </c>
      <c r="C52" s="2">
        <v>1250.6199999999999</v>
      </c>
      <c r="D52" s="2">
        <v>1310.0999999999999</v>
      </c>
      <c r="E52" s="2">
        <v>1368.45</v>
      </c>
      <c r="F52" s="2">
        <v>4303.7299999999996</v>
      </c>
      <c r="G52" s="2">
        <v>1428.3</v>
      </c>
      <c r="H52" s="2" t="s">
        <v>55</v>
      </c>
      <c r="I52" s="2" t="s">
        <v>55</v>
      </c>
      <c r="J52" s="2" t="s">
        <v>55</v>
      </c>
      <c r="K52" s="2">
        <v>3942.25</v>
      </c>
      <c r="L52" s="2" t="s">
        <v>55</v>
      </c>
      <c r="M52" s="2" t="s">
        <v>55</v>
      </c>
      <c r="N52" s="2" t="s">
        <v>55</v>
      </c>
      <c r="O52" s="2" t="s">
        <v>55</v>
      </c>
      <c r="P52" s="2">
        <v>4371.6899999999996</v>
      </c>
      <c r="Q52" s="2" t="s">
        <v>55</v>
      </c>
      <c r="R52" s="2" t="s">
        <v>55</v>
      </c>
      <c r="S52" s="2" t="s">
        <v>55</v>
      </c>
      <c r="T52" s="2" t="s">
        <v>55</v>
      </c>
      <c r="U52" s="2">
        <v>4757.16</v>
      </c>
      <c r="V52" s="2" t="s">
        <v>55</v>
      </c>
      <c r="W52" s="2" t="s">
        <v>55</v>
      </c>
      <c r="X52" s="2" t="s">
        <v>55</v>
      </c>
      <c r="Y52" s="2" t="s">
        <v>55</v>
      </c>
      <c r="Z52" s="2">
        <v>5108.76</v>
      </c>
      <c r="AA52" s="2" t="s">
        <v>55</v>
      </c>
      <c r="AB52" s="2" t="s">
        <v>55</v>
      </c>
      <c r="AC52" s="2" t="s">
        <v>55</v>
      </c>
      <c r="AD52" s="2" t="s">
        <v>55</v>
      </c>
      <c r="AE52" s="2">
        <v>5434.52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1C60-FE38-4DEB-9350-923B7FE497C6}">
  <dimension ref="A2:AE52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305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s="3" t="s">
        <v>176</v>
      </c>
      <c r="B16" s="2">
        <v>58063</v>
      </c>
      <c r="C16" s="2">
        <v>58356</v>
      </c>
      <c r="D16" s="2">
        <v>58641</v>
      </c>
      <c r="E16" s="2">
        <v>64983</v>
      </c>
      <c r="F16" s="2">
        <v>64983</v>
      </c>
      <c r="G16" s="2">
        <v>59164</v>
      </c>
      <c r="H16" s="2">
        <v>59443</v>
      </c>
      <c r="I16" s="2">
        <v>63582.89</v>
      </c>
      <c r="J16" s="2">
        <v>63882.75</v>
      </c>
      <c r="K16" s="2">
        <v>64219.22</v>
      </c>
      <c r="L16" s="2">
        <v>63988.87</v>
      </c>
      <c r="M16" s="2">
        <v>64272.7</v>
      </c>
      <c r="N16" s="2">
        <v>64558.84</v>
      </c>
      <c r="O16" s="2">
        <v>64839.839999999997</v>
      </c>
      <c r="P16" s="2">
        <v>65315.17</v>
      </c>
      <c r="Q16" s="2">
        <v>65311.96</v>
      </c>
      <c r="R16" s="2">
        <v>65611.61</v>
      </c>
      <c r="S16" s="2">
        <v>65914.259999999995</v>
      </c>
      <c r="T16" s="2">
        <v>66225.67</v>
      </c>
      <c r="U16" s="2">
        <v>66344.52</v>
      </c>
      <c r="V16" s="2">
        <v>66108.149999999994</v>
      </c>
      <c r="W16" s="2">
        <v>66407.34</v>
      </c>
      <c r="X16" s="2">
        <v>66710.11</v>
      </c>
      <c r="Y16" s="2">
        <v>67023.12</v>
      </c>
      <c r="Z16" s="2">
        <v>67281.009999999995</v>
      </c>
      <c r="AA16" s="2">
        <v>67250.52</v>
      </c>
      <c r="AB16" s="2">
        <v>67551.929999999993</v>
      </c>
      <c r="AC16" s="2">
        <v>67856.98</v>
      </c>
      <c r="AD16" s="2">
        <v>68172.41</v>
      </c>
      <c r="AE16" s="2">
        <v>68374.77</v>
      </c>
    </row>
    <row r="17" spans="1:31" x14ac:dyDescent="0.25">
      <c r="A17" s="3" t="s">
        <v>84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t="s">
        <v>306</v>
      </c>
      <c r="B18" s="2">
        <v>0.18909999999999999</v>
      </c>
      <c r="C18" s="2">
        <v>0.183</v>
      </c>
      <c r="D18" s="2">
        <v>0.17849999999999999</v>
      </c>
      <c r="E18" s="2">
        <v>0.1739</v>
      </c>
      <c r="F18" s="2">
        <v>0.17019999999999999</v>
      </c>
      <c r="G18" s="2">
        <v>0.16839999999999999</v>
      </c>
      <c r="H18" s="2">
        <v>0.16339999999999999</v>
      </c>
      <c r="I18" s="2">
        <v>0.15890000000000001</v>
      </c>
      <c r="J18" s="2">
        <v>0.1547</v>
      </c>
      <c r="K18" s="2">
        <v>0.14860000000000001</v>
      </c>
      <c r="L18" s="2">
        <v>0.14849999999999999</v>
      </c>
      <c r="M18" s="2">
        <v>0.14410000000000001</v>
      </c>
      <c r="N18" s="2">
        <v>0.14030000000000001</v>
      </c>
      <c r="O18" s="2">
        <v>0.13689999999999999</v>
      </c>
      <c r="P18" s="2">
        <v>0.13780000000000001</v>
      </c>
      <c r="Q18" s="2">
        <v>0.13339999999999999</v>
      </c>
      <c r="R18" s="2">
        <v>0.13009999999999999</v>
      </c>
      <c r="S18" s="2">
        <v>0.127</v>
      </c>
      <c r="T18" s="2">
        <v>0.1241</v>
      </c>
      <c r="U18" s="2">
        <v>0.1234</v>
      </c>
      <c r="V18" s="2">
        <v>0.1211</v>
      </c>
      <c r="W18" s="2">
        <v>0.1179</v>
      </c>
      <c r="X18" s="2">
        <v>0.11509999999999999</v>
      </c>
      <c r="Y18" s="2">
        <v>0.1125</v>
      </c>
      <c r="Z18" s="2">
        <v>0.1103</v>
      </c>
      <c r="AA18" s="2">
        <v>0.10970000000000001</v>
      </c>
      <c r="AB18" s="2">
        <v>0.10680000000000001</v>
      </c>
      <c r="AC18" s="2">
        <v>0.1042</v>
      </c>
      <c r="AD18" s="2">
        <v>0.1018</v>
      </c>
      <c r="AE18" s="2">
        <v>9.8199999999999996E-2</v>
      </c>
    </row>
    <row r="19" spans="1:31" x14ac:dyDescent="0.25">
      <c r="A19" t="s">
        <v>307</v>
      </c>
      <c r="B19" s="2">
        <v>-427</v>
      </c>
      <c r="C19" s="2">
        <v>-325</v>
      </c>
      <c r="D19" s="2">
        <v>-256</v>
      </c>
      <c r="E19" s="2">
        <v>-234.3</v>
      </c>
      <c r="F19" s="2">
        <v>-1371.48</v>
      </c>
      <c r="G19" s="2">
        <v>-315.25</v>
      </c>
      <c r="H19" s="2">
        <v>-268.31</v>
      </c>
      <c r="I19" s="2">
        <v>-235.97</v>
      </c>
      <c r="J19" s="2">
        <v>-222.62</v>
      </c>
      <c r="K19" s="2">
        <v>-1242.77</v>
      </c>
      <c r="L19" s="2">
        <v>-232.7</v>
      </c>
      <c r="M19" s="2">
        <v>-243</v>
      </c>
      <c r="N19" s="2">
        <v>-198.4</v>
      </c>
      <c r="O19" s="2">
        <v>-180.02</v>
      </c>
      <c r="P19" s="2">
        <v>-919.14</v>
      </c>
      <c r="Q19" s="2">
        <v>-173.89</v>
      </c>
      <c r="R19" s="2">
        <v>-163.6</v>
      </c>
      <c r="S19" s="2">
        <v>-149.88</v>
      </c>
      <c r="T19" s="2">
        <v>-137.02000000000001</v>
      </c>
      <c r="U19" s="2">
        <v>-796.16</v>
      </c>
      <c r="V19" s="2">
        <v>-158.11000000000001</v>
      </c>
      <c r="W19" s="2">
        <v>-160.16999999999999</v>
      </c>
      <c r="X19" s="2">
        <v>-144.38999999999999</v>
      </c>
      <c r="Y19" s="2">
        <v>-128.61000000000001</v>
      </c>
      <c r="Z19" s="2">
        <v>-758.46</v>
      </c>
      <c r="AA19" s="2">
        <v>-145.49</v>
      </c>
      <c r="AB19" s="2">
        <v>-156.91</v>
      </c>
      <c r="AC19" s="2">
        <v>-139.44999999999999</v>
      </c>
      <c r="AD19" s="2">
        <v>-121.89</v>
      </c>
      <c r="AE19" s="2">
        <v>-727.79</v>
      </c>
    </row>
    <row r="20" spans="1:31" x14ac:dyDescent="0.25">
      <c r="A20" s="3" t="s">
        <v>308</v>
      </c>
      <c r="B20" s="2">
        <v>12096</v>
      </c>
      <c r="C20" s="2">
        <v>11771</v>
      </c>
      <c r="D20" s="2">
        <v>11515</v>
      </c>
      <c r="E20" s="2">
        <v>11078.3</v>
      </c>
      <c r="F20" s="2">
        <v>10859.24</v>
      </c>
      <c r="G20" s="2">
        <v>10766.7</v>
      </c>
      <c r="H20" s="2">
        <v>10501.05</v>
      </c>
      <c r="I20" s="2">
        <v>10266.870000000001</v>
      </c>
      <c r="J20" s="2">
        <v>10043.370000000001</v>
      </c>
      <c r="K20" s="2">
        <v>9650.2999999999993</v>
      </c>
      <c r="L20" s="2">
        <v>9845.5499999999993</v>
      </c>
      <c r="M20" s="2">
        <v>9602.5499999999993</v>
      </c>
      <c r="N20" s="2">
        <v>9404.15</v>
      </c>
      <c r="O20" s="2">
        <v>9224.1200000000008</v>
      </c>
      <c r="P20" s="2">
        <v>9093.2199999999993</v>
      </c>
      <c r="Q20" s="2">
        <v>9050.24</v>
      </c>
      <c r="R20" s="2">
        <v>8886.64</v>
      </c>
      <c r="S20" s="2">
        <v>8736.75</v>
      </c>
      <c r="T20" s="2">
        <v>8599.74</v>
      </c>
      <c r="U20" s="2">
        <v>8285.9500000000007</v>
      </c>
      <c r="V20" s="2">
        <v>8441.6299999999992</v>
      </c>
      <c r="W20" s="2">
        <v>8281.4599999999991</v>
      </c>
      <c r="X20" s="2">
        <v>8137.06</v>
      </c>
      <c r="Y20" s="2">
        <v>8008.45</v>
      </c>
      <c r="Z20" s="2">
        <v>7523.99</v>
      </c>
      <c r="AA20" s="2">
        <v>7862.96</v>
      </c>
      <c r="AB20" s="2">
        <v>7706.05</v>
      </c>
      <c r="AC20" s="2">
        <v>7566.6</v>
      </c>
      <c r="AD20" s="2">
        <v>7444.7</v>
      </c>
      <c r="AE20" s="2">
        <v>6800.17</v>
      </c>
    </row>
    <row r="21" spans="1:31" x14ac:dyDescent="0.25">
      <c r="A21" t="s">
        <v>309</v>
      </c>
      <c r="B21" s="2">
        <v>12309.5</v>
      </c>
      <c r="C21" s="2">
        <v>11933.5</v>
      </c>
      <c r="D21" s="2">
        <v>11643</v>
      </c>
      <c r="E21" s="2">
        <v>11227.01</v>
      </c>
      <c r="F21" s="2">
        <v>11507.41</v>
      </c>
      <c r="G21" s="2">
        <v>10953.58</v>
      </c>
      <c r="H21" s="2">
        <v>10662.89</v>
      </c>
      <c r="I21" s="2">
        <v>10410.39</v>
      </c>
      <c r="J21" s="2">
        <v>10180.629999999999</v>
      </c>
      <c r="K21" s="2">
        <v>10241.459999999999</v>
      </c>
      <c r="L21" s="2">
        <v>9991.61</v>
      </c>
      <c r="M21" s="2">
        <v>9740.5499999999993</v>
      </c>
      <c r="N21" s="2">
        <v>9511.7099999999991</v>
      </c>
      <c r="O21" s="2">
        <v>9313.32</v>
      </c>
      <c r="P21" s="2">
        <v>9547.2900000000009</v>
      </c>
      <c r="Q21" s="2">
        <v>9116.31</v>
      </c>
      <c r="R21" s="2">
        <v>8918.7199999999993</v>
      </c>
      <c r="S21" s="2">
        <v>8738.94</v>
      </c>
      <c r="T21" s="2">
        <v>8576.6299999999992</v>
      </c>
      <c r="U21" s="2">
        <v>8684.4</v>
      </c>
      <c r="V21" s="2">
        <v>8405.51</v>
      </c>
      <c r="W21" s="2">
        <v>8221.2999999999993</v>
      </c>
      <c r="X21" s="2">
        <v>8050.57</v>
      </c>
      <c r="Y21" s="2">
        <v>7898.16</v>
      </c>
      <c r="Z21" s="2">
        <v>7900.62</v>
      </c>
      <c r="AA21" s="2">
        <v>7740</v>
      </c>
      <c r="AB21" s="2">
        <v>7567.64</v>
      </c>
      <c r="AC21" s="2">
        <v>7405.37</v>
      </c>
      <c r="AD21" s="2">
        <v>7261.83</v>
      </c>
      <c r="AE21" s="2">
        <v>7158.4</v>
      </c>
    </row>
    <row r="22" spans="1:31" x14ac:dyDescent="0.25">
      <c r="A22" t="s">
        <v>310</v>
      </c>
      <c r="B22" s="2">
        <v>125.47</v>
      </c>
      <c r="C22" s="2">
        <v>126.76</v>
      </c>
      <c r="D22" s="2">
        <v>125.81</v>
      </c>
      <c r="E22" s="2">
        <v>123.74</v>
      </c>
      <c r="F22" s="2">
        <v>125.66</v>
      </c>
      <c r="G22" s="2">
        <v>127.94</v>
      </c>
      <c r="H22" s="2">
        <v>128.19</v>
      </c>
      <c r="I22" s="2">
        <v>128.4</v>
      </c>
      <c r="J22" s="2">
        <v>126.28</v>
      </c>
      <c r="K22" s="2">
        <v>129.63999999999999</v>
      </c>
      <c r="L22" s="2">
        <v>135.19999999999999</v>
      </c>
      <c r="M22" s="2">
        <v>139.71</v>
      </c>
      <c r="N22" s="2">
        <v>140.76</v>
      </c>
      <c r="O22" s="2">
        <v>137.11000000000001</v>
      </c>
      <c r="P22" s="2">
        <v>129.37</v>
      </c>
      <c r="Q22" s="2">
        <v>138.91999999999999</v>
      </c>
      <c r="R22" s="2">
        <v>143.51</v>
      </c>
      <c r="S22" s="2">
        <v>144.55000000000001</v>
      </c>
      <c r="T22" s="2">
        <v>140.76</v>
      </c>
      <c r="U22" s="2">
        <v>132.01</v>
      </c>
      <c r="V22" s="2">
        <v>142.59</v>
      </c>
      <c r="W22" s="2">
        <v>147.28</v>
      </c>
      <c r="X22" s="2">
        <v>148.33000000000001</v>
      </c>
      <c r="Y22" s="2">
        <v>144.41</v>
      </c>
      <c r="Z22" s="2">
        <v>134.46</v>
      </c>
      <c r="AA22" s="2">
        <v>146.26</v>
      </c>
      <c r="AB22" s="2">
        <v>151.04</v>
      </c>
      <c r="AC22" s="2">
        <v>152.07</v>
      </c>
      <c r="AD22" s="2">
        <v>148.02000000000001</v>
      </c>
      <c r="AE22" s="2">
        <v>136.86000000000001</v>
      </c>
    </row>
    <row r="23" spans="1:31" x14ac:dyDescent="0.25">
      <c r="A23" s="3" t="s">
        <v>311</v>
      </c>
      <c r="B23" s="2">
        <v>4434.26</v>
      </c>
      <c r="C23" s="2">
        <v>4353.17</v>
      </c>
      <c r="D23" s="2">
        <v>4235.43</v>
      </c>
      <c r="E23" s="2">
        <v>4100.63</v>
      </c>
      <c r="F23" s="2">
        <v>17062.13</v>
      </c>
      <c r="G23" s="2">
        <v>4075.33</v>
      </c>
      <c r="H23" s="2">
        <v>3989.85</v>
      </c>
      <c r="I23" s="2">
        <v>3903.53</v>
      </c>
      <c r="J23" s="2">
        <v>3761.73</v>
      </c>
      <c r="K23" s="2">
        <v>15496.03</v>
      </c>
      <c r="L23" s="2">
        <v>3707.01</v>
      </c>
      <c r="M23" s="2">
        <v>3695.09</v>
      </c>
      <c r="N23" s="2">
        <v>3615.91</v>
      </c>
      <c r="O23" s="2">
        <v>3474.15</v>
      </c>
      <c r="P23" s="2">
        <v>14364.32</v>
      </c>
      <c r="Q23" s="2">
        <v>3658.61</v>
      </c>
      <c r="R23" s="2">
        <v>3697.83</v>
      </c>
      <c r="S23" s="2">
        <v>3642.25</v>
      </c>
      <c r="T23" s="2">
        <v>3466.57</v>
      </c>
      <c r="U23" s="2">
        <v>13407.99</v>
      </c>
      <c r="V23" s="2">
        <v>3430.32</v>
      </c>
      <c r="W23" s="2">
        <v>3459.26</v>
      </c>
      <c r="X23" s="2">
        <v>3399.18</v>
      </c>
      <c r="Y23" s="2">
        <v>3227.16</v>
      </c>
      <c r="Z23" s="2">
        <v>12254.09</v>
      </c>
      <c r="AA23" s="2">
        <v>3185.04</v>
      </c>
      <c r="AB23" s="2">
        <v>3203.04</v>
      </c>
      <c r="AC23" s="2">
        <v>3138.25</v>
      </c>
      <c r="AD23" s="2">
        <v>2970.27</v>
      </c>
      <c r="AE23" s="2">
        <v>11091.38</v>
      </c>
    </row>
    <row r="24" spans="1:31" x14ac:dyDescent="0.25">
      <c r="A24" s="3" t="s">
        <v>84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t="s">
        <v>312</v>
      </c>
      <c r="B25" s="2">
        <v>0.50270000000000004</v>
      </c>
      <c r="C25" s="2">
        <v>0.49680000000000002</v>
      </c>
      <c r="D25" s="2">
        <v>0.49280000000000002</v>
      </c>
      <c r="E25" s="2">
        <v>0.48730000000000001</v>
      </c>
      <c r="F25" s="2">
        <v>0.46460000000000001</v>
      </c>
      <c r="G25" s="2">
        <v>0.48430000000000001</v>
      </c>
      <c r="H25" s="2">
        <v>0.47920000000000001</v>
      </c>
      <c r="I25" s="2">
        <v>0.45550000000000002</v>
      </c>
      <c r="J25" s="2">
        <v>0.4506</v>
      </c>
      <c r="K25" s="2">
        <v>0.4471</v>
      </c>
      <c r="L25" s="2">
        <v>0.45529999999999998</v>
      </c>
      <c r="M25" s="2">
        <v>0.45090000000000002</v>
      </c>
      <c r="N25" s="2">
        <v>0.44779999999999998</v>
      </c>
      <c r="O25" s="2">
        <v>0.44390000000000002</v>
      </c>
      <c r="P25" s="2">
        <v>0.43190000000000001</v>
      </c>
      <c r="Q25" s="2">
        <v>0.44109999999999999</v>
      </c>
      <c r="R25" s="2">
        <v>0.43709999999999999</v>
      </c>
      <c r="S25" s="2">
        <v>0.43440000000000001</v>
      </c>
      <c r="T25" s="2">
        <v>0.43080000000000002</v>
      </c>
      <c r="U25" s="2">
        <v>0.41810000000000003</v>
      </c>
      <c r="V25" s="2">
        <v>0.42820000000000003</v>
      </c>
      <c r="W25" s="2">
        <v>0.4244</v>
      </c>
      <c r="X25" s="2">
        <v>0.42199999999999999</v>
      </c>
      <c r="Y25" s="2">
        <v>0.41870000000000002</v>
      </c>
      <c r="Z25" s="2">
        <v>0.40479999999999999</v>
      </c>
      <c r="AA25" s="2">
        <v>0.41620000000000001</v>
      </c>
      <c r="AB25" s="2">
        <v>0.41239999999999999</v>
      </c>
      <c r="AC25" s="2">
        <v>0.41010000000000002</v>
      </c>
      <c r="AD25" s="2">
        <v>0.40689999999999998</v>
      </c>
      <c r="AE25" s="2">
        <v>0.3921</v>
      </c>
    </row>
    <row r="26" spans="1:31" x14ac:dyDescent="0.25">
      <c r="A26" t="s">
        <v>313</v>
      </c>
      <c r="B26" s="2">
        <v>-183</v>
      </c>
      <c r="C26" s="2">
        <v>-201</v>
      </c>
      <c r="D26" s="2">
        <v>-91.75</v>
      </c>
      <c r="E26" s="2">
        <v>-178</v>
      </c>
      <c r="F26" s="2">
        <v>-654</v>
      </c>
      <c r="G26" s="2">
        <v>-65</v>
      </c>
      <c r="H26" s="2">
        <v>-168</v>
      </c>
      <c r="I26" s="2">
        <v>-139.82</v>
      </c>
      <c r="J26" s="2">
        <v>-169.26</v>
      </c>
      <c r="K26" s="2">
        <v>-542.08000000000004</v>
      </c>
      <c r="L26" s="2">
        <v>-70.62</v>
      </c>
      <c r="M26" s="2">
        <v>-114.3</v>
      </c>
      <c r="N26" s="2">
        <v>-69.75</v>
      </c>
      <c r="O26" s="2">
        <v>-80.849999999999994</v>
      </c>
      <c r="P26" s="2">
        <v>-351.78</v>
      </c>
      <c r="Q26" s="2">
        <v>-64.12</v>
      </c>
      <c r="R26" s="2">
        <v>-100.86</v>
      </c>
      <c r="S26" s="2">
        <v>-49.05</v>
      </c>
      <c r="T26" s="2">
        <v>-64.83</v>
      </c>
      <c r="U26" s="2">
        <v>-307.08</v>
      </c>
      <c r="V26" s="2">
        <v>-84.25</v>
      </c>
      <c r="W26" s="2">
        <v>-115.78</v>
      </c>
      <c r="X26" s="2">
        <v>-43</v>
      </c>
      <c r="Y26" s="2">
        <v>-71.14</v>
      </c>
      <c r="Z26" s="2">
        <v>-327.32</v>
      </c>
      <c r="AA26" s="2">
        <v>-118.5</v>
      </c>
      <c r="AB26" s="2">
        <v>-146.56</v>
      </c>
      <c r="AC26" s="2">
        <v>-46</v>
      </c>
      <c r="AD26" s="2">
        <v>-87.28</v>
      </c>
      <c r="AE26" s="2">
        <v>-359.98</v>
      </c>
    </row>
    <row r="27" spans="1:31" x14ac:dyDescent="0.25">
      <c r="A27" s="3" t="s">
        <v>314</v>
      </c>
      <c r="B27" s="2">
        <v>29190</v>
      </c>
      <c r="C27" s="2">
        <v>28989</v>
      </c>
      <c r="D27" s="2">
        <v>28897</v>
      </c>
      <c r="E27" s="2">
        <v>28719</v>
      </c>
      <c r="F27" s="2">
        <v>28719</v>
      </c>
      <c r="G27" s="2">
        <v>28654</v>
      </c>
      <c r="H27" s="2">
        <v>28486</v>
      </c>
      <c r="I27" s="2">
        <v>28347.15</v>
      </c>
      <c r="J27" s="2">
        <v>28175.74</v>
      </c>
      <c r="K27" s="2">
        <v>28175.74</v>
      </c>
      <c r="L27" s="2">
        <v>28122.97</v>
      </c>
      <c r="M27" s="2">
        <v>28008.67</v>
      </c>
      <c r="N27" s="2">
        <v>27938.92</v>
      </c>
      <c r="O27" s="2">
        <v>27858.080000000002</v>
      </c>
      <c r="P27" s="2">
        <v>27784.31</v>
      </c>
      <c r="Q27" s="2">
        <v>27793.95</v>
      </c>
      <c r="R27" s="2">
        <v>27693.09</v>
      </c>
      <c r="S27" s="2">
        <v>27644.04</v>
      </c>
      <c r="T27" s="2">
        <v>27579.21</v>
      </c>
      <c r="U27" s="2">
        <v>27428.65</v>
      </c>
      <c r="V27" s="2">
        <v>27494.959999999999</v>
      </c>
      <c r="W27" s="2">
        <v>27379.18</v>
      </c>
      <c r="X27" s="2">
        <v>27336.18</v>
      </c>
      <c r="Y27" s="2">
        <v>27265.040000000001</v>
      </c>
      <c r="Z27" s="2">
        <v>27056.79</v>
      </c>
      <c r="AA27" s="2">
        <v>27146.54</v>
      </c>
      <c r="AB27" s="2">
        <v>26999.98</v>
      </c>
      <c r="AC27" s="2">
        <v>26953.98</v>
      </c>
      <c r="AD27" s="2">
        <v>26866.7</v>
      </c>
      <c r="AE27" s="2">
        <v>26664.31</v>
      </c>
    </row>
    <row r="28" spans="1:31" x14ac:dyDescent="0.25">
      <c r="A28" t="s">
        <v>315</v>
      </c>
      <c r="B28" s="2">
        <v>29281.5</v>
      </c>
      <c r="C28" s="2">
        <v>29089.5</v>
      </c>
      <c r="D28" s="2">
        <v>28943</v>
      </c>
      <c r="E28" s="2">
        <v>28808</v>
      </c>
      <c r="F28" s="2">
        <v>29036.7</v>
      </c>
      <c r="G28" s="2">
        <v>28686.5</v>
      </c>
      <c r="H28" s="2">
        <v>28570</v>
      </c>
      <c r="I28" s="2">
        <v>28416.57</v>
      </c>
      <c r="J28" s="2">
        <v>28261.439999999999</v>
      </c>
      <c r="K28" s="2">
        <v>28467.47</v>
      </c>
      <c r="L28" s="2">
        <v>28158.29</v>
      </c>
      <c r="M28" s="2">
        <v>28065.83</v>
      </c>
      <c r="N28" s="2">
        <v>27973.8</v>
      </c>
      <c r="O28" s="2">
        <v>27898.5</v>
      </c>
      <c r="P28" s="2">
        <v>27980.83</v>
      </c>
      <c r="Q28" s="2">
        <v>27826.01</v>
      </c>
      <c r="R28" s="2">
        <v>27743.52</v>
      </c>
      <c r="S28" s="2">
        <v>27668.560000000001</v>
      </c>
      <c r="T28" s="2">
        <v>27611.62</v>
      </c>
      <c r="U28" s="2">
        <v>27605.5</v>
      </c>
      <c r="V28" s="2">
        <v>27537.08</v>
      </c>
      <c r="W28" s="2">
        <v>27437.07</v>
      </c>
      <c r="X28" s="2">
        <v>27357.68</v>
      </c>
      <c r="Y28" s="2">
        <v>27300.61</v>
      </c>
      <c r="Z28" s="2">
        <v>27238.61</v>
      </c>
      <c r="AA28" s="2">
        <v>27205.79</v>
      </c>
      <c r="AB28" s="2">
        <v>27073.26</v>
      </c>
      <c r="AC28" s="2">
        <v>26976.98</v>
      </c>
      <c r="AD28" s="2">
        <v>26910.34</v>
      </c>
      <c r="AE28" s="2">
        <v>26852.34</v>
      </c>
    </row>
    <row r="29" spans="1:31" x14ac:dyDescent="0.25">
      <c r="A29" t="s">
        <v>316</v>
      </c>
      <c r="B29" s="2">
        <v>76.03</v>
      </c>
      <c r="C29" s="2">
        <v>76.19</v>
      </c>
      <c r="D29" s="2">
        <v>75.44</v>
      </c>
      <c r="E29" s="2">
        <v>74.17</v>
      </c>
      <c r="F29" s="2">
        <v>75.61</v>
      </c>
      <c r="G29" s="2">
        <v>73.650000000000006</v>
      </c>
      <c r="H29" s="2">
        <v>73.27</v>
      </c>
      <c r="I29" s="2">
        <v>72.95</v>
      </c>
      <c r="J29" s="2">
        <v>72.400000000000006</v>
      </c>
      <c r="K29" s="2">
        <v>74.48</v>
      </c>
      <c r="L29" s="2">
        <v>74.59</v>
      </c>
      <c r="M29" s="2">
        <v>74.58</v>
      </c>
      <c r="N29" s="2">
        <v>74.489999999999995</v>
      </c>
      <c r="O29" s="2">
        <v>73.62</v>
      </c>
      <c r="P29" s="2">
        <v>74.06</v>
      </c>
      <c r="Q29" s="2">
        <v>75.63</v>
      </c>
      <c r="R29" s="2">
        <v>76.08</v>
      </c>
      <c r="S29" s="2">
        <v>75.95</v>
      </c>
      <c r="T29" s="2">
        <v>75.09</v>
      </c>
      <c r="U29" s="2">
        <v>75.52</v>
      </c>
      <c r="V29" s="2">
        <v>76.64</v>
      </c>
      <c r="W29" s="2">
        <v>77.56</v>
      </c>
      <c r="X29" s="2">
        <v>77.37</v>
      </c>
      <c r="Y29" s="2">
        <v>76.53</v>
      </c>
      <c r="Z29" s="2">
        <v>76.989999999999995</v>
      </c>
      <c r="AA29" s="2">
        <v>77.599999999999994</v>
      </c>
      <c r="AB29" s="2">
        <v>79.010000000000005</v>
      </c>
      <c r="AC29" s="2">
        <v>78.77</v>
      </c>
      <c r="AD29" s="2">
        <v>77.930000000000007</v>
      </c>
      <c r="AE29" s="2">
        <v>78.48</v>
      </c>
    </row>
    <row r="30" spans="1:31" x14ac:dyDescent="0.25">
      <c r="A30" s="3" t="s">
        <v>317</v>
      </c>
      <c r="B30" s="2">
        <v>6679</v>
      </c>
      <c r="C30" s="2">
        <v>6649</v>
      </c>
      <c r="D30" s="2">
        <v>6550</v>
      </c>
      <c r="E30" s="2">
        <v>6410</v>
      </c>
      <c r="F30" s="2">
        <v>26288</v>
      </c>
      <c r="G30" s="2">
        <v>6338</v>
      </c>
      <c r="H30" s="2">
        <v>6280</v>
      </c>
      <c r="I30" s="2">
        <v>6220.48</v>
      </c>
      <c r="J30" s="2">
        <v>6176</v>
      </c>
      <c r="K30" s="2">
        <v>25987.37</v>
      </c>
      <c r="L30" s="2">
        <v>6296.68</v>
      </c>
      <c r="M30" s="2">
        <v>6268.86</v>
      </c>
      <c r="N30" s="2">
        <v>6234.72</v>
      </c>
      <c r="O30" s="2">
        <v>6198.15</v>
      </c>
      <c r="P30" s="2">
        <v>25499.81</v>
      </c>
      <c r="Q30" s="2">
        <v>6382.15</v>
      </c>
      <c r="R30" s="2">
        <v>6419.32</v>
      </c>
      <c r="S30" s="2">
        <v>6407.55</v>
      </c>
      <c r="T30" s="2">
        <v>6336.87</v>
      </c>
      <c r="U30" s="2">
        <v>25956.07</v>
      </c>
      <c r="V30" s="2">
        <v>6468.62</v>
      </c>
      <c r="W30" s="2">
        <v>6549.32</v>
      </c>
      <c r="X30" s="2">
        <v>6542.83</v>
      </c>
      <c r="Y30" s="2">
        <v>6484.23</v>
      </c>
      <c r="Z30" s="2">
        <v>26281.98</v>
      </c>
      <c r="AA30" s="2">
        <v>6581.78</v>
      </c>
      <c r="AB30" s="2">
        <v>6705.82</v>
      </c>
      <c r="AC30" s="2">
        <v>6704.85</v>
      </c>
      <c r="AD30" s="2">
        <v>6659.81</v>
      </c>
      <c r="AE30" s="2">
        <v>26639.07</v>
      </c>
    </row>
    <row r="31" spans="1:31" x14ac:dyDescent="0.25">
      <c r="A31" s="3" t="s">
        <v>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t="s">
        <v>318</v>
      </c>
      <c r="B32" s="2">
        <v>8.8300000000000003E-2</v>
      </c>
      <c r="C32" s="2">
        <v>8.2900000000000001E-2</v>
      </c>
      <c r="D32" s="2">
        <v>7.8700000000000006E-2</v>
      </c>
      <c r="E32" s="2">
        <v>7.4899999999999994E-2</v>
      </c>
      <c r="F32" s="2">
        <v>7.3200000000000001E-2</v>
      </c>
      <c r="G32" s="2">
        <v>6.8199999999999997E-2</v>
      </c>
      <c r="H32" s="2">
        <v>6.5000000000000002E-2</v>
      </c>
      <c r="I32" s="2">
        <v>5.79E-2</v>
      </c>
      <c r="J32" s="2">
        <v>5.5E-2</v>
      </c>
      <c r="K32" s="2">
        <v>5.33E-2</v>
      </c>
      <c r="L32" s="2">
        <v>6.1199999999999997E-2</v>
      </c>
      <c r="M32" s="2">
        <v>5.79E-2</v>
      </c>
      <c r="N32" s="2">
        <v>5.5199999999999999E-2</v>
      </c>
      <c r="O32" s="2">
        <v>5.28E-2</v>
      </c>
      <c r="P32" s="2">
        <v>4.36E-2</v>
      </c>
      <c r="Q32" s="2">
        <v>4.9700000000000001E-2</v>
      </c>
      <c r="R32" s="2">
        <v>4.7100000000000003E-2</v>
      </c>
      <c r="S32" s="2">
        <v>4.4999999999999998E-2</v>
      </c>
      <c r="T32" s="2">
        <v>4.3299999999999998E-2</v>
      </c>
      <c r="U32" s="2">
        <v>3.2099999999999997E-2</v>
      </c>
      <c r="V32" s="2">
        <v>4.07E-2</v>
      </c>
      <c r="W32" s="2">
        <v>3.85E-2</v>
      </c>
      <c r="X32" s="2">
        <v>3.6799999999999999E-2</v>
      </c>
      <c r="Y32" s="2">
        <v>3.5299999999999998E-2</v>
      </c>
      <c r="Z32" s="2">
        <v>2.5499999999999998E-2</v>
      </c>
      <c r="AA32" s="2">
        <v>3.3300000000000003E-2</v>
      </c>
      <c r="AB32" s="2">
        <v>3.1399999999999997E-2</v>
      </c>
      <c r="AC32" s="2">
        <v>2.9899999999999999E-2</v>
      </c>
      <c r="AD32" s="2">
        <v>2.87E-2</v>
      </c>
      <c r="AE32" s="2">
        <v>1.6400000000000001E-2</v>
      </c>
    </row>
    <row r="33" spans="1:31" x14ac:dyDescent="0.25">
      <c r="A33" t="s">
        <v>319</v>
      </c>
      <c r="B33" s="2">
        <v>-341.52</v>
      </c>
      <c r="C33" s="2">
        <v>-310.42</v>
      </c>
      <c r="D33" s="2">
        <v>-242.35</v>
      </c>
      <c r="E33" s="2">
        <v>-217.4</v>
      </c>
      <c r="F33" s="2">
        <v>-1093</v>
      </c>
      <c r="G33" s="2">
        <v>-215.56</v>
      </c>
      <c r="H33" s="2">
        <v>-224.48</v>
      </c>
      <c r="I33" s="2">
        <v>-648.65</v>
      </c>
      <c r="J33" s="2">
        <v>-203.05</v>
      </c>
      <c r="K33" s="2">
        <v>-1219.06</v>
      </c>
      <c r="L33" s="2">
        <v>-236.23</v>
      </c>
      <c r="M33" s="2">
        <v>-199.32</v>
      </c>
      <c r="N33" s="2">
        <v>-155.54</v>
      </c>
      <c r="O33" s="2">
        <v>-117.6</v>
      </c>
      <c r="P33" s="2">
        <v>-775.45</v>
      </c>
      <c r="Q33" s="2">
        <v>-167.52</v>
      </c>
      <c r="R33" s="2">
        <v>-140.19</v>
      </c>
      <c r="S33" s="2">
        <v>-108.62</v>
      </c>
      <c r="T33" s="2">
        <v>-81.83</v>
      </c>
      <c r="U33" s="2">
        <v>-718.47</v>
      </c>
      <c r="V33" s="2">
        <v>-134.99</v>
      </c>
      <c r="W33" s="2">
        <v>-133.03</v>
      </c>
      <c r="X33" s="2">
        <v>-97.76</v>
      </c>
      <c r="Y33" s="2">
        <v>-65.25</v>
      </c>
      <c r="Z33" s="2">
        <v>-621.63</v>
      </c>
      <c r="AA33" s="2">
        <v>-108.87</v>
      </c>
      <c r="AB33" s="2">
        <v>-126.24</v>
      </c>
      <c r="AC33" s="2">
        <v>-87.98</v>
      </c>
      <c r="AD33" s="2">
        <v>-52</v>
      </c>
      <c r="AE33" s="2">
        <v>-590.01</v>
      </c>
    </row>
    <row r="34" spans="1:31" x14ac:dyDescent="0.25">
      <c r="A34" s="3" t="s">
        <v>320</v>
      </c>
      <c r="B34" s="2">
        <v>5339.38</v>
      </c>
      <c r="C34" s="2">
        <v>5021.55</v>
      </c>
      <c r="D34" s="2">
        <v>4781.16</v>
      </c>
      <c r="E34" s="2">
        <v>4564.76</v>
      </c>
      <c r="F34" s="2">
        <v>4664.42</v>
      </c>
      <c r="G34" s="2">
        <v>4132.16</v>
      </c>
      <c r="H34" s="2">
        <v>3965.76</v>
      </c>
      <c r="I34" s="2">
        <v>3469.83</v>
      </c>
      <c r="J34" s="2">
        <v>3312.55</v>
      </c>
      <c r="K34" s="2">
        <v>3459.6</v>
      </c>
      <c r="L34" s="2">
        <v>3748.63</v>
      </c>
      <c r="M34" s="2">
        <v>3549.31</v>
      </c>
      <c r="N34" s="2">
        <v>3393.77</v>
      </c>
      <c r="O34" s="2">
        <v>3276.17</v>
      </c>
      <c r="P34" s="2">
        <v>2877.7</v>
      </c>
      <c r="Q34" s="2">
        <v>3108.64</v>
      </c>
      <c r="R34" s="2">
        <v>2968.46</v>
      </c>
      <c r="S34" s="2">
        <v>2859.83</v>
      </c>
      <c r="T34" s="2">
        <v>2778</v>
      </c>
      <c r="U34" s="2">
        <v>2158.11</v>
      </c>
      <c r="V34" s="2">
        <v>2643.01</v>
      </c>
      <c r="W34" s="2">
        <v>2509.98</v>
      </c>
      <c r="X34" s="2">
        <v>2412.2199999999998</v>
      </c>
      <c r="Y34" s="2">
        <v>2346.9699999999998</v>
      </c>
      <c r="Z34" s="2">
        <v>1459.23</v>
      </c>
      <c r="AA34" s="2">
        <v>2238.1</v>
      </c>
      <c r="AB34" s="2">
        <v>2111.86</v>
      </c>
      <c r="AC34" s="2">
        <v>2023.87</v>
      </c>
      <c r="AD34" s="2">
        <v>1971.87</v>
      </c>
      <c r="AE34" s="2">
        <v>1147.92</v>
      </c>
    </row>
    <row r="35" spans="1:31" x14ac:dyDescent="0.25">
      <c r="A35" t="s">
        <v>321</v>
      </c>
      <c r="B35" s="2">
        <v>5410.38</v>
      </c>
      <c r="C35" s="2">
        <v>5093.37</v>
      </c>
      <c r="D35" s="2">
        <v>4820.6899999999996</v>
      </c>
      <c r="E35" s="2">
        <v>4594.54</v>
      </c>
      <c r="F35" s="2">
        <v>4939.3599999999997</v>
      </c>
      <c r="G35" s="2">
        <v>4306.1499999999996</v>
      </c>
      <c r="H35" s="2">
        <v>4008.75</v>
      </c>
      <c r="I35" s="2">
        <v>3833.25</v>
      </c>
      <c r="J35" s="2">
        <v>3666.41</v>
      </c>
      <c r="K35" s="2">
        <v>3880.73</v>
      </c>
      <c r="L35" s="2">
        <v>4200.1899999999996</v>
      </c>
      <c r="M35" s="2">
        <v>3968.5</v>
      </c>
      <c r="N35" s="2">
        <v>3783.82</v>
      </c>
      <c r="O35" s="2">
        <v>3632.59</v>
      </c>
      <c r="P35" s="2">
        <v>3253.05</v>
      </c>
      <c r="Q35" s="2">
        <v>3463.01</v>
      </c>
      <c r="R35" s="2">
        <v>3283.05</v>
      </c>
      <c r="S35" s="2">
        <v>3140.08</v>
      </c>
      <c r="T35" s="2">
        <v>3022.55</v>
      </c>
      <c r="U35" s="2">
        <v>2510.69</v>
      </c>
      <c r="V35" s="2">
        <v>2885.99</v>
      </c>
      <c r="W35" s="2">
        <v>2732.91</v>
      </c>
      <c r="X35" s="2">
        <v>2607.5300000000002</v>
      </c>
      <c r="Y35" s="2">
        <v>2508.11</v>
      </c>
      <c r="Z35" s="2">
        <v>2070.16</v>
      </c>
      <c r="AA35" s="2">
        <v>2395.89</v>
      </c>
      <c r="AB35" s="2">
        <v>2265.5100000000002</v>
      </c>
      <c r="AC35" s="2">
        <v>2155.4899999999998</v>
      </c>
      <c r="AD35" s="2">
        <v>2071.4899999999998</v>
      </c>
      <c r="AE35" s="2">
        <v>1446.24</v>
      </c>
    </row>
    <row r="36" spans="1:31" x14ac:dyDescent="0.25">
      <c r="A36" t="s">
        <v>322</v>
      </c>
      <c r="B36" s="2">
        <v>29.58</v>
      </c>
      <c r="C36" s="2">
        <v>29.74</v>
      </c>
      <c r="D36" s="2">
        <v>30.11</v>
      </c>
      <c r="E36" s="2">
        <v>30.04</v>
      </c>
      <c r="F36" s="2">
        <v>29.41</v>
      </c>
      <c r="G36" s="2">
        <v>30.9</v>
      </c>
      <c r="H36" s="2">
        <v>30.99</v>
      </c>
      <c r="I36" s="2">
        <v>31.29</v>
      </c>
      <c r="J36" s="2">
        <v>31.15</v>
      </c>
      <c r="K36" s="2">
        <v>29.92</v>
      </c>
      <c r="L36" s="2">
        <v>39.020000000000003</v>
      </c>
      <c r="M36" s="2">
        <v>39.6</v>
      </c>
      <c r="N36" s="2">
        <v>40.29</v>
      </c>
      <c r="O36" s="2">
        <v>40.369999999999997</v>
      </c>
      <c r="P36" s="2">
        <v>30.27</v>
      </c>
      <c r="Q36" s="2">
        <v>42.12</v>
      </c>
      <c r="R36" s="2">
        <v>42.73</v>
      </c>
      <c r="S36" s="2">
        <v>43.44</v>
      </c>
      <c r="T36" s="2">
        <v>43.5</v>
      </c>
      <c r="U36" s="2">
        <v>30.71</v>
      </c>
      <c r="V36" s="2">
        <v>45.27</v>
      </c>
      <c r="W36" s="2">
        <v>46.03</v>
      </c>
      <c r="X36" s="2">
        <v>46.91</v>
      </c>
      <c r="Y36" s="2">
        <v>47.06</v>
      </c>
      <c r="Z36" s="2">
        <v>26.19</v>
      </c>
      <c r="AA36" s="2">
        <v>48.89</v>
      </c>
      <c r="AB36" s="2">
        <v>49.84</v>
      </c>
      <c r="AC36" s="2">
        <v>50.97</v>
      </c>
      <c r="AD36" s="2">
        <v>51.22</v>
      </c>
      <c r="AE36" s="2">
        <v>31.86</v>
      </c>
    </row>
    <row r="37" spans="1:31" x14ac:dyDescent="0.25">
      <c r="A37" s="3" t="s">
        <v>323</v>
      </c>
      <c r="B37" s="2">
        <v>481.39</v>
      </c>
      <c r="C37" s="2">
        <v>475.92</v>
      </c>
      <c r="D37" s="2">
        <v>461.11</v>
      </c>
      <c r="E37" s="2">
        <v>448.94</v>
      </c>
      <c r="F37" s="2">
        <v>1859.91</v>
      </c>
      <c r="G37" s="2">
        <v>425.9</v>
      </c>
      <c r="H37" s="2">
        <v>425.52</v>
      </c>
      <c r="I37" s="2">
        <v>409.76</v>
      </c>
      <c r="J37" s="2">
        <v>401.54</v>
      </c>
      <c r="K37" s="2">
        <v>1599.14</v>
      </c>
      <c r="L37" s="2">
        <v>460.69</v>
      </c>
      <c r="M37" s="2">
        <v>466.6</v>
      </c>
      <c r="N37" s="2">
        <v>456.28</v>
      </c>
      <c r="O37" s="2">
        <v>449.15</v>
      </c>
      <c r="P37" s="2">
        <v>1463.72</v>
      </c>
      <c r="Q37" s="2">
        <v>335.04</v>
      </c>
      <c r="R37" s="2">
        <v>332.3</v>
      </c>
      <c r="S37" s="2">
        <v>328.91</v>
      </c>
      <c r="T37" s="2">
        <v>332.35</v>
      </c>
      <c r="U37" s="2">
        <v>1033.26</v>
      </c>
      <c r="V37" s="2">
        <v>298.08999999999997</v>
      </c>
      <c r="W37" s="2">
        <v>294.72000000000003</v>
      </c>
      <c r="X37" s="2">
        <v>289.57</v>
      </c>
      <c r="Y37" s="2">
        <v>288.01</v>
      </c>
      <c r="Z37" s="2">
        <v>825.29</v>
      </c>
      <c r="AA37" s="2">
        <v>257.66000000000003</v>
      </c>
      <c r="AB37" s="2">
        <v>253.14</v>
      </c>
      <c r="AC37" s="2">
        <v>248</v>
      </c>
      <c r="AD37" s="2">
        <v>247.95</v>
      </c>
      <c r="AE37" s="2">
        <v>624.73</v>
      </c>
    </row>
    <row r="38" spans="1:31" x14ac:dyDescent="0.25">
      <c r="A38" s="3" t="s">
        <v>84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5">
      <c r="A39" t="s">
        <v>324</v>
      </c>
      <c r="B39" s="2">
        <v>-935</v>
      </c>
      <c r="C39" s="2">
        <v>-816</v>
      </c>
      <c r="D39" s="2">
        <v>-592</v>
      </c>
      <c r="E39" s="2">
        <v>-640</v>
      </c>
      <c r="F39" s="2">
        <v>-3103.86</v>
      </c>
      <c r="G39" s="2">
        <v>-487</v>
      </c>
      <c r="H39" s="2">
        <v>-548</v>
      </c>
      <c r="I39" s="2">
        <v>-1767.59</v>
      </c>
      <c r="J39" s="2">
        <v>-337.85</v>
      </c>
      <c r="K39" s="2">
        <v>-3235.53</v>
      </c>
      <c r="L39" s="2">
        <v>-477.88</v>
      </c>
      <c r="M39" s="2">
        <v>-428.92</v>
      </c>
      <c r="N39" s="2">
        <v>-346.84</v>
      </c>
      <c r="O39" s="2">
        <v>-264.35000000000002</v>
      </c>
      <c r="P39" s="2">
        <v>-1517.99</v>
      </c>
      <c r="Q39" s="2">
        <v>-328.55</v>
      </c>
      <c r="R39" s="2">
        <v>-284.11</v>
      </c>
      <c r="S39" s="2">
        <v>-211.48</v>
      </c>
      <c r="T39" s="2">
        <v>-160.53</v>
      </c>
      <c r="U39" s="2">
        <v>-984.67</v>
      </c>
      <c r="V39" s="2">
        <v>-254.72</v>
      </c>
      <c r="W39" s="2">
        <v>-249.93</v>
      </c>
      <c r="X39" s="2">
        <v>-127.54</v>
      </c>
      <c r="Y39" s="2">
        <v>-89.76</v>
      </c>
      <c r="Z39" s="2">
        <v>-721.95</v>
      </c>
      <c r="AA39" s="2">
        <v>-196.85</v>
      </c>
      <c r="AB39" s="2">
        <v>-223.19</v>
      </c>
      <c r="AC39" s="2">
        <v>-38.89</v>
      </c>
      <c r="AD39" s="2">
        <v>-20.34</v>
      </c>
      <c r="AE39" s="2">
        <v>-479.27</v>
      </c>
    </row>
    <row r="40" spans="1:31" x14ac:dyDescent="0.25">
      <c r="A40" s="3" t="s">
        <v>325</v>
      </c>
      <c r="B40" s="2">
        <v>46825.78</v>
      </c>
      <c r="C40" s="2">
        <v>45997.24</v>
      </c>
      <c r="D40" s="2">
        <v>45422.49</v>
      </c>
      <c r="E40" s="2">
        <v>44796.800000000003</v>
      </c>
      <c r="F40" s="2">
        <v>44357.33</v>
      </c>
      <c r="G40" s="2">
        <v>43830.43</v>
      </c>
      <c r="H40" s="2">
        <v>43348.85</v>
      </c>
      <c r="I40" s="2">
        <v>42265.18</v>
      </c>
      <c r="J40" s="2">
        <v>41882.769999999997</v>
      </c>
      <c r="K40" s="2">
        <v>41304.43</v>
      </c>
      <c r="L40" s="2">
        <v>42020.68</v>
      </c>
      <c r="M40" s="2">
        <v>41591.760000000002</v>
      </c>
      <c r="N40" s="2">
        <v>41244.92</v>
      </c>
      <c r="O40" s="2">
        <v>40980.57</v>
      </c>
      <c r="P40" s="2">
        <v>40001.96</v>
      </c>
      <c r="Q40" s="2">
        <v>40652.01</v>
      </c>
      <c r="R40" s="2">
        <v>40367.910000000003</v>
      </c>
      <c r="S40" s="2">
        <v>40156.42</v>
      </c>
      <c r="T40" s="2">
        <v>39995.89</v>
      </c>
      <c r="U40" s="2">
        <v>38441.199999999997</v>
      </c>
      <c r="V40" s="2">
        <v>39741.18</v>
      </c>
      <c r="W40" s="2">
        <v>39491.25</v>
      </c>
      <c r="X40" s="2">
        <v>39363.699999999997</v>
      </c>
      <c r="Y40" s="2">
        <v>39273.949999999997</v>
      </c>
      <c r="Z40" s="2">
        <v>37067.199999999997</v>
      </c>
      <c r="AA40" s="2">
        <v>39077.1</v>
      </c>
      <c r="AB40" s="2">
        <v>38853.910000000003</v>
      </c>
      <c r="AC40" s="2">
        <v>38815.019999999997</v>
      </c>
      <c r="AD40" s="2">
        <v>38794.68</v>
      </c>
      <c r="AE40" s="2">
        <v>35879.97</v>
      </c>
    </row>
    <row r="41" spans="1:31" x14ac:dyDescent="0.25">
      <c r="A41" s="3" t="s">
        <v>326</v>
      </c>
      <c r="B41" s="2">
        <v>47284.27</v>
      </c>
      <c r="C41" s="2">
        <v>46411.51</v>
      </c>
      <c r="D41" s="2">
        <v>45709.87</v>
      </c>
      <c r="E41" s="2">
        <v>45109.65</v>
      </c>
      <c r="F41" s="2">
        <v>45830.559999999998</v>
      </c>
      <c r="G41" s="2">
        <v>44313.61</v>
      </c>
      <c r="H41" s="2">
        <v>43589.64</v>
      </c>
      <c r="I41" s="2">
        <v>42807.02</v>
      </c>
      <c r="J41" s="2">
        <v>42073.98</v>
      </c>
      <c r="K41" s="2">
        <v>42863.05</v>
      </c>
      <c r="L41" s="2">
        <v>42259.61</v>
      </c>
      <c r="M41" s="2">
        <v>41806.22</v>
      </c>
      <c r="N41" s="2">
        <v>41418.339999999997</v>
      </c>
      <c r="O41" s="2">
        <v>41112.74</v>
      </c>
      <c r="P41" s="2">
        <v>40897.199999999997</v>
      </c>
      <c r="Q41" s="2">
        <v>40816.29</v>
      </c>
      <c r="R41" s="2">
        <v>40509.96</v>
      </c>
      <c r="S41" s="2">
        <v>40262.160000000003</v>
      </c>
      <c r="T41" s="2">
        <v>40076.160000000003</v>
      </c>
      <c r="U41" s="2">
        <v>39185.54</v>
      </c>
      <c r="V41" s="2">
        <v>39868.54</v>
      </c>
      <c r="W41" s="2">
        <v>39616.21</v>
      </c>
      <c r="X41" s="2">
        <v>39427.480000000003</v>
      </c>
      <c r="Y41" s="2">
        <v>39318.83</v>
      </c>
      <c r="Z41" s="2">
        <v>37715.620000000003</v>
      </c>
      <c r="AA41" s="2">
        <v>39175.519999999997</v>
      </c>
      <c r="AB41" s="2">
        <v>38965.51</v>
      </c>
      <c r="AC41" s="2">
        <v>38834.47</v>
      </c>
      <c r="AD41" s="2">
        <v>38804.85</v>
      </c>
      <c r="AE41" s="2">
        <v>36428.980000000003</v>
      </c>
    </row>
    <row r="42" spans="1:31" x14ac:dyDescent="0.25">
      <c r="A42" s="3" t="s">
        <v>84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5">
      <c r="A43" t="s">
        <v>327</v>
      </c>
      <c r="B43" s="2">
        <v>-203.33</v>
      </c>
      <c r="C43" s="2">
        <v>-223</v>
      </c>
      <c r="D43" s="2">
        <v>-103.67</v>
      </c>
      <c r="E43" s="2">
        <v>-203</v>
      </c>
      <c r="F43" s="2">
        <v>-582.65</v>
      </c>
      <c r="G43" s="2">
        <v>-86.35</v>
      </c>
      <c r="H43" s="2">
        <v>-136.68</v>
      </c>
      <c r="I43" s="2">
        <v>-624.94000000000005</v>
      </c>
      <c r="J43" s="2">
        <v>-180.23</v>
      </c>
      <c r="K43" s="2">
        <v>-803.13</v>
      </c>
      <c r="L43" s="2">
        <v>171.22</v>
      </c>
      <c r="M43" s="2">
        <v>-34.69</v>
      </c>
      <c r="N43" s="2">
        <v>-327.39999999999998</v>
      </c>
      <c r="O43" s="2">
        <v>-203.26</v>
      </c>
      <c r="P43" s="2">
        <v>-315.38</v>
      </c>
      <c r="Q43" s="2">
        <v>117.72</v>
      </c>
      <c r="R43" s="2">
        <v>-22.98</v>
      </c>
      <c r="S43" s="2">
        <v>-199.63</v>
      </c>
      <c r="T43" s="2">
        <v>-123.43</v>
      </c>
      <c r="U43" s="2">
        <v>-342.84</v>
      </c>
      <c r="V43" s="2">
        <v>91.27</v>
      </c>
      <c r="W43" s="2">
        <v>-20.21</v>
      </c>
      <c r="X43" s="2">
        <v>-120.39</v>
      </c>
      <c r="Y43" s="2">
        <v>-69.010000000000005</v>
      </c>
      <c r="Z43" s="2">
        <v>-219.21</v>
      </c>
      <c r="AA43" s="2">
        <v>70.53</v>
      </c>
      <c r="AB43" s="2">
        <v>-18.05</v>
      </c>
      <c r="AC43" s="2">
        <v>-36.71</v>
      </c>
      <c r="AD43" s="2">
        <v>-15.64</v>
      </c>
      <c r="AE43" s="2">
        <v>-191.8</v>
      </c>
    </row>
    <row r="44" spans="1:31" x14ac:dyDescent="0.25">
      <c r="A44" s="3" t="s">
        <v>328</v>
      </c>
      <c r="B44" s="2">
        <v>30969</v>
      </c>
      <c r="C44" s="2">
        <v>30746</v>
      </c>
      <c r="D44" s="2">
        <v>30642</v>
      </c>
      <c r="E44" s="2">
        <v>30439</v>
      </c>
      <c r="F44" s="2">
        <v>30706.27</v>
      </c>
      <c r="G44" s="2">
        <v>30434.5</v>
      </c>
      <c r="H44" s="2">
        <v>30371.71</v>
      </c>
      <c r="I44" s="2">
        <v>30018.62</v>
      </c>
      <c r="J44" s="2">
        <v>29932.19</v>
      </c>
      <c r="K44" s="2">
        <v>30294.19</v>
      </c>
      <c r="L44" s="2">
        <v>29870.97</v>
      </c>
      <c r="M44" s="2">
        <v>29793.5</v>
      </c>
      <c r="N44" s="2">
        <v>29746.400000000001</v>
      </c>
      <c r="O44" s="2">
        <v>29692.31</v>
      </c>
      <c r="P44" s="2">
        <v>30040.959999999999</v>
      </c>
      <c r="Q44" s="2">
        <v>29709.98</v>
      </c>
      <c r="R44" s="2">
        <v>29650.5</v>
      </c>
      <c r="S44" s="2">
        <v>29608</v>
      </c>
      <c r="T44" s="2">
        <v>29564.74</v>
      </c>
      <c r="U44" s="2">
        <v>29809.02</v>
      </c>
      <c r="V44" s="2">
        <v>29573.31</v>
      </c>
      <c r="W44" s="2">
        <v>29511.29</v>
      </c>
      <c r="X44" s="2">
        <v>29453.4</v>
      </c>
      <c r="Y44" s="2">
        <v>29409.72</v>
      </c>
      <c r="Z44" s="2">
        <v>29580.639999999999</v>
      </c>
      <c r="AA44" s="2">
        <v>29411.8</v>
      </c>
      <c r="AB44" s="2">
        <v>29348.97</v>
      </c>
      <c r="AC44" s="2">
        <v>29273.14</v>
      </c>
      <c r="AD44" s="2">
        <v>29226.03</v>
      </c>
      <c r="AE44" s="2">
        <v>29342.89</v>
      </c>
    </row>
    <row r="45" spans="1:31" x14ac:dyDescent="0.25">
      <c r="A45" t="s">
        <v>329</v>
      </c>
      <c r="B45" s="2">
        <v>31070.5</v>
      </c>
      <c r="C45" s="2">
        <v>30857.5</v>
      </c>
      <c r="D45" s="2">
        <v>30694</v>
      </c>
      <c r="E45" s="2">
        <v>30540.5</v>
      </c>
      <c r="F45" s="2">
        <v>30953.23</v>
      </c>
      <c r="G45" s="2">
        <v>30392</v>
      </c>
      <c r="H45" s="2">
        <v>30346.66</v>
      </c>
      <c r="I45" s="2">
        <v>30158.81</v>
      </c>
      <c r="J45" s="2">
        <v>29969.29</v>
      </c>
      <c r="K45" s="2">
        <v>30468.880000000001</v>
      </c>
      <c r="L45" s="2">
        <v>29878.46</v>
      </c>
      <c r="M45" s="2">
        <v>29798.09</v>
      </c>
      <c r="N45" s="2">
        <v>29719.17</v>
      </c>
      <c r="O45" s="2">
        <v>29672.41</v>
      </c>
      <c r="P45" s="2">
        <v>30048.59</v>
      </c>
      <c r="Q45" s="2">
        <v>29638.17</v>
      </c>
      <c r="R45" s="2">
        <v>29580.07</v>
      </c>
      <c r="S45" s="2">
        <v>29517.61</v>
      </c>
      <c r="T45" s="2">
        <v>29488.799999999999</v>
      </c>
      <c r="U45" s="2">
        <v>29740.14</v>
      </c>
      <c r="V45" s="2">
        <v>29466.47</v>
      </c>
      <c r="W45" s="2">
        <v>29419.34</v>
      </c>
      <c r="X45" s="2">
        <v>29370.53</v>
      </c>
      <c r="Y45" s="2">
        <v>29354.49</v>
      </c>
      <c r="Z45" s="2">
        <v>29445.68</v>
      </c>
      <c r="AA45" s="2">
        <v>29346.01</v>
      </c>
      <c r="AB45" s="2">
        <v>29311.49</v>
      </c>
      <c r="AC45" s="2">
        <v>29271.43</v>
      </c>
      <c r="AD45" s="2">
        <v>29262.58</v>
      </c>
      <c r="AE45" s="2">
        <v>29152.18</v>
      </c>
    </row>
    <row r="46" spans="1:31" x14ac:dyDescent="0.25">
      <c r="A46" t="s">
        <v>330</v>
      </c>
      <c r="B46" s="2">
        <v>126.13</v>
      </c>
      <c r="C46" s="2">
        <v>124.38</v>
      </c>
      <c r="D46" s="2">
        <v>122.45</v>
      </c>
      <c r="E46" s="2">
        <v>119.9</v>
      </c>
      <c r="F46" s="2">
        <v>122.65</v>
      </c>
      <c r="G46" s="2">
        <v>119.52</v>
      </c>
      <c r="H46" s="2">
        <v>116.54</v>
      </c>
      <c r="I46" s="2">
        <v>115.62</v>
      </c>
      <c r="J46" s="2">
        <v>114</v>
      </c>
      <c r="K46" s="2">
        <v>117.66</v>
      </c>
      <c r="L46" s="2" t="s">
        <v>55</v>
      </c>
      <c r="M46" s="2" t="s">
        <v>55</v>
      </c>
      <c r="N46" s="2" t="s">
        <v>55</v>
      </c>
      <c r="O46" s="2" t="s">
        <v>55</v>
      </c>
      <c r="P46" s="2">
        <v>114.25</v>
      </c>
      <c r="Q46" s="2" t="s">
        <v>55</v>
      </c>
      <c r="R46" s="2" t="s">
        <v>55</v>
      </c>
      <c r="S46" s="2" t="s">
        <v>55</v>
      </c>
      <c r="T46" s="2" t="s">
        <v>55</v>
      </c>
      <c r="U46" s="2">
        <v>110.74</v>
      </c>
      <c r="V46" s="2" t="s">
        <v>55</v>
      </c>
      <c r="W46" s="2" t="s">
        <v>55</v>
      </c>
      <c r="X46" s="2" t="s">
        <v>55</v>
      </c>
      <c r="Y46" s="2" t="s">
        <v>55</v>
      </c>
      <c r="Z46" s="2">
        <v>107.08</v>
      </c>
      <c r="AA46" s="2" t="s">
        <v>55</v>
      </c>
      <c r="AB46" s="2" t="s">
        <v>55</v>
      </c>
      <c r="AC46" s="2" t="s">
        <v>55</v>
      </c>
      <c r="AD46" s="2" t="s">
        <v>55</v>
      </c>
      <c r="AE46" s="2">
        <v>103.3</v>
      </c>
    </row>
    <row r="47" spans="1:31" x14ac:dyDescent="0.25">
      <c r="A47" s="3" t="s">
        <v>331</v>
      </c>
      <c r="B47" s="2">
        <v>11756.46</v>
      </c>
      <c r="C47" s="2">
        <v>11514.54</v>
      </c>
      <c r="D47" s="2">
        <v>11275.28</v>
      </c>
      <c r="E47" s="2">
        <v>10985.04</v>
      </c>
      <c r="F47" s="2">
        <v>45890.63</v>
      </c>
      <c r="G47" s="2">
        <v>10897.51</v>
      </c>
      <c r="H47" s="2">
        <v>10579.87</v>
      </c>
      <c r="I47" s="2">
        <v>10442.1</v>
      </c>
      <c r="J47" s="2">
        <v>10236.34</v>
      </c>
      <c r="K47" s="2">
        <v>43508.54</v>
      </c>
      <c r="L47" s="2" t="s">
        <v>55</v>
      </c>
      <c r="M47" s="2" t="s">
        <v>55</v>
      </c>
      <c r="N47" s="2" t="s">
        <v>55</v>
      </c>
      <c r="O47" s="2" t="s">
        <v>55</v>
      </c>
      <c r="P47" s="2">
        <v>41735.32</v>
      </c>
      <c r="Q47" s="2" t="s">
        <v>55</v>
      </c>
      <c r="R47" s="2" t="s">
        <v>55</v>
      </c>
      <c r="S47" s="2" t="s">
        <v>55</v>
      </c>
      <c r="T47" s="2" t="s">
        <v>55</v>
      </c>
      <c r="U47" s="2">
        <v>39998.82</v>
      </c>
      <c r="V47" s="2" t="s">
        <v>55</v>
      </c>
      <c r="W47" s="2" t="s">
        <v>55</v>
      </c>
      <c r="X47" s="2" t="s">
        <v>55</v>
      </c>
      <c r="Y47" s="2" t="s">
        <v>55</v>
      </c>
      <c r="Z47" s="2">
        <v>38229.9</v>
      </c>
      <c r="AA47" s="2" t="s">
        <v>55</v>
      </c>
      <c r="AB47" s="2" t="s">
        <v>55</v>
      </c>
      <c r="AC47" s="2" t="s">
        <v>55</v>
      </c>
      <c r="AD47" s="2" t="s">
        <v>55</v>
      </c>
      <c r="AE47" s="2">
        <v>36441.879999999997</v>
      </c>
    </row>
    <row r="48" spans="1:31" x14ac:dyDescent="0.25">
      <c r="A48" s="3" t="s">
        <v>84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t="s">
        <v>332</v>
      </c>
      <c r="B49" s="2">
        <v>15914.12</v>
      </c>
      <c r="C49" s="2">
        <v>16230.43</v>
      </c>
      <c r="D49" s="2">
        <v>16470.62</v>
      </c>
      <c r="E49" s="2">
        <v>16638.62</v>
      </c>
      <c r="F49" s="2">
        <v>16638.62</v>
      </c>
      <c r="G49" s="2">
        <v>16443.03</v>
      </c>
      <c r="H49" s="2">
        <v>16655.45</v>
      </c>
      <c r="I49" s="2">
        <v>17372.61</v>
      </c>
      <c r="J49" s="2">
        <v>17461.3</v>
      </c>
      <c r="K49" s="2">
        <v>17461.3</v>
      </c>
      <c r="L49" s="2">
        <v>17269.37</v>
      </c>
      <c r="M49" s="2">
        <v>17435.63</v>
      </c>
      <c r="N49" s="2">
        <v>17576.349999999999</v>
      </c>
      <c r="O49" s="2">
        <v>17645.740000000002</v>
      </c>
      <c r="P49" s="2">
        <v>17645.740000000002</v>
      </c>
      <c r="Q49" s="2">
        <v>17513.79</v>
      </c>
      <c r="R49" s="2">
        <v>17623.919999999998</v>
      </c>
      <c r="S49" s="2">
        <v>17709.72</v>
      </c>
      <c r="T49" s="2">
        <v>17751.86</v>
      </c>
      <c r="U49" s="2">
        <v>17751.86</v>
      </c>
      <c r="V49" s="2">
        <v>17649.560000000001</v>
      </c>
      <c r="W49" s="2">
        <v>17746.439999999999</v>
      </c>
      <c r="X49" s="2">
        <v>17798.189999999999</v>
      </c>
      <c r="Y49" s="2">
        <v>17821.75</v>
      </c>
      <c r="Z49" s="2">
        <v>17821.75</v>
      </c>
      <c r="AA49" s="2">
        <v>17742.689999999999</v>
      </c>
      <c r="AB49" s="2">
        <v>17829.2</v>
      </c>
      <c r="AC49" s="2">
        <v>17844.98</v>
      </c>
      <c r="AD49" s="2">
        <v>17850.32</v>
      </c>
      <c r="AE49" s="2">
        <v>17850.32</v>
      </c>
    </row>
    <row r="50" spans="1:31" x14ac:dyDescent="0.25">
      <c r="A50" t="s">
        <v>333</v>
      </c>
      <c r="B50" s="2">
        <v>10134.35</v>
      </c>
      <c r="C50" s="2">
        <v>10049.870000000001</v>
      </c>
      <c r="D50" s="2">
        <v>9994.76</v>
      </c>
      <c r="E50" s="2">
        <v>9980.5400000000009</v>
      </c>
      <c r="F50" s="2">
        <v>9980.5400000000009</v>
      </c>
      <c r="G50" s="2">
        <v>10450.620000000001</v>
      </c>
      <c r="H50" s="2">
        <v>10393.89</v>
      </c>
      <c r="I50" s="2">
        <v>10229.36</v>
      </c>
      <c r="J50" s="2">
        <v>10221.85</v>
      </c>
      <c r="K50" s="2">
        <v>10221.85</v>
      </c>
      <c r="L50" s="2">
        <v>10683.13</v>
      </c>
      <c r="M50" s="2">
        <v>10638.72</v>
      </c>
      <c r="N50" s="2">
        <v>10606.44</v>
      </c>
      <c r="O50" s="2">
        <v>10600.56</v>
      </c>
      <c r="P50" s="2">
        <v>10600.56</v>
      </c>
      <c r="Q50" s="2">
        <v>10917.7</v>
      </c>
      <c r="R50" s="2">
        <v>10888.29</v>
      </c>
      <c r="S50" s="2">
        <v>10868.6</v>
      </c>
      <c r="T50" s="2">
        <v>10865.03</v>
      </c>
      <c r="U50" s="2">
        <v>10865.03</v>
      </c>
      <c r="V50" s="2">
        <v>11110.9</v>
      </c>
      <c r="W50" s="2">
        <v>11085.03</v>
      </c>
      <c r="X50" s="2">
        <v>11073.15</v>
      </c>
      <c r="Y50" s="2">
        <v>11071.16</v>
      </c>
      <c r="Z50" s="2">
        <v>11071.16</v>
      </c>
      <c r="AA50" s="2">
        <v>11261.17</v>
      </c>
      <c r="AB50" s="2">
        <v>11238.06</v>
      </c>
      <c r="AC50" s="2">
        <v>11234.44</v>
      </c>
      <c r="AD50" s="2">
        <v>11233.99</v>
      </c>
      <c r="AE50" s="2">
        <v>11233.99</v>
      </c>
    </row>
    <row r="51" spans="1:31" x14ac:dyDescent="0.25">
      <c r="A51" t="s">
        <v>334</v>
      </c>
      <c r="B51" s="2">
        <v>4920.53</v>
      </c>
      <c r="C51" s="2">
        <v>4465.71</v>
      </c>
      <c r="D51" s="2">
        <v>4176.62</v>
      </c>
      <c r="E51" s="2">
        <v>3819.84</v>
      </c>
      <c r="F51" s="2">
        <v>3819.84</v>
      </c>
      <c r="G51" s="2">
        <v>3719.84</v>
      </c>
      <c r="H51" s="2">
        <v>3619.84</v>
      </c>
      <c r="I51" s="2">
        <v>2214.25</v>
      </c>
      <c r="J51" s="2">
        <v>2154.69</v>
      </c>
      <c r="K51" s="2">
        <v>2154.69</v>
      </c>
      <c r="L51" s="2">
        <v>1918.47</v>
      </c>
      <c r="M51" s="2">
        <v>1719.15</v>
      </c>
      <c r="N51" s="2">
        <v>1563.61</v>
      </c>
      <c r="O51" s="2">
        <v>1446.01</v>
      </c>
      <c r="P51" s="2">
        <v>1446.01</v>
      </c>
      <c r="Q51" s="2">
        <v>1278.48</v>
      </c>
      <c r="R51" s="2">
        <v>1138.3</v>
      </c>
      <c r="S51" s="2">
        <v>1029.68</v>
      </c>
      <c r="T51" s="2">
        <v>947.84</v>
      </c>
      <c r="U51" s="2">
        <v>947.84</v>
      </c>
      <c r="V51" s="2">
        <v>812.85</v>
      </c>
      <c r="W51" s="2">
        <v>679.82</v>
      </c>
      <c r="X51" s="2">
        <v>582.05999999999995</v>
      </c>
      <c r="Y51" s="2">
        <v>516.80999999999995</v>
      </c>
      <c r="Z51" s="2">
        <v>516.80999999999995</v>
      </c>
      <c r="AA51" s="2">
        <v>407.94</v>
      </c>
      <c r="AB51" s="2">
        <v>281.7</v>
      </c>
      <c r="AC51" s="2">
        <v>193.71</v>
      </c>
      <c r="AD51" s="2">
        <v>141.71</v>
      </c>
      <c r="AE51" s="2">
        <v>141.71</v>
      </c>
    </row>
    <row r="52" spans="1:31" x14ac:dyDescent="0.25">
      <c r="A52" s="3" t="s">
        <v>335</v>
      </c>
      <c r="B52" s="2">
        <v>30969</v>
      </c>
      <c r="C52" s="2">
        <v>30746</v>
      </c>
      <c r="D52" s="2">
        <v>30642</v>
      </c>
      <c r="E52" s="2">
        <v>30439</v>
      </c>
      <c r="F52" s="2">
        <v>30706.27</v>
      </c>
      <c r="G52" s="2">
        <v>30434.5</v>
      </c>
      <c r="H52" s="2">
        <v>30371.71</v>
      </c>
      <c r="I52" s="2">
        <v>30018.62</v>
      </c>
      <c r="J52" s="2">
        <v>29932.19</v>
      </c>
      <c r="K52" s="2">
        <v>30294.19</v>
      </c>
      <c r="L52" s="2">
        <v>29870.97</v>
      </c>
      <c r="M52" s="2">
        <v>29793.5</v>
      </c>
      <c r="N52" s="2">
        <v>29746.400000000001</v>
      </c>
      <c r="O52" s="2">
        <v>29692.31</v>
      </c>
      <c r="P52" s="2">
        <v>30040.959999999999</v>
      </c>
      <c r="Q52" s="2">
        <v>29709.98</v>
      </c>
      <c r="R52" s="2">
        <v>29650.5</v>
      </c>
      <c r="S52" s="2">
        <v>29608</v>
      </c>
      <c r="T52" s="2">
        <v>29564.74</v>
      </c>
      <c r="U52" s="2">
        <v>29809.02</v>
      </c>
      <c r="V52" s="2">
        <v>29573.31</v>
      </c>
      <c r="W52" s="2">
        <v>29511.29</v>
      </c>
      <c r="X52" s="2">
        <v>29453.4</v>
      </c>
      <c r="Y52" s="2">
        <v>29409.72</v>
      </c>
      <c r="Z52" s="2">
        <v>29580.639999999999</v>
      </c>
      <c r="AA52" s="2">
        <v>29411.8</v>
      </c>
      <c r="AB52" s="2">
        <v>29348.97</v>
      </c>
      <c r="AC52" s="2">
        <v>29273.14</v>
      </c>
      <c r="AD52" s="2">
        <v>29226.03</v>
      </c>
      <c r="AE52" s="2">
        <v>29342.89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2F2B-6622-45CF-9874-7411B0F4EF84}">
  <dimension ref="A2:AE36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336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t="s">
        <v>337</v>
      </c>
      <c r="B16" s="2">
        <v>-18.07</v>
      </c>
      <c r="C16" s="2">
        <v>-17.43</v>
      </c>
      <c r="D16" s="2">
        <v>-17.27</v>
      </c>
      <c r="E16" s="2">
        <v>-22.6</v>
      </c>
      <c r="F16" s="2">
        <v>-90.92</v>
      </c>
      <c r="G16" s="2">
        <v>-14.25</v>
      </c>
      <c r="H16" s="2">
        <v>-14.19</v>
      </c>
      <c r="I16" s="2">
        <v>-14.75</v>
      </c>
      <c r="J16" s="2">
        <v>-15.94</v>
      </c>
      <c r="K16" s="2">
        <v>-69.069999999999993</v>
      </c>
      <c r="L16" s="2">
        <v>-7.25</v>
      </c>
      <c r="M16" s="2">
        <v>-7.25</v>
      </c>
      <c r="N16" s="2">
        <v>-7.03</v>
      </c>
      <c r="O16" s="2">
        <v>-7.03</v>
      </c>
      <c r="P16" s="2">
        <v>-26.62</v>
      </c>
      <c r="Q16" s="2">
        <v>-7.03</v>
      </c>
      <c r="R16" s="2">
        <v>-7.03</v>
      </c>
      <c r="S16" s="2">
        <v>-6.82</v>
      </c>
      <c r="T16" s="2">
        <v>-6.82</v>
      </c>
      <c r="U16" s="2">
        <v>-20.62</v>
      </c>
      <c r="V16" s="2">
        <v>-6.82</v>
      </c>
      <c r="W16" s="2">
        <v>-6.82</v>
      </c>
      <c r="X16" s="2">
        <v>-6.64</v>
      </c>
      <c r="Y16" s="2">
        <v>-6.64</v>
      </c>
      <c r="Z16" s="2">
        <v>-16.43</v>
      </c>
      <c r="AA16" s="2">
        <v>-6.64</v>
      </c>
      <c r="AB16" s="2">
        <v>-6.64</v>
      </c>
      <c r="AC16" s="2">
        <v>-6.48</v>
      </c>
      <c r="AD16" s="2">
        <v>-6.48</v>
      </c>
      <c r="AE16" s="2">
        <v>-20.74</v>
      </c>
    </row>
    <row r="17" spans="1:31" x14ac:dyDescent="0.25">
      <c r="A17" s="3" t="s">
        <v>338</v>
      </c>
      <c r="B17" s="2">
        <v>421.21</v>
      </c>
      <c r="C17" s="2">
        <v>403.78</v>
      </c>
      <c r="D17" s="2">
        <v>386.51</v>
      </c>
      <c r="E17" s="2">
        <v>319.51</v>
      </c>
      <c r="F17" s="2">
        <v>313.17</v>
      </c>
      <c r="G17" s="2">
        <v>354.06</v>
      </c>
      <c r="H17" s="2">
        <v>339.87</v>
      </c>
      <c r="I17" s="2">
        <v>325.12</v>
      </c>
      <c r="J17" s="2">
        <v>309.18</v>
      </c>
      <c r="K17" s="2">
        <v>323.99</v>
      </c>
      <c r="L17" s="2">
        <v>332.6</v>
      </c>
      <c r="M17" s="2">
        <v>325.35000000000002</v>
      </c>
      <c r="N17" s="2">
        <v>318.33</v>
      </c>
      <c r="O17" s="2">
        <v>311.3</v>
      </c>
      <c r="P17" s="2">
        <v>297.37</v>
      </c>
      <c r="Q17" s="2">
        <v>304.27999999999997</v>
      </c>
      <c r="R17" s="2">
        <v>297.25</v>
      </c>
      <c r="S17" s="2">
        <v>290.43</v>
      </c>
      <c r="T17" s="2">
        <v>283.61</v>
      </c>
      <c r="U17" s="2">
        <v>276.74</v>
      </c>
      <c r="V17" s="2">
        <v>276.79000000000002</v>
      </c>
      <c r="W17" s="2">
        <v>269.95999999999998</v>
      </c>
      <c r="X17" s="2">
        <v>263.32</v>
      </c>
      <c r="Y17" s="2">
        <v>256.68</v>
      </c>
      <c r="Z17" s="2">
        <v>260.32</v>
      </c>
      <c r="AA17" s="2">
        <v>250.04</v>
      </c>
      <c r="AB17" s="2">
        <v>243.4</v>
      </c>
      <c r="AC17" s="2">
        <v>236.93</v>
      </c>
      <c r="AD17" s="2">
        <v>230.45</v>
      </c>
      <c r="AE17" s="2">
        <v>213.4</v>
      </c>
    </row>
    <row r="18" spans="1:31" x14ac:dyDescent="0.25">
      <c r="A18" s="3" t="s">
        <v>339</v>
      </c>
      <c r="B18" s="2">
        <v>430.24</v>
      </c>
      <c r="C18" s="2">
        <v>412.49</v>
      </c>
      <c r="D18" s="2">
        <v>395.14</v>
      </c>
      <c r="E18" s="2">
        <v>330.81</v>
      </c>
      <c r="F18" s="2">
        <v>358.62</v>
      </c>
      <c r="G18" s="2">
        <v>310.83999999999997</v>
      </c>
      <c r="H18" s="2">
        <v>346.96</v>
      </c>
      <c r="I18" s="2">
        <v>332.49</v>
      </c>
      <c r="J18" s="2">
        <v>317.14999999999998</v>
      </c>
      <c r="K18" s="2">
        <v>312.12</v>
      </c>
      <c r="L18" s="2">
        <v>336.23</v>
      </c>
      <c r="M18" s="2">
        <v>328.98</v>
      </c>
      <c r="N18" s="2">
        <v>321.83999999999997</v>
      </c>
      <c r="O18" s="2">
        <v>314.82</v>
      </c>
      <c r="P18" s="2">
        <v>310.63</v>
      </c>
      <c r="Q18" s="2">
        <v>307.79000000000002</v>
      </c>
      <c r="R18" s="2">
        <v>300.77</v>
      </c>
      <c r="S18" s="2">
        <v>293.83999999999997</v>
      </c>
      <c r="T18" s="2">
        <v>287.02</v>
      </c>
      <c r="U18" s="2">
        <v>287.01</v>
      </c>
      <c r="V18" s="2">
        <v>280.2</v>
      </c>
      <c r="W18" s="2">
        <v>273.38</v>
      </c>
      <c r="X18" s="2">
        <v>266.64</v>
      </c>
      <c r="Y18" s="2">
        <v>260</v>
      </c>
      <c r="Z18" s="2">
        <v>268.49</v>
      </c>
      <c r="AA18" s="2">
        <v>253.36</v>
      </c>
      <c r="AB18" s="2">
        <v>246.72</v>
      </c>
      <c r="AC18" s="2">
        <v>240.16</v>
      </c>
      <c r="AD18" s="2">
        <v>233.69</v>
      </c>
      <c r="AE18" s="2">
        <v>223.73</v>
      </c>
    </row>
    <row r="19" spans="1:31" x14ac:dyDescent="0.25">
      <c r="A19" s="3" t="s">
        <v>84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5">
      <c r="A20" t="s">
        <v>340</v>
      </c>
      <c r="B20" s="2">
        <v>-16</v>
      </c>
      <c r="C20" s="2">
        <v>98</v>
      </c>
      <c r="D20" s="2">
        <v>-13</v>
      </c>
      <c r="E20" s="2">
        <v>-2</v>
      </c>
      <c r="F20" s="2">
        <v>63.99</v>
      </c>
      <c r="G20" s="2">
        <v>-1.31</v>
      </c>
      <c r="H20" s="2">
        <v>-0.45</v>
      </c>
      <c r="I20" s="2">
        <v>-1.55</v>
      </c>
      <c r="J20" s="2">
        <v>-28.15</v>
      </c>
      <c r="K20" s="2">
        <v>5.17</v>
      </c>
      <c r="L20" s="2">
        <v>2.5</v>
      </c>
      <c r="M20" s="2">
        <v>2.5</v>
      </c>
      <c r="N20" s="2">
        <v>6.5</v>
      </c>
      <c r="O20" s="2">
        <v>1.5</v>
      </c>
      <c r="P20" s="2">
        <v>23.66</v>
      </c>
      <c r="Q20" s="2">
        <v>2.75</v>
      </c>
      <c r="R20" s="2">
        <v>2.75</v>
      </c>
      <c r="S20" s="2">
        <v>7.15</v>
      </c>
      <c r="T20" s="2">
        <v>1.65</v>
      </c>
      <c r="U20" s="2">
        <v>15.68</v>
      </c>
      <c r="V20" s="2">
        <v>3.03</v>
      </c>
      <c r="W20" s="2">
        <v>3.03</v>
      </c>
      <c r="X20" s="2">
        <v>7.86</v>
      </c>
      <c r="Y20" s="2">
        <v>1.82</v>
      </c>
      <c r="Z20" s="2">
        <v>16.48</v>
      </c>
      <c r="AA20" s="2">
        <v>3.33</v>
      </c>
      <c r="AB20" s="2">
        <v>3.33</v>
      </c>
      <c r="AC20" s="2">
        <v>8.65</v>
      </c>
      <c r="AD20" s="2">
        <v>2</v>
      </c>
      <c r="AE20" s="2">
        <v>14.52</v>
      </c>
    </row>
    <row r="21" spans="1:31" x14ac:dyDescent="0.25">
      <c r="A21" s="3" t="s">
        <v>341</v>
      </c>
      <c r="B21" s="2">
        <v>2453</v>
      </c>
      <c r="C21" s="2">
        <v>2551</v>
      </c>
      <c r="D21" s="2">
        <v>2538</v>
      </c>
      <c r="E21" s="2">
        <v>2536</v>
      </c>
      <c r="F21" s="2">
        <v>2525.7199999999998</v>
      </c>
      <c r="G21" s="2">
        <v>2534.69</v>
      </c>
      <c r="H21" s="2">
        <v>2534.2399999999998</v>
      </c>
      <c r="I21" s="2">
        <v>2532.69</v>
      </c>
      <c r="J21" s="2">
        <v>2504.5300000000002</v>
      </c>
      <c r="K21" s="2">
        <v>2530.89</v>
      </c>
      <c r="L21" s="2">
        <v>2521.5</v>
      </c>
      <c r="M21" s="2">
        <v>2524</v>
      </c>
      <c r="N21" s="2">
        <v>2530.5</v>
      </c>
      <c r="O21" s="2">
        <v>2532</v>
      </c>
      <c r="P21" s="2">
        <v>2607.5</v>
      </c>
      <c r="Q21" s="2">
        <v>2534.75</v>
      </c>
      <c r="R21" s="2">
        <v>2537.5</v>
      </c>
      <c r="S21" s="2">
        <v>2544.65</v>
      </c>
      <c r="T21" s="2">
        <v>2546.3000000000002</v>
      </c>
      <c r="U21" s="2">
        <v>2623.18</v>
      </c>
      <c r="V21" s="2">
        <v>2549.3200000000002</v>
      </c>
      <c r="W21" s="2">
        <v>2552.35</v>
      </c>
      <c r="X21" s="2">
        <v>2560.2199999999998</v>
      </c>
      <c r="Y21" s="2">
        <v>2562.0300000000002</v>
      </c>
      <c r="Z21" s="2">
        <v>2639.66</v>
      </c>
      <c r="AA21" s="2">
        <v>2565.36</v>
      </c>
      <c r="AB21" s="2">
        <v>2568.6799999999998</v>
      </c>
      <c r="AC21" s="2">
        <v>2577.34</v>
      </c>
      <c r="AD21" s="2">
        <v>2579.33</v>
      </c>
      <c r="AE21" s="2">
        <v>2654.18</v>
      </c>
    </row>
    <row r="22" spans="1:31" x14ac:dyDescent="0.25">
      <c r="A22" s="3" t="s">
        <v>342</v>
      </c>
      <c r="B22" s="2">
        <v>2460.88</v>
      </c>
      <c r="C22" s="2">
        <v>2486.5</v>
      </c>
      <c r="D22" s="2">
        <v>2529.12</v>
      </c>
      <c r="E22" s="2">
        <v>2536.88</v>
      </c>
      <c r="F22" s="2">
        <v>2498.91</v>
      </c>
      <c r="G22" s="2">
        <v>2533.7800000000002</v>
      </c>
      <c r="H22" s="2">
        <v>2529.5</v>
      </c>
      <c r="I22" s="2">
        <v>2525.34</v>
      </c>
      <c r="J22" s="2">
        <v>2513.2600000000002</v>
      </c>
      <c r="K22" s="2">
        <v>2534.4299999999998</v>
      </c>
      <c r="L22" s="2">
        <v>2507.52</v>
      </c>
      <c r="M22" s="2">
        <v>2503.89</v>
      </c>
      <c r="N22" s="2">
        <v>2501.71</v>
      </c>
      <c r="O22" s="2">
        <v>2503.9899999999998</v>
      </c>
      <c r="P22" s="2">
        <v>2595.64</v>
      </c>
      <c r="Q22" s="2">
        <v>2505.85</v>
      </c>
      <c r="R22" s="2">
        <v>2504.2199999999998</v>
      </c>
      <c r="S22" s="2">
        <v>2503.9899999999998</v>
      </c>
      <c r="T22" s="2">
        <v>2508.06</v>
      </c>
      <c r="U22" s="2">
        <v>2615.31</v>
      </c>
      <c r="V22" s="2">
        <v>2511.5</v>
      </c>
      <c r="W22" s="2">
        <v>2511.39</v>
      </c>
      <c r="X22" s="2">
        <v>2512.69</v>
      </c>
      <c r="Y22" s="2">
        <v>2518.16</v>
      </c>
      <c r="Z22" s="2">
        <v>2631.38</v>
      </c>
      <c r="AA22" s="2">
        <v>2522.3000000000002</v>
      </c>
      <c r="AB22" s="2">
        <v>2522.33</v>
      </c>
      <c r="AC22" s="2">
        <v>2523.9</v>
      </c>
      <c r="AD22" s="2">
        <v>2529.63</v>
      </c>
      <c r="AE22" s="2">
        <v>2646.88</v>
      </c>
    </row>
    <row r="23" spans="1:31" x14ac:dyDescent="0.25">
      <c r="A23" s="3" t="s">
        <v>84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t="s">
        <v>343</v>
      </c>
      <c r="B24" s="2">
        <v>11.58</v>
      </c>
      <c r="C24" s="2">
        <v>27.47</v>
      </c>
      <c r="D24" s="2">
        <v>-5.26</v>
      </c>
      <c r="E24" s="2">
        <v>-8.57</v>
      </c>
      <c r="F24" s="2">
        <v>18.329999999999998</v>
      </c>
      <c r="G24" s="2">
        <v>17.670000000000002</v>
      </c>
      <c r="H24" s="2">
        <v>1.1499999999999999</v>
      </c>
      <c r="I24" s="2">
        <v>-1.1100000000000001</v>
      </c>
      <c r="J24" s="2">
        <v>-13.51</v>
      </c>
      <c r="K24" s="2">
        <v>8.19</v>
      </c>
      <c r="L24" s="2">
        <v>6.33</v>
      </c>
      <c r="M24" s="2">
        <v>-1.18</v>
      </c>
      <c r="N24" s="2">
        <v>-5.31</v>
      </c>
      <c r="O24" s="2">
        <v>-6.5</v>
      </c>
      <c r="P24" s="2">
        <v>14.22</v>
      </c>
      <c r="Q24" s="2">
        <v>5.69</v>
      </c>
      <c r="R24" s="2">
        <v>-1.06</v>
      </c>
      <c r="S24" s="2">
        <v>-4.78</v>
      </c>
      <c r="T24" s="2">
        <v>-5.85</v>
      </c>
      <c r="U24" s="2">
        <v>11.29</v>
      </c>
      <c r="V24" s="2">
        <v>5.12</v>
      </c>
      <c r="W24" s="2">
        <v>-0.96</v>
      </c>
      <c r="X24" s="2">
        <v>-4.3</v>
      </c>
      <c r="Y24" s="2">
        <v>-5.26</v>
      </c>
      <c r="Z24" s="2">
        <v>12.27</v>
      </c>
      <c r="AA24" s="2">
        <v>4.6100000000000003</v>
      </c>
      <c r="AB24" s="2">
        <v>-0.86</v>
      </c>
      <c r="AC24" s="2">
        <v>-3.87</v>
      </c>
      <c r="AD24" s="2">
        <v>-4.74</v>
      </c>
      <c r="AE24" s="2">
        <v>12.75</v>
      </c>
    </row>
    <row r="25" spans="1:31" x14ac:dyDescent="0.25">
      <c r="A25" s="3" t="s">
        <v>344</v>
      </c>
      <c r="B25" s="2">
        <v>1392.25</v>
      </c>
      <c r="C25" s="2">
        <v>1419.72</v>
      </c>
      <c r="D25" s="2">
        <v>1414.46</v>
      </c>
      <c r="E25" s="2">
        <v>1368.27</v>
      </c>
      <c r="F25" s="2">
        <v>1380.8</v>
      </c>
      <c r="G25" s="2">
        <v>1429.52</v>
      </c>
      <c r="H25" s="2">
        <v>1430.68</v>
      </c>
      <c r="I25" s="2">
        <v>1429.57</v>
      </c>
      <c r="J25" s="2">
        <v>1416.06</v>
      </c>
      <c r="K25" s="2">
        <v>1415.96</v>
      </c>
      <c r="L25" s="2">
        <v>1340.4</v>
      </c>
      <c r="M25" s="2">
        <v>1339.22</v>
      </c>
      <c r="N25" s="2">
        <v>1333.9</v>
      </c>
      <c r="O25" s="2">
        <v>1327.41</v>
      </c>
      <c r="P25" s="2">
        <v>1457.2</v>
      </c>
      <c r="Q25" s="2">
        <v>1333.1</v>
      </c>
      <c r="R25" s="2">
        <v>1332.04</v>
      </c>
      <c r="S25" s="2">
        <v>1327.25</v>
      </c>
      <c r="T25" s="2">
        <v>1321.41</v>
      </c>
      <c r="U25" s="2">
        <v>1468.5</v>
      </c>
      <c r="V25" s="2">
        <v>1326.53</v>
      </c>
      <c r="W25" s="2">
        <v>1325.58</v>
      </c>
      <c r="X25" s="2">
        <v>1321.27</v>
      </c>
      <c r="Y25" s="2">
        <v>1316.01</v>
      </c>
      <c r="Z25" s="2">
        <v>1480.77</v>
      </c>
      <c r="AA25" s="2">
        <v>1320.62</v>
      </c>
      <c r="AB25" s="2">
        <v>1319.76</v>
      </c>
      <c r="AC25" s="2">
        <v>1315.89</v>
      </c>
      <c r="AD25" s="2">
        <v>1311.15</v>
      </c>
      <c r="AE25" s="2">
        <v>1493.52</v>
      </c>
    </row>
    <row r="26" spans="1:31" x14ac:dyDescent="0.25">
      <c r="A26" s="3" t="s">
        <v>345</v>
      </c>
      <c r="B26" s="2">
        <v>1390.8</v>
      </c>
      <c r="C26" s="2">
        <v>1411.77</v>
      </c>
      <c r="D26" s="2">
        <v>1414.58</v>
      </c>
      <c r="E26" s="2">
        <v>1370.2</v>
      </c>
      <c r="F26" s="2">
        <v>1401.42</v>
      </c>
      <c r="G26" s="2">
        <v>1386.82</v>
      </c>
      <c r="H26" s="2">
        <v>1429.88</v>
      </c>
      <c r="I26" s="2">
        <v>1428.99</v>
      </c>
      <c r="J26" s="2">
        <v>1415.62</v>
      </c>
      <c r="K26" s="2">
        <v>1389.07</v>
      </c>
      <c r="L26" s="2">
        <v>1337.23</v>
      </c>
      <c r="M26" s="2">
        <v>1339.81</v>
      </c>
      <c r="N26" s="2">
        <v>1336.56</v>
      </c>
      <c r="O26" s="2">
        <v>1330.65</v>
      </c>
      <c r="P26" s="2">
        <v>1451.16</v>
      </c>
      <c r="Q26" s="2">
        <v>1330.25</v>
      </c>
      <c r="R26" s="2">
        <v>1332.57</v>
      </c>
      <c r="S26" s="2">
        <v>1329.65</v>
      </c>
      <c r="T26" s="2">
        <v>1324.33</v>
      </c>
      <c r="U26" s="2">
        <v>1463.81</v>
      </c>
      <c r="V26" s="2">
        <v>1323.97</v>
      </c>
      <c r="W26" s="2">
        <v>1326.05</v>
      </c>
      <c r="X26" s="2">
        <v>1323.42</v>
      </c>
      <c r="Y26" s="2">
        <v>1318.64</v>
      </c>
      <c r="Z26" s="2">
        <v>1475.5</v>
      </c>
      <c r="AA26" s="2">
        <v>1318.32</v>
      </c>
      <c r="AB26" s="2">
        <v>1320.19</v>
      </c>
      <c r="AC26" s="2">
        <v>1317.82</v>
      </c>
      <c r="AD26" s="2">
        <v>1313.52</v>
      </c>
      <c r="AE26" s="2">
        <v>1487.92</v>
      </c>
    </row>
    <row r="27" spans="1:31" x14ac:dyDescent="0.25">
      <c r="A27" s="3" t="s">
        <v>84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t="s">
        <v>346</v>
      </c>
      <c r="B28" s="2">
        <v>-13.19</v>
      </c>
      <c r="C28" s="2">
        <v>91.54</v>
      </c>
      <c r="D28" s="2">
        <v>-24.56</v>
      </c>
      <c r="E28" s="2">
        <v>-15.02</v>
      </c>
      <c r="F28" s="2">
        <v>-67.06</v>
      </c>
      <c r="G28" s="2">
        <v>-2.97</v>
      </c>
      <c r="H28" s="2">
        <v>-11.31</v>
      </c>
      <c r="I28" s="2">
        <v>-16.899999999999999</v>
      </c>
      <c r="J28" s="2">
        <v>-12.22</v>
      </c>
      <c r="K28" s="2">
        <v>-109.25</v>
      </c>
      <c r="L28" s="2">
        <v>4.33</v>
      </c>
      <c r="M28" s="2">
        <v>-3.18</v>
      </c>
      <c r="N28" s="2">
        <v>-2.86</v>
      </c>
      <c r="O28" s="2">
        <v>-9.0500000000000007</v>
      </c>
      <c r="P28" s="2">
        <v>-10.76</v>
      </c>
      <c r="Q28" s="2">
        <v>4.3899999999999997</v>
      </c>
      <c r="R28" s="2">
        <v>-2.36</v>
      </c>
      <c r="S28" s="2">
        <v>-1.28</v>
      </c>
      <c r="T28" s="2">
        <v>-7.84</v>
      </c>
      <c r="U28" s="2">
        <v>-7.09</v>
      </c>
      <c r="V28" s="2">
        <v>4.5</v>
      </c>
      <c r="W28" s="2">
        <v>-1.58</v>
      </c>
      <c r="X28" s="2">
        <v>0.28000000000000003</v>
      </c>
      <c r="Y28" s="2">
        <v>-6.73</v>
      </c>
      <c r="Z28" s="2">
        <v>-3.52</v>
      </c>
      <c r="AA28" s="2">
        <v>4.66</v>
      </c>
      <c r="AB28" s="2">
        <v>-0.81</v>
      </c>
      <c r="AC28" s="2">
        <v>1.82</v>
      </c>
      <c r="AD28" s="2">
        <v>-5.69</v>
      </c>
      <c r="AE28" s="2">
        <v>-0.02</v>
      </c>
    </row>
    <row r="29" spans="1:31" x14ac:dyDescent="0.25">
      <c r="A29" s="3" t="s">
        <v>347</v>
      </c>
      <c r="B29" s="2">
        <v>4240.33</v>
      </c>
      <c r="C29" s="2">
        <v>4347.6400000000003</v>
      </c>
      <c r="D29" s="2">
        <v>4311.6099999999997</v>
      </c>
      <c r="E29" s="2">
        <v>4288.79</v>
      </c>
      <c r="F29" s="2">
        <v>4216.0200000000004</v>
      </c>
      <c r="G29" s="2">
        <v>4265.87</v>
      </c>
      <c r="H29" s="2">
        <v>4238.8</v>
      </c>
      <c r="I29" s="2">
        <v>4213.76</v>
      </c>
      <c r="J29" s="2">
        <v>4191.07</v>
      </c>
      <c r="K29" s="2">
        <v>4125.5200000000004</v>
      </c>
      <c r="L29" s="2">
        <v>4353.1000000000004</v>
      </c>
      <c r="M29" s="2">
        <v>4349.92</v>
      </c>
      <c r="N29" s="2">
        <v>4347.0600000000004</v>
      </c>
      <c r="O29" s="2">
        <v>4338.01</v>
      </c>
      <c r="P29" s="2">
        <v>4240.8500000000004</v>
      </c>
      <c r="Q29" s="2">
        <v>4342.41</v>
      </c>
      <c r="R29" s="2">
        <v>4340.04</v>
      </c>
      <c r="S29" s="2">
        <v>4338.7700000000004</v>
      </c>
      <c r="T29" s="2">
        <v>4330.93</v>
      </c>
      <c r="U29" s="2">
        <v>4195.79</v>
      </c>
      <c r="V29" s="2">
        <v>4335.43</v>
      </c>
      <c r="W29" s="2">
        <v>4333.8500000000004</v>
      </c>
      <c r="X29" s="2">
        <v>4334.13</v>
      </c>
      <c r="Y29" s="2">
        <v>4327.41</v>
      </c>
      <c r="Z29" s="2">
        <v>4145.4399999999996</v>
      </c>
      <c r="AA29" s="2">
        <v>4332.07</v>
      </c>
      <c r="AB29" s="2">
        <v>4331.25</v>
      </c>
      <c r="AC29" s="2">
        <v>4333.08</v>
      </c>
      <c r="AD29" s="2">
        <v>4327.3900000000003</v>
      </c>
      <c r="AE29" s="2">
        <v>4089.4</v>
      </c>
    </row>
    <row r="30" spans="1:31" x14ac:dyDescent="0.25">
      <c r="A30" s="3" t="s">
        <v>348</v>
      </c>
      <c r="B30" s="2">
        <v>4256.6400000000003</v>
      </c>
      <c r="C30" s="2">
        <v>4293.9799999999996</v>
      </c>
      <c r="D30" s="2">
        <v>4329.62</v>
      </c>
      <c r="E30" s="2">
        <v>4300.2</v>
      </c>
      <c r="F30" s="2">
        <v>4233.2</v>
      </c>
      <c r="G30" s="2">
        <v>4277.33</v>
      </c>
      <c r="H30" s="2">
        <v>4252.33</v>
      </c>
      <c r="I30" s="2">
        <v>4226.28</v>
      </c>
      <c r="J30" s="2">
        <v>4202.41</v>
      </c>
      <c r="K30" s="2">
        <v>4171.8100000000004</v>
      </c>
      <c r="L30" s="2">
        <v>4350.9399999999996</v>
      </c>
      <c r="M30" s="2">
        <v>4351.51</v>
      </c>
      <c r="N30" s="2">
        <v>4348.49</v>
      </c>
      <c r="O30" s="2">
        <v>4342.54</v>
      </c>
      <c r="P30" s="2">
        <v>4264.74</v>
      </c>
      <c r="Q30" s="2">
        <v>4340.21</v>
      </c>
      <c r="R30" s="2">
        <v>4341.2299999999996</v>
      </c>
      <c r="S30" s="2">
        <v>4339.41</v>
      </c>
      <c r="T30" s="2">
        <v>4334.8500000000004</v>
      </c>
      <c r="U30" s="2">
        <v>4219.8</v>
      </c>
      <c r="V30" s="2">
        <v>4333.18</v>
      </c>
      <c r="W30" s="2">
        <v>4334.6400000000003</v>
      </c>
      <c r="X30" s="2">
        <v>4333.99</v>
      </c>
      <c r="Y30" s="2">
        <v>4330.7700000000004</v>
      </c>
      <c r="Z30" s="2">
        <v>4171.9399999999996</v>
      </c>
      <c r="AA30" s="2">
        <v>4329.74</v>
      </c>
      <c r="AB30" s="2">
        <v>4331.66</v>
      </c>
      <c r="AC30" s="2">
        <v>4332.16</v>
      </c>
      <c r="AD30" s="2">
        <v>4330.2299999999996</v>
      </c>
      <c r="AE30" s="2">
        <v>4118.6099999999997</v>
      </c>
    </row>
    <row r="31" spans="1:31" x14ac:dyDescent="0.25">
      <c r="A31" s="3" t="s">
        <v>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t="s">
        <v>349</v>
      </c>
      <c r="B32" s="2">
        <v>-25</v>
      </c>
      <c r="C32" s="2">
        <v>50.5</v>
      </c>
      <c r="D32" s="2">
        <v>-11</v>
      </c>
      <c r="E32" s="2" t="s">
        <v>55</v>
      </c>
      <c r="F32" s="2">
        <v>48</v>
      </c>
      <c r="G32" s="2">
        <v>-27.5</v>
      </c>
      <c r="H32" s="2">
        <v>-10</v>
      </c>
      <c r="I32" s="2">
        <v>-9.4700000000000006</v>
      </c>
      <c r="J32" s="2">
        <v>3.6</v>
      </c>
      <c r="K32" s="2">
        <v>-25.67</v>
      </c>
      <c r="L32" s="2">
        <v>-4.66</v>
      </c>
      <c r="M32" s="2">
        <v>-18.07</v>
      </c>
      <c r="N32" s="2">
        <v>-4.18</v>
      </c>
      <c r="O32" s="2">
        <v>5.9</v>
      </c>
      <c r="P32" s="2">
        <v>-2</v>
      </c>
      <c r="Q32" s="2">
        <v>-2.5299999999999998</v>
      </c>
      <c r="R32" s="2">
        <v>-16.07</v>
      </c>
      <c r="S32" s="2">
        <v>-2.4700000000000002</v>
      </c>
      <c r="T32" s="2">
        <v>7.39</v>
      </c>
      <c r="U32" s="2">
        <v>-4.5599999999999996</v>
      </c>
      <c r="V32" s="2">
        <v>-1.1499999999999999</v>
      </c>
      <c r="W32" s="2">
        <v>-14.77</v>
      </c>
      <c r="X32" s="2">
        <v>-1.36</v>
      </c>
      <c r="Y32" s="2">
        <v>8.35</v>
      </c>
      <c r="Z32" s="2">
        <v>-7.97</v>
      </c>
      <c r="AA32" s="2">
        <v>-0.25</v>
      </c>
      <c r="AB32" s="2">
        <v>-13.93</v>
      </c>
      <c r="AC32" s="2">
        <v>-0.64</v>
      </c>
      <c r="AD32" s="2">
        <v>8.98</v>
      </c>
      <c r="AE32" s="2">
        <v>-11.95</v>
      </c>
    </row>
    <row r="33" spans="1:31" x14ac:dyDescent="0.25">
      <c r="A33" s="3" t="s">
        <v>350</v>
      </c>
      <c r="B33" s="2">
        <v>2613</v>
      </c>
      <c r="C33" s="2">
        <v>2713</v>
      </c>
      <c r="D33" s="2">
        <v>2702</v>
      </c>
      <c r="E33" s="2">
        <v>2702</v>
      </c>
      <c r="F33" s="2">
        <v>2685</v>
      </c>
      <c r="G33" s="2">
        <v>2702.26</v>
      </c>
      <c r="H33" s="2">
        <v>2686.67</v>
      </c>
      <c r="I33" s="2">
        <v>2677.2</v>
      </c>
      <c r="J33" s="2">
        <v>2679</v>
      </c>
      <c r="K33" s="2">
        <v>2659.33</v>
      </c>
      <c r="L33" s="2">
        <v>2664.94</v>
      </c>
      <c r="M33" s="2">
        <v>2646.87</v>
      </c>
      <c r="N33" s="2">
        <v>2642.69</v>
      </c>
      <c r="O33" s="2">
        <v>2648.59</v>
      </c>
      <c r="P33" s="2">
        <v>2657.33</v>
      </c>
      <c r="Q33" s="2">
        <v>2646.06</v>
      </c>
      <c r="R33" s="2">
        <v>2630</v>
      </c>
      <c r="S33" s="2">
        <v>2627.53</v>
      </c>
      <c r="T33" s="2">
        <v>2634.92</v>
      </c>
      <c r="U33" s="2">
        <v>2652.77</v>
      </c>
      <c r="V33" s="2">
        <v>2633.77</v>
      </c>
      <c r="W33" s="2">
        <v>2619</v>
      </c>
      <c r="X33" s="2">
        <v>2617.64</v>
      </c>
      <c r="Y33" s="2">
        <v>2625.99</v>
      </c>
      <c r="Z33" s="2">
        <v>2644.8</v>
      </c>
      <c r="AA33" s="2">
        <v>2625.74</v>
      </c>
      <c r="AB33" s="2">
        <v>2611.8200000000002</v>
      </c>
      <c r="AC33" s="2">
        <v>2611.1799999999998</v>
      </c>
      <c r="AD33" s="2">
        <v>2620.16</v>
      </c>
      <c r="AE33" s="2">
        <v>2632.85</v>
      </c>
    </row>
    <row r="34" spans="1:31" x14ac:dyDescent="0.25">
      <c r="A34" t="s">
        <v>351</v>
      </c>
      <c r="B34" s="2">
        <v>2621.5</v>
      </c>
      <c r="C34" s="2">
        <v>2663</v>
      </c>
      <c r="D34" s="2">
        <v>2707.5</v>
      </c>
      <c r="E34" s="2">
        <v>2702</v>
      </c>
      <c r="F34" s="2">
        <v>2657.5</v>
      </c>
      <c r="G34" s="2">
        <v>2704.44</v>
      </c>
      <c r="H34" s="2">
        <v>2699.89</v>
      </c>
      <c r="I34" s="2">
        <v>2688.85</v>
      </c>
      <c r="J34" s="2">
        <v>2684.5</v>
      </c>
      <c r="K34" s="2">
        <v>2680.36</v>
      </c>
      <c r="L34" s="2">
        <v>2667.27</v>
      </c>
      <c r="M34" s="2">
        <v>2655.9</v>
      </c>
      <c r="N34" s="2">
        <v>2644.78</v>
      </c>
      <c r="O34" s="2">
        <v>2645.64</v>
      </c>
      <c r="P34" s="2">
        <v>2666.99</v>
      </c>
      <c r="Q34" s="2">
        <v>2647.33</v>
      </c>
      <c r="R34" s="2">
        <v>2638.03</v>
      </c>
      <c r="S34" s="2">
        <v>2628.76</v>
      </c>
      <c r="T34" s="2">
        <v>2631.22</v>
      </c>
      <c r="U34" s="2">
        <v>2663.69</v>
      </c>
      <c r="V34" s="2">
        <v>2634.34</v>
      </c>
      <c r="W34" s="2">
        <v>2626.39</v>
      </c>
      <c r="X34" s="2">
        <v>2618.3200000000002</v>
      </c>
      <c r="Y34" s="2">
        <v>2621.82</v>
      </c>
      <c r="Z34" s="2">
        <v>2658.13</v>
      </c>
      <c r="AA34" s="2">
        <v>2625.87</v>
      </c>
      <c r="AB34" s="2">
        <v>2618.7800000000002</v>
      </c>
      <c r="AC34" s="2">
        <v>2611.5</v>
      </c>
      <c r="AD34" s="2">
        <v>2615.67</v>
      </c>
      <c r="AE34" s="2">
        <v>2649.79</v>
      </c>
    </row>
    <row r="35" spans="1:31" x14ac:dyDescent="0.25">
      <c r="A35" s="3" t="s">
        <v>352</v>
      </c>
      <c r="B35" s="2">
        <v>336.2</v>
      </c>
      <c r="C35" s="2">
        <v>339.8</v>
      </c>
      <c r="D35" s="2">
        <v>333.68</v>
      </c>
      <c r="E35" s="2">
        <v>334.82</v>
      </c>
      <c r="F35" s="2">
        <v>346.08</v>
      </c>
      <c r="G35" s="2">
        <v>338.55</v>
      </c>
      <c r="H35" s="2">
        <v>341.19</v>
      </c>
      <c r="I35" s="2">
        <v>338.59</v>
      </c>
      <c r="J35" s="2">
        <v>339.82</v>
      </c>
      <c r="K35" s="2">
        <v>353.14</v>
      </c>
      <c r="L35" s="2" t="s">
        <v>55</v>
      </c>
      <c r="M35" s="2" t="s">
        <v>55</v>
      </c>
      <c r="N35" s="2" t="s">
        <v>55</v>
      </c>
      <c r="O35" s="2" t="s">
        <v>55</v>
      </c>
      <c r="P35" s="2">
        <v>361.03</v>
      </c>
      <c r="Q35" s="2" t="s">
        <v>55</v>
      </c>
      <c r="R35" s="2" t="s">
        <v>55</v>
      </c>
      <c r="S35" s="2" t="s">
        <v>55</v>
      </c>
      <c r="T35" s="2" t="s">
        <v>55</v>
      </c>
      <c r="U35" s="2">
        <v>369.94</v>
      </c>
      <c r="V35" s="2" t="s">
        <v>55</v>
      </c>
      <c r="W35" s="2" t="s">
        <v>55</v>
      </c>
      <c r="X35" s="2" t="s">
        <v>55</v>
      </c>
      <c r="Y35" s="2" t="s">
        <v>55</v>
      </c>
      <c r="Z35" s="2">
        <v>379.42</v>
      </c>
      <c r="AA35" s="2" t="s">
        <v>55</v>
      </c>
      <c r="AB35" s="2" t="s">
        <v>55</v>
      </c>
      <c r="AC35" s="2" t="s">
        <v>55</v>
      </c>
      <c r="AD35" s="2" t="s">
        <v>55</v>
      </c>
      <c r="AE35" s="2">
        <v>389.29</v>
      </c>
    </row>
    <row r="36" spans="1:31" x14ac:dyDescent="0.25">
      <c r="A36" s="3" t="s">
        <v>353</v>
      </c>
      <c r="B36" s="2">
        <v>2591.5300000000002</v>
      </c>
      <c r="C36" s="2">
        <v>2645.83</v>
      </c>
      <c r="D36" s="2">
        <v>2654.66</v>
      </c>
      <c r="E36" s="2">
        <v>2668.54</v>
      </c>
      <c r="F36" s="2">
        <v>10711.73</v>
      </c>
      <c r="G36" s="2">
        <v>2646.24</v>
      </c>
      <c r="H36" s="2">
        <v>2675.84</v>
      </c>
      <c r="I36" s="2">
        <v>2672.14</v>
      </c>
      <c r="J36" s="2">
        <v>2686.39</v>
      </c>
      <c r="K36" s="2">
        <v>10944.31</v>
      </c>
      <c r="L36" s="2">
        <v>2541</v>
      </c>
      <c r="M36" s="2">
        <v>2577</v>
      </c>
      <c r="N36" s="2">
        <v>2599</v>
      </c>
      <c r="O36" s="2">
        <v>2623</v>
      </c>
      <c r="P36" s="2">
        <v>11106.86</v>
      </c>
      <c r="Q36" s="2" t="s">
        <v>55</v>
      </c>
      <c r="R36" s="2" t="s">
        <v>55</v>
      </c>
      <c r="S36" s="2" t="s">
        <v>55</v>
      </c>
      <c r="T36" s="2" t="s">
        <v>55</v>
      </c>
      <c r="U36" s="2">
        <v>11724.99</v>
      </c>
      <c r="V36" s="2" t="s">
        <v>55</v>
      </c>
      <c r="W36" s="2" t="s">
        <v>55</v>
      </c>
      <c r="X36" s="2" t="s">
        <v>55</v>
      </c>
      <c r="Y36" s="2" t="s">
        <v>55</v>
      </c>
      <c r="Z36" s="2">
        <v>11939.06</v>
      </c>
      <c r="AA36" s="2" t="s">
        <v>55</v>
      </c>
      <c r="AB36" s="2" t="s">
        <v>55</v>
      </c>
      <c r="AC36" s="2" t="s">
        <v>55</v>
      </c>
      <c r="AD36" s="2" t="s">
        <v>55</v>
      </c>
      <c r="AE36" s="2">
        <v>12123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A8B5-5BE4-4F82-AB03-AA8E59DAF6A3}">
  <dimension ref="A2:AE42"/>
  <sheetViews>
    <sheetView workbookViewId="0"/>
  </sheetViews>
  <sheetFormatPr defaultRowHeight="15" x14ac:dyDescent="0.25"/>
  <cols>
    <col min="1" max="1" width="49.5703125" customWidth="1"/>
    <col min="2" max="31" width="18.140625" customWidth="1"/>
  </cols>
  <sheetData>
    <row r="2" spans="1:31" ht="18.75" x14ac:dyDescent="0.3">
      <c r="A2" s="4" t="s">
        <v>354</v>
      </c>
    </row>
    <row r="3" spans="1:31" x14ac:dyDescent="0.25">
      <c r="A3" t="s">
        <v>1</v>
      </c>
    </row>
    <row r="5" spans="1:31" x14ac:dyDescent="0.25">
      <c r="A5" s="3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5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  <c r="N14" s="6" t="s">
        <v>22</v>
      </c>
      <c r="O14" s="6" t="s">
        <v>23</v>
      </c>
      <c r="P14" s="6" t="s">
        <v>24</v>
      </c>
      <c r="Q14" s="6" t="s">
        <v>25</v>
      </c>
      <c r="R14" s="6" t="s">
        <v>26</v>
      </c>
      <c r="S14" s="6" t="s">
        <v>27</v>
      </c>
      <c r="T14" s="6" t="s">
        <v>28</v>
      </c>
      <c r="U14" s="6" t="s">
        <v>29</v>
      </c>
      <c r="V14" s="6" t="s">
        <v>30</v>
      </c>
      <c r="W14" s="6" t="s">
        <v>31</v>
      </c>
      <c r="X14" s="6" t="s">
        <v>32</v>
      </c>
      <c r="Y14" s="6" t="s">
        <v>33</v>
      </c>
      <c r="Z14" s="6" t="s">
        <v>34</v>
      </c>
      <c r="AA14" s="6" t="s">
        <v>35</v>
      </c>
      <c r="AB14" s="6" t="s">
        <v>36</v>
      </c>
      <c r="AC14" s="6" t="s">
        <v>37</v>
      </c>
      <c r="AD14" s="6" t="s">
        <v>38</v>
      </c>
      <c r="AE14" s="6" t="s">
        <v>39</v>
      </c>
    </row>
    <row r="15" spans="1:31" x14ac:dyDescent="0.25">
      <c r="A15" t="s">
        <v>40</v>
      </c>
      <c r="B15" s="1">
        <v>22</v>
      </c>
      <c r="C15" s="1">
        <v>21</v>
      </c>
      <c r="D15" s="1">
        <v>21</v>
      </c>
      <c r="E15" s="1">
        <v>20</v>
      </c>
      <c r="F15" s="1">
        <v>21</v>
      </c>
      <c r="G15" s="1">
        <v>21</v>
      </c>
      <c r="H15" s="1">
        <v>20</v>
      </c>
      <c r="I15" s="1" t="s">
        <v>41</v>
      </c>
      <c r="J15" s="1" t="s">
        <v>41</v>
      </c>
      <c r="K15" s="1" t="s">
        <v>41</v>
      </c>
      <c r="L15" s="1" t="s">
        <v>42</v>
      </c>
      <c r="M15" s="1" t="s">
        <v>42</v>
      </c>
      <c r="N15" s="1" t="s">
        <v>43</v>
      </c>
      <c r="O15" s="1" t="s">
        <v>43</v>
      </c>
      <c r="P15" s="1" t="s">
        <v>41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45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47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</row>
    <row r="16" spans="1:31" x14ac:dyDescent="0.25">
      <c r="A16" t="s">
        <v>355</v>
      </c>
      <c r="B16" s="2">
        <v>3296</v>
      </c>
      <c r="C16" s="2">
        <v>11044</v>
      </c>
      <c r="D16" s="2">
        <v>3250</v>
      </c>
      <c r="E16" s="2">
        <v>2070</v>
      </c>
      <c r="F16" s="2">
        <v>19660</v>
      </c>
      <c r="G16" s="2">
        <v>2027</v>
      </c>
      <c r="H16" s="2">
        <v>3418</v>
      </c>
      <c r="I16" s="2">
        <v>3039.87</v>
      </c>
      <c r="J16" s="2">
        <v>1938.89</v>
      </c>
      <c r="K16" s="2">
        <v>10386.51</v>
      </c>
      <c r="L16" s="2">
        <v>2462.1999999999998</v>
      </c>
      <c r="M16" s="2">
        <v>3174.79</v>
      </c>
      <c r="N16" s="2">
        <v>3114.03</v>
      </c>
      <c r="O16" s="2">
        <v>2133.61</v>
      </c>
      <c r="P16" s="2">
        <v>10791.07</v>
      </c>
      <c r="Q16" s="2">
        <v>2585.3200000000002</v>
      </c>
      <c r="R16" s="2">
        <v>3257.36</v>
      </c>
      <c r="S16" s="2">
        <v>3198.72</v>
      </c>
      <c r="T16" s="2">
        <v>2162.6</v>
      </c>
      <c r="U16" s="2">
        <v>11198.67</v>
      </c>
      <c r="V16" s="2">
        <v>2516.59</v>
      </c>
      <c r="W16" s="2">
        <v>3231.45</v>
      </c>
      <c r="X16" s="2">
        <v>3232.19</v>
      </c>
      <c r="Y16" s="2">
        <v>2196.7199999999998</v>
      </c>
      <c r="Z16" s="2">
        <v>11378.12</v>
      </c>
      <c r="AA16" s="2">
        <v>2581.17</v>
      </c>
      <c r="AB16" s="2">
        <v>3321.02</v>
      </c>
      <c r="AC16" s="2">
        <v>3312.37</v>
      </c>
      <c r="AD16" s="2">
        <v>2331.9899999999998</v>
      </c>
      <c r="AE16" s="2">
        <v>11832.93</v>
      </c>
    </row>
    <row r="17" spans="1:31" x14ac:dyDescent="0.25">
      <c r="A17" t="s">
        <v>356</v>
      </c>
      <c r="B17" s="2">
        <v>3849</v>
      </c>
      <c r="C17" s="2">
        <v>4154</v>
      </c>
      <c r="D17" s="2">
        <v>4020</v>
      </c>
      <c r="E17" s="2">
        <v>4187</v>
      </c>
      <c r="F17" s="2">
        <v>16210</v>
      </c>
      <c r="G17" s="2">
        <v>3865</v>
      </c>
      <c r="H17" s="2">
        <v>3688</v>
      </c>
      <c r="I17" s="2">
        <v>3806.53</v>
      </c>
      <c r="J17" s="2">
        <v>3838.22</v>
      </c>
      <c r="K17" s="2">
        <v>15115.46</v>
      </c>
      <c r="L17" s="2">
        <v>3752.26</v>
      </c>
      <c r="M17" s="2">
        <v>3702.42</v>
      </c>
      <c r="N17" s="2">
        <v>3785.15</v>
      </c>
      <c r="O17" s="2">
        <v>3835.94</v>
      </c>
      <c r="P17" s="2">
        <v>15037.88</v>
      </c>
      <c r="Q17" s="2">
        <v>3709.96</v>
      </c>
      <c r="R17" s="2">
        <v>3677.4</v>
      </c>
      <c r="S17" s="2">
        <v>3802.91</v>
      </c>
      <c r="T17" s="2">
        <v>3837.1</v>
      </c>
      <c r="U17" s="2">
        <v>15158.63</v>
      </c>
      <c r="V17" s="2">
        <v>3781.74</v>
      </c>
      <c r="W17" s="2">
        <v>3758.57</v>
      </c>
      <c r="X17" s="2">
        <v>3768.61</v>
      </c>
      <c r="Y17" s="2">
        <v>3810.11</v>
      </c>
      <c r="Z17" s="2">
        <v>15169.73</v>
      </c>
      <c r="AA17" s="2">
        <v>3825.86</v>
      </c>
      <c r="AB17" s="2">
        <v>3773.78</v>
      </c>
      <c r="AC17" s="2">
        <v>3791.01</v>
      </c>
      <c r="AD17" s="2">
        <v>3831.65</v>
      </c>
      <c r="AE17" s="2">
        <v>15301.06</v>
      </c>
    </row>
    <row r="18" spans="1:31" x14ac:dyDescent="0.25">
      <c r="A18" t="s">
        <v>357</v>
      </c>
      <c r="B18" s="2">
        <v>382</v>
      </c>
      <c r="C18" s="2">
        <v>321</v>
      </c>
      <c r="D18" s="2">
        <v>311</v>
      </c>
      <c r="E18" s="2">
        <v>274</v>
      </c>
      <c r="F18" s="2">
        <v>1288</v>
      </c>
      <c r="G18" s="2">
        <v>427</v>
      </c>
      <c r="H18" s="2">
        <v>359</v>
      </c>
      <c r="I18" s="2">
        <v>331.43</v>
      </c>
      <c r="J18" s="2">
        <v>326.81</v>
      </c>
      <c r="K18" s="2">
        <v>1464.39</v>
      </c>
      <c r="L18" s="2">
        <v>399.11</v>
      </c>
      <c r="M18" s="2">
        <v>350.47</v>
      </c>
      <c r="N18" s="2">
        <v>342.17</v>
      </c>
      <c r="O18" s="2">
        <v>352.16</v>
      </c>
      <c r="P18" s="2">
        <v>1465.23</v>
      </c>
      <c r="Q18" s="2">
        <v>416.94</v>
      </c>
      <c r="R18" s="2">
        <v>347.08</v>
      </c>
      <c r="S18" s="2">
        <v>346.14</v>
      </c>
      <c r="T18" s="2">
        <v>347.27</v>
      </c>
      <c r="U18" s="2">
        <v>1503.46</v>
      </c>
      <c r="V18" s="2">
        <v>433.69</v>
      </c>
      <c r="W18" s="2">
        <v>351.15</v>
      </c>
      <c r="X18" s="2">
        <v>337.98</v>
      </c>
      <c r="Y18" s="2">
        <v>348.83</v>
      </c>
      <c r="Z18" s="2">
        <v>1527.54</v>
      </c>
      <c r="AA18" s="2">
        <v>446.63</v>
      </c>
      <c r="AB18" s="2">
        <v>359.12</v>
      </c>
      <c r="AC18" s="2">
        <v>343.29</v>
      </c>
      <c r="AD18" s="2">
        <v>354.52</v>
      </c>
      <c r="AE18" s="2">
        <v>1562.55</v>
      </c>
    </row>
    <row r="19" spans="1:31" x14ac:dyDescent="0.25">
      <c r="A19" t="s">
        <v>358</v>
      </c>
      <c r="B19" s="2">
        <v>-43</v>
      </c>
      <c r="C19" s="2">
        <v>2599</v>
      </c>
      <c r="D19" s="2">
        <v>694</v>
      </c>
      <c r="E19" s="2">
        <v>-576</v>
      </c>
      <c r="F19" s="2">
        <v>2674</v>
      </c>
      <c r="G19" s="2">
        <v>730</v>
      </c>
      <c r="H19" s="2">
        <v>697</v>
      </c>
      <c r="I19" s="2">
        <v>162.74</v>
      </c>
      <c r="J19" s="2">
        <v>58.83</v>
      </c>
      <c r="K19" s="2">
        <v>1665.71</v>
      </c>
      <c r="L19" s="2">
        <v>92.7</v>
      </c>
      <c r="M19" s="2">
        <v>124.58</v>
      </c>
      <c r="N19" s="2">
        <v>285.16000000000003</v>
      </c>
      <c r="O19" s="2">
        <v>279.42</v>
      </c>
      <c r="P19" s="2">
        <v>881.89</v>
      </c>
      <c r="Q19" s="2">
        <v>-19.12</v>
      </c>
      <c r="R19" s="2">
        <v>-69.88</v>
      </c>
      <c r="S19" s="2">
        <v>223.2</v>
      </c>
      <c r="T19" s="2">
        <v>249.59</v>
      </c>
      <c r="U19" s="2">
        <v>641.05999999999995</v>
      </c>
      <c r="V19" s="2">
        <v>-15.06</v>
      </c>
      <c r="W19" s="2">
        <v>-64.760000000000005</v>
      </c>
      <c r="X19" s="2">
        <v>207.42</v>
      </c>
      <c r="Y19" s="2">
        <v>249.54</v>
      </c>
      <c r="Z19" s="2">
        <v>825.14</v>
      </c>
      <c r="AA19" s="2">
        <v>11.93</v>
      </c>
      <c r="AB19" s="2">
        <v>-65.010000000000005</v>
      </c>
      <c r="AC19" s="2">
        <v>203.32</v>
      </c>
      <c r="AD19" s="2">
        <v>246.6</v>
      </c>
      <c r="AE19" s="2">
        <v>650.54</v>
      </c>
    </row>
    <row r="20" spans="1:31" x14ac:dyDescent="0.25">
      <c r="A20" t="s">
        <v>359</v>
      </c>
      <c r="B20" s="2">
        <v>361</v>
      </c>
      <c r="C20" s="2">
        <v>-9498</v>
      </c>
      <c r="D20" s="2">
        <v>214</v>
      </c>
      <c r="E20" s="2">
        <v>558</v>
      </c>
      <c r="F20" s="2">
        <v>-8365</v>
      </c>
      <c r="G20" s="2">
        <v>397</v>
      </c>
      <c r="H20" s="2">
        <v>-228</v>
      </c>
      <c r="I20" s="2">
        <v>204.39</v>
      </c>
      <c r="J20" s="2">
        <v>214.18</v>
      </c>
      <c r="K20" s="2">
        <v>501.11</v>
      </c>
      <c r="L20" s="2">
        <v>225.19</v>
      </c>
      <c r="M20" s="2">
        <v>139.82</v>
      </c>
      <c r="N20" s="2">
        <v>217.61</v>
      </c>
      <c r="O20" s="2">
        <v>287.14999999999998</v>
      </c>
      <c r="P20" s="2">
        <v>696.63</v>
      </c>
      <c r="Q20" s="2">
        <v>172.08</v>
      </c>
      <c r="R20" s="2">
        <v>-82.56</v>
      </c>
      <c r="S20" s="2">
        <v>100.69</v>
      </c>
      <c r="T20" s="2">
        <v>235.56</v>
      </c>
      <c r="U20" s="2">
        <v>405.65</v>
      </c>
      <c r="V20" s="2">
        <v>156.24</v>
      </c>
      <c r="W20" s="2">
        <v>-74.290000000000006</v>
      </c>
      <c r="X20" s="2">
        <v>96.53</v>
      </c>
      <c r="Y20" s="2">
        <v>225</v>
      </c>
      <c r="Z20" s="2">
        <v>402.22</v>
      </c>
      <c r="AA20" s="2">
        <v>145.13999999999999</v>
      </c>
      <c r="AB20" s="2">
        <v>-67.7</v>
      </c>
      <c r="AC20" s="2">
        <v>93.43</v>
      </c>
      <c r="AD20" s="2">
        <v>216.39</v>
      </c>
      <c r="AE20" s="2">
        <v>408.46</v>
      </c>
    </row>
    <row r="21" spans="1:31" x14ac:dyDescent="0.25">
      <c r="A21" t="s">
        <v>360</v>
      </c>
      <c r="B21" s="2">
        <v>935</v>
      </c>
      <c r="C21" s="2">
        <v>88</v>
      </c>
      <c r="D21" s="2">
        <v>-307</v>
      </c>
      <c r="E21" s="2">
        <v>-851</v>
      </c>
      <c r="F21" s="2">
        <v>-135</v>
      </c>
      <c r="G21" s="2">
        <v>-1376</v>
      </c>
      <c r="H21" s="2">
        <v>38</v>
      </c>
      <c r="I21" s="2">
        <v>-6.75</v>
      </c>
      <c r="J21" s="2">
        <v>-165.5</v>
      </c>
      <c r="K21" s="2">
        <v>-1252.24</v>
      </c>
      <c r="L21" s="2">
        <v>44.56</v>
      </c>
      <c r="M21" s="2">
        <v>-211.57</v>
      </c>
      <c r="N21" s="2">
        <v>103.46</v>
      </c>
      <c r="O21" s="2">
        <v>-130.41999999999999</v>
      </c>
      <c r="P21" s="2">
        <v>-246.61</v>
      </c>
      <c r="Q21" s="2">
        <v>-468.93</v>
      </c>
      <c r="R21" s="2">
        <v>-320.29000000000002</v>
      </c>
      <c r="S21" s="2">
        <v>-178.08</v>
      </c>
      <c r="T21" s="2">
        <v>571.84</v>
      </c>
      <c r="U21" s="2">
        <v>-595.01</v>
      </c>
      <c r="V21" s="2">
        <v>-663.87</v>
      </c>
      <c r="W21" s="2">
        <v>-430.85</v>
      </c>
      <c r="X21" s="2">
        <v>462.3</v>
      </c>
      <c r="Y21" s="2">
        <v>533.01</v>
      </c>
      <c r="Z21" s="2">
        <v>0.08</v>
      </c>
      <c r="AA21" s="2">
        <v>-1386.43</v>
      </c>
      <c r="AB21" s="2">
        <v>13.86</v>
      </c>
      <c r="AC21" s="2">
        <v>343.44</v>
      </c>
      <c r="AD21" s="2">
        <v>477.04</v>
      </c>
      <c r="AE21" s="2">
        <v>-410.64</v>
      </c>
    </row>
    <row r="22" spans="1:31" x14ac:dyDescent="0.25">
      <c r="A22" t="s">
        <v>361</v>
      </c>
      <c r="B22" s="2">
        <v>-123</v>
      </c>
      <c r="C22" s="2">
        <v>311</v>
      </c>
      <c r="D22" s="2">
        <v>-356</v>
      </c>
      <c r="E22" s="2">
        <v>506</v>
      </c>
      <c r="F22" s="2">
        <v>338</v>
      </c>
      <c r="G22" s="2">
        <v>375</v>
      </c>
      <c r="H22" s="2">
        <v>498</v>
      </c>
      <c r="I22" s="2">
        <v>-299.56</v>
      </c>
      <c r="J22" s="2">
        <v>147.35</v>
      </c>
      <c r="K22" s="2">
        <v>785.68</v>
      </c>
      <c r="L22" s="2">
        <v>-152.6</v>
      </c>
      <c r="M22" s="2">
        <v>-82.85</v>
      </c>
      <c r="N22" s="2">
        <v>-183.28</v>
      </c>
      <c r="O22" s="2">
        <v>33.049999999999997</v>
      </c>
      <c r="P22" s="2">
        <v>-23.2</v>
      </c>
      <c r="Q22" s="2">
        <v>-143.21</v>
      </c>
      <c r="R22" s="2">
        <v>-77.94</v>
      </c>
      <c r="S22" s="2">
        <v>-241.95</v>
      </c>
      <c r="T22" s="2">
        <v>60.5</v>
      </c>
      <c r="U22" s="2">
        <v>-44.41</v>
      </c>
      <c r="V22" s="2">
        <v>-201.04</v>
      </c>
      <c r="W22" s="2">
        <v>-99.83</v>
      </c>
      <c r="X22" s="2">
        <v>-266.77</v>
      </c>
      <c r="Y22" s="2">
        <v>50.87</v>
      </c>
      <c r="Z22" s="2">
        <v>-271.79000000000002</v>
      </c>
      <c r="AA22" s="2">
        <v>-208.85</v>
      </c>
      <c r="AB22" s="2">
        <v>-99.98</v>
      </c>
      <c r="AC22" s="2">
        <v>-266.68</v>
      </c>
      <c r="AD22" s="2">
        <v>25.43</v>
      </c>
      <c r="AE22" s="2">
        <v>-323.49</v>
      </c>
    </row>
    <row r="23" spans="1:31" x14ac:dyDescent="0.25">
      <c r="A23" t="s">
        <v>362</v>
      </c>
      <c r="B23" s="2">
        <v>-35</v>
      </c>
      <c r="C23" s="2">
        <v>69</v>
      </c>
      <c r="D23" s="2">
        <v>-169</v>
      </c>
      <c r="E23" s="2">
        <v>115</v>
      </c>
      <c r="F23" s="2">
        <v>-20</v>
      </c>
      <c r="G23" s="2">
        <v>1119</v>
      </c>
      <c r="H23" s="2">
        <v>-161</v>
      </c>
      <c r="I23" s="2">
        <v>-232.84</v>
      </c>
      <c r="J23" s="2">
        <v>-428.8</v>
      </c>
      <c r="K23" s="2">
        <v>548.74</v>
      </c>
      <c r="L23" s="2">
        <v>61.37</v>
      </c>
      <c r="M23" s="2">
        <v>66.680000000000007</v>
      </c>
      <c r="N23" s="2">
        <v>-69.63</v>
      </c>
      <c r="O23" s="2">
        <v>-445.5</v>
      </c>
      <c r="P23" s="2">
        <v>-367.62</v>
      </c>
      <c r="Q23" s="2">
        <v>305.49</v>
      </c>
      <c r="R23" s="2">
        <v>195.47</v>
      </c>
      <c r="S23" s="2">
        <v>382.06</v>
      </c>
      <c r="T23" s="2">
        <v>-831.51</v>
      </c>
      <c r="U23" s="2">
        <v>128.29</v>
      </c>
      <c r="V23" s="2">
        <v>428.54</v>
      </c>
      <c r="W23" s="2">
        <v>290</v>
      </c>
      <c r="X23" s="2">
        <v>-290.01</v>
      </c>
      <c r="Y23" s="2">
        <v>-756.59</v>
      </c>
      <c r="Z23" s="2">
        <v>-295.08999999999997</v>
      </c>
      <c r="AA23" s="2">
        <v>1203.21</v>
      </c>
      <c r="AB23" s="2">
        <v>-289.27999999999997</v>
      </c>
      <c r="AC23" s="2">
        <v>-174.57</v>
      </c>
      <c r="AD23" s="2">
        <v>-767.52</v>
      </c>
      <c r="AE23" s="2">
        <v>12.56</v>
      </c>
    </row>
    <row r="24" spans="1:31" x14ac:dyDescent="0.25">
      <c r="A24" t="s">
        <v>363</v>
      </c>
      <c r="B24" s="2">
        <v>-327</v>
      </c>
      <c r="C24" s="2">
        <v>-1275</v>
      </c>
      <c r="D24" s="2">
        <v>1036</v>
      </c>
      <c r="E24" s="2">
        <v>2560</v>
      </c>
      <c r="F24" s="2">
        <v>1994</v>
      </c>
      <c r="G24" s="2">
        <v>-673</v>
      </c>
      <c r="H24" s="2">
        <v>-218</v>
      </c>
      <c r="I24" s="2">
        <v>-87.9</v>
      </c>
      <c r="J24" s="2">
        <v>252.01</v>
      </c>
      <c r="K24" s="2">
        <v>-798.56</v>
      </c>
      <c r="L24" s="2">
        <v>-445.43</v>
      </c>
      <c r="M24" s="2">
        <v>-415.19</v>
      </c>
      <c r="N24" s="2">
        <v>66.13</v>
      </c>
      <c r="O24" s="2">
        <v>516.37</v>
      </c>
      <c r="P24" s="2">
        <v>-197.71</v>
      </c>
      <c r="Q24" s="2">
        <v>-622.84</v>
      </c>
      <c r="R24" s="2">
        <v>-498.67</v>
      </c>
      <c r="S24" s="2">
        <v>-16.98</v>
      </c>
      <c r="T24" s="2">
        <v>601.13</v>
      </c>
      <c r="U24" s="2">
        <v>-89.61</v>
      </c>
      <c r="V24" s="2">
        <v>-912.96</v>
      </c>
      <c r="W24" s="2">
        <v>-717.47</v>
      </c>
      <c r="X24" s="2">
        <v>-123.47</v>
      </c>
      <c r="Y24" s="2">
        <v>843.45</v>
      </c>
      <c r="Z24" s="2">
        <v>-120.34</v>
      </c>
      <c r="AA24" s="2">
        <v>-729.72</v>
      </c>
      <c r="AB24" s="2">
        <v>-662.22</v>
      </c>
      <c r="AC24" s="2">
        <v>8.59</v>
      </c>
      <c r="AD24" s="2">
        <v>823.01</v>
      </c>
      <c r="AE24" s="2">
        <v>34.24</v>
      </c>
    </row>
    <row r="25" spans="1:31" x14ac:dyDescent="0.25">
      <c r="A25" s="3" t="s">
        <v>364</v>
      </c>
      <c r="B25" s="2">
        <v>450</v>
      </c>
      <c r="C25" s="2">
        <v>-807</v>
      </c>
      <c r="D25" s="2">
        <v>204</v>
      </c>
      <c r="E25" s="2">
        <v>2330</v>
      </c>
      <c r="F25" s="2">
        <v>2177</v>
      </c>
      <c r="G25" s="2">
        <v>-555</v>
      </c>
      <c r="H25" s="2">
        <v>157</v>
      </c>
      <c r="I25" s="2">
        <v>-420.75</v>
      </c>
      <c r="J25" s="2">
        <v>-50.94</v>
      </c>
      <c r="K25" s="2">
        <v>-782.26</v>
      </c>
      <c r="L25" s="2">
        <v>-506.09</v>
      </c>
      <c r="M25" s="2">
        <v>-416.29</v>
      </c>
      <c r="N25" s="2">
        <v>5.96</v>
      </c>
      <c r="O25" s="2">
        <v>96.86</v>
      </c>
      <c r="P25" s="2">
        <v>-730.36</v>
      </c>
      <c r="Q25" s="2">
        <v>-538.61</v>
      </c>
      <c r="R25" s="2">
        <v>-413.71</v>
      </c>
      <c r="S25" s="2">
        <v>-117.8</v>
      </c>
      <c r="T25" s="2">
        <v>181.18</v>
      </c>
      <c r="U25" s="2">
        <v>-689.01</v>
      </c>
      <c r="V25" s="2">
        <v>-639.94000000000005</v>
      </c>
      <c r="W25" s="2">
        <v>-463.23</v>
      </c>
      <c r="X25" s="2">
        <v>-200.53</v>
      </c>
      <c r="Y25" s="2">
        <v>218.47</v>
      </c>
      <c r="Z25" s="2">
        <v>-682.6</v>
      </c>
      <c r="AA25" s="2">
        <v>-550.49</v>
      </c>
      <c r="AB25" s="2">
        <v>-495.05</v>
      </c>
      <c r="AC25" s="2">
        <v>-149.02000000000001</v>
      </c>
      <c r="AD25" s="2">
        <v>168.27</v>
      </c>
      <c r="AE25" s="2">
        <v>-740.12</v>
      </c>
    </row>
    <row r="26" spans="1:31" x14ac:dyDescent="0.25">
      <c r="A26" s="3" t="s">
        <v>103</v>
      </c>
      <c r="B26" s="2">
        <v>8294</v>
      </c>
      <c r="C26" s="2">
        <v>7815</v>
      </c>
      <c r="D26" s="2">
        <v>8693</v>
      </c>
      <c r="E26" s="2">
        <v>8841</v>
      </c>
      <c r="F26" s="2">
        <v>33643</v>
      </c>
      <c r="G26" s="2">
        <v>6891</v>
      </c>
      <c r="H26" s="2">
        <v>8092</v>
      </c>
      <c r="I26" s="2">
        <v>7001.35</v>
      </c>
      <c r="J26" s="2">
        <v>6018.83</v>
      </c>
      <c r="K26" s="2">
        <v>27655.01</v>
      </c>
      <c r="L26" s="2">
        <v>6135.92</v>
      </c>
      <c r="M26" s="2">
        <v>6783.34</v>
      </c>
      <c r="N26" s="2">
        <v>7258.61</v>
      </c>
      <c r="O26" s="2">
        <v>6465.71</v>
      </c>
      <c r="P26" s="2">
        <v>26871.55</v>
      </c>
      <c r="Q26" s="2">
        <v>6319</v>
      </c>
      <c r="R26" s="2">
        <v>6848.69</v>
      </c>
      <c r="S26" s="2">
        <v>7316.64</v>
      </c>
      <c r="T26" s="2">
        <v>6670.71</v>
      </c>
      <c r="U26" s="2">
        <v>27855.68</v>
      </c>
      <c r="V26" s="2">
        <v>6303.2</v>
      </c>
      <c r="W26" s="2">
        <v>6892.89</v>
      </c>
      <c r="X26" s="2">
        <v>7248.68</v>
      </c>
      <c r="Y26" s="2">
        <v>6770.94</v>
      </c>
      <c r="Z26" s="2">
        <v>28332.21</v>
      </c>
      <c r="AA26" s="2">
        <v>6478.25</v>
      </c>
      <c r="AB26" s="2">
        <v>7006.89</v>
      </c>
      <c r="AC26" s="2">
        <v>7405.78</v>
      </c>
      <c r="AD26" s="2">
        <v>6946.68</v>
      </c>
      <c r="AE26" s="2">
        <v>28838.83</v>
      </c>
    </row>
    <row r="27" spans="1:31" x14ac:dyDescent="0.25">
      <c r="A27" t="s">
        <v>365</v>
      </c>
      <c r="B27" s="2">
        <v>2252</v>
      </c>
      <c r="C27" s="2">
        <v>2679</v>
      </c>
      <c r="D27" s="2">
        <v>3071</v>
      </c>
      <c r="E27" s="2">
        <v>3749</v>
      </c>
      <c r="F27" s="2">
        <v>11750</v>
      </c>
      <c r="G27" s="2">
        <v>2351</v>
      </c>
      <c r="H27" s="2">
        <v>2902</v>
      </c>
      <c r="I27" s="2">
        <v>3008.63</v>
      </c>
      <c r="J27" s="2">
        <v>3414.4</v>
      </c>
      <c r="K27" s="2">
        <v>11697.53</v>
      </c>
      <c r="L27" s="2">
        <v>2533.4699999999998</v>
      </c>
      <c r="M27" s="2">
        <v>2889.47</v>
      </c>
      <c r="N27" s="2">
        <v>2944.27</v>
      </c>
      <c r="O27" s="2">
        <v>3364.73</v>
      </c>
      <c r="P27" s="2">
        <v>11716.07</v>
      </c>
      <c r="Q27" s="2">
        <v>2495.59</v>
      </c>
      <c r="R27" s="2">
        <v>2889.56</v>
      </c>
      <c r="S27" s="2">
        <v>2991.8</v>
      </c>
      <c r="T27" s="2">
        <v>3449.46</v>
      </c>
      <c r="U27" s="2">
        <v>11828.09</v>
      </c>
      <c r="V27" s="2">
        <v>2618.33</v>
      </c>
      <c r="W27" s="2">
        <v>2994.08</v>
      </c>
      <c r="X27" s="2">
        <v>3032.18</v>
      </c>
      <c r="Y27" s="2">
        <v>3488.74</v>
      </c>
      <c r="Z27" s="2">
        <v>12097.24</v>
      </c>
      <c r="AA27" s="2">
        <v>2666.01</v>
      </c>
      <c r="AB27" s="2">
        <v>2998.68</v>
      </c>
      <c r="AC27" s="2">
        <v>3048.83</v>
      </c>
      <c r="AD27" s="2">
        <v>3510.75</v>
      </c>
      <c r="AE27" s="2">
        <v>12211.56</v>
      </c>
    </row>
    <row r="28" spans="1:31" x14ac:dyDescent="0.25">
      <c r="A28" t="s">
        <v>366</v>
      </c>
      <c r="B28" s="2">
        <v>622</v>
      </c>
      <c r="C28" s="2">
        <v>635</v>
      </c>
      <c r="D28" s="2">
        <v>677</v>
      </c>
      <c r="E28" s="2">
        <v>724</v>
      </c>
      <c r="F28" s="2">
        <v>2658</v>
      </c>
      <c r="G28" s="2">
        <v>639</v>
      </c>
      <c r="H28" s="2">
        <v>587</v>
      </c>
      <c r="I28" s="2">
        <v>659.73</v>
      </c>
      <c r="J28" s="2">
        <v>708.04</v>
      </c>
      <c r="K28" s="2">
        <v>2598.33</v>
      </c>
      <c r="L28" s="2">
        <v>623.25</v>
      </c>
      <c r="M28" s="2">
        <v>603.67999999999995</v>
      </c>
      <c r="N28" s="2">
        <v>650.4</v>
      </c>
      <c r="O28" s="2">
        <v>686.13</v>
      </c>
      <c r="P28" s="2">
        <v>2588.44</v>
      </c>
      <c r="Q28" s="2">
        <v>641.08000000000004</v>
      </c>
      <c r="R28" s="2">
        <v>624.04</v>
      </c>
      <c r="S28" s="2">
        <v>679.9</v>
      </c>
      <c r="T28" s="2">
        <v>700.06</v>
      </c>
      <c r="U28" s="2">
        <v>2654.86</v>
      </c>
      <c r="V28" s="2">
        <v>645.72</v>
      </c>
      <c r="W28" s="2">
        <v>632.75</v>
      </c>
      <c r="X28" s="2">
        <v>670.78</v>
      </c>
      <c r="Y28" s="2">
        <v>699.48</v>
      </c>
      <c r="Z28" s="2">
        <v>2662.81</v>
      </c>
      <c r="AA28" s="2">
        <v>656.95</v>
      </c>
      <c r="AB28" s="2">
        <v>637.21</v>
      </c>
      <c r="AC28" s="2">
        <v>675.29</v>
      </c>
      <c r="AD28" s="2">
        <v>704.55</v>
      </c>
      <c r="AE28" s="2">
        <v>2704.86</v>
      </c>
    </row>
    <row r="29" spans="1:31" x14ac:dyDescent="0.25">
      <c r="A29" s="3" t="s">
        <v>367</v>
      </c>
      <c r="B29" s="2">
        <v>-2874</v>
      </c>
      <c r="C29" s="2">
        <v>-3314</v>
      </c>
      <c r="D29" s="2">
        <v>-3748</v>
      </c>
      <c r="E29" s="2">
        <v>-4473</v>
      </c>
      <c r="F29" s="2">
        <v>-14408</v>
      </c>
      <c r="G29" s="2">
        <v>-2990</v>
      </c>
      <c r="H29" s="2">
        <v>-3489</v>
      </c>
      <c r="I29" s="2">
        <v>-3680.37</v>
      </c>
      <c r="J29" s="2">
        <v>-4139.18</v>
      </c>
      <c r="K29" s="2">
        <v>-14323.15</v>
      </c>
      <c r="L29" s="2">
        <v>-3086.06</v>
      </c>
      <c r="M29" s="2">
        <v>-3396.92</v>
      </c>
      <c r="N29" s="2">
        <v>-3594.67</v>
      </c>
      <c r="O29" s="2">
        <v>-4050.86</v>
      </c>
      <c r="P29" s="2">
        <v>-14340.95</v>
      </c>
      <c r="Q29" s="2">
        <v>-3136.67</v>
      </c>
      <c r="R29" s="2">
        <v>-3513.61</v>
      </c>
      <c r="S29" s="2">
        <v>-3671.7</v>
      </c>
      <c r="T29" s="2">
        <v>-4149.5200000000004</v>
      </c>
      <c r="U29" s="2">
        <v>-14536.36</v>
      </c>
      <c r="V29" s="2">
        <v>-3264.05</v>
      </c>
      <c r="W29" s="2">
        <v>-3626.83</v>
      </c>
      <c r="X29" s="2">
        <v>-3702.95</v>
      </c>
      <c r="Y29" s="2">
        <v>-4188.22</v>
      </c>
      <c r="Z29" s="2">
        <v>-14811.29</v>
      </c>
      <c r="AA29" s="2">
        <v>-3322.95</v>
      </c>
      <c r="AB29" s="2">
        <v>-3635.9</v>
      </c>
      <c r="AC29" s="2">
        <v>-3724.12</v>
      </c>
      <c r="AD29" s="2">
        <v>-4215.3</v>
      </c>
      <c r="AE29" s="2">
        <v>-14974.17</v>
      </c>
    </row>
    <row r="30" spans="1:31" x14ac:dyDescent="0.25">
      <c r="A30" t="s">
        <v>368</v>
      </c>
      <c r="B30" s="2">
        <v>-85</v>
      </c>
      <c r="C30" s="2">
        <v>-1631</v>
      </c>
      <c r="D30" s="2">
        <v>-68</v>
      </c>
      <c r="E30" s="2">
        <v>34</v>
      </c>
      <c r="F30" s="2">
        <v>-1750</v>
      </c>
      <c r="G30" s="2">
        <v>71</v>
      </c>
      <c r="H30" s="2">
        <v>-83</v>
      </c>
      <c r="I30" s="2">
        <v>-148.35</v>
      </c>
      <c r="J30" s="2">
        <v>-145.4</v>
      </c>
      <c r="K30" s="2">
        <v>-160.04</v>
      </c>
      <c r="L30" s="2">
        <v>-115.3</v>
      </c>
      <c r="M30" s="2">
        <v>-115.3</v>
      </c>
      <c r="N30" s="2">
        <v>-135.30000000000001</v>
      </c>
      <c r="O30" s="2">
        <v>-135.30000000000001</v>
      </c>
      <c r="P30" s="2">
        <v>-537.58000000000004</v>
      </c>
      <c r="Q30" s="2">
        <v>-100.8</v>
      </c>
      <c r="R30" s="2">
        <v>319.36</v>
      </c>
      <c r="S30" s="2">
        <v>-100.8</v>
      </c>
      <c r="T30" s="2">
        <v>-100.8</v>
      </c>
      <c r="U30" s="2">
        <v>-265.39999999999998</v>
      </c>
      <c r="V30" s="2">
        <v>-100.97</v>
      </c>
      <c r="W30" s="2">
        <v>-100.97</v>
      </c>
      <c r="X30" s="2">
        <v>-100.97</v>
      </c>
      <c r="Y30" s="2">
        <v>-100.97</v>
      </c>
      <c r="Z30" s="2">
        <v>-540.70000000000005</v>
      </c>
      <c r="AA30" s="2">
        <v>-101.15</v>
      </c>
      <c r="AB30" s="2">
        <v>-101.15</v>
      </c>
      <c r="AC30" s="2">
        <v>-101.15</v>
      </c>
      <c r="AD30" s="2">
        <v>-101.15</v>
      </c>
      <c r="AE30" s="2">
        <v>-579.6</v>
      </c>
    </row>
    <row r="31" spans="1:31" x14ac:dyDescent="0.25">
      <c r="A31" s="3" t="s">
        <v>369</v>
      </c>
      <c r="B31" s="2">
        <v>-2958</v>
      </c>
      <c r="C31" s="2">
        <v>-4945</v>
      </c>
      <c r="D31" s="2">
        <v>-3816</v>
      </c>
      <c r="E31" s="2">
        <v>-4439</v>
      </c>
      <c r="F31" s="2">
        <v>-16158</v>
      </c>
      <c r="G31" s="2">
        <v>-2919</v>
      </c>
      <c r="H31" s="2">
        <v>-3572</v>
      </c>
      <c r="I31" s="2">
        <v>-3745.25</v>
      </c>
      <c r="J31" s="2">
        <v>-4213.3500000000004</v>
      </c>
      <c r="K31" s="2">
        <v>-14463.73</v>
      </c>
      <c r="L31" s="2">
        <v>-3191.58</v>
      </c>
      <c r="M31" s="2">
        <v>-3503.59</v>
      </c>
      <c r="N31" s="2">
        <v>-3667.87</v>
      </c>
      <c r="O31" s="2">
        <v>-4142.93</v>
      </c>
      <c r="P31" s="2">
        <v>-14543.66</v>
      </c>
      <c r="Q31" s="2">
        <v>-3211.15</v>
      </c>
      <c r="R31" s="2">
        <v>-3310.61</v>
      </c>
      <c r="S31" s="2">
        <v>-3723.37</v>
      </c>
      <c r="T31" s="2">
        <v>-4200.43</v>
      </c>
      <c r="U31" s="2">
        <v>-13927.6</v>
      </c>
      <c r="V31" s="2">
        <v>-3306.17</v>
      </c>
      <c r="W31" s="2">
        <v>-3671.31</v>
      </c>
      <c r="X31" s="2">
        <v>-3744.46</v>
      </c>
      <c r="Y31" s="2">
        <v>-4259.3</v>
      </c>
      <c r="Z31" s="2">
        <v>-15021.38</v>
      </c>
      <c r="AA31" s="2">
        <v>-3375.73</v>
      </c>
      <c r="AB31" s="2">
        <v>-3681.12</v>
      </c>
      <c r="AC31" s="2">
        <v>-3757.64</v>
      </c>
      <c r="AD31" s="2">
        <v>-4277.53</v>
      </c>
      <c r="AE31" s="2">
        <v>-15205.56</v>
      </c>
    </row>
    <row r="32" spans="1:31" x14ac:dyDescent="0.25">
      <c r="A32" t="s">
        <v>370</v>
      </c>
      <c r="B32" s="2">
        <v>-636</v>
      </c>
      <c r="C32" s="2">
        <v>1274</v>
      </c>
      <c r="D32" s="2">
        <v>-2510</v>
      </c>
      <c r="E32" s="2">
        <v>-374</v>
      </c>
      <c r="F32" s="2">
        <v>-2246</v>
      </c>
      <c r="G32" s="2">
        <v>-1192</v>
      </c>
      <c r="H32" s="2">
        <v>-4162</v>
      </c>
      <c r="I32" s="2">
        <v>-210.93</v>
      </c>
      <c r="J32" s="2">
        <v>-607.45000000000005</v>
      </c>
      <c r="K32" s="2">
        <v>-5704.28</v>
      </c>
      <c r="L32" s="2">
        <v>62.09</v>
      </c>
      <c r="M32" s="2">
        <v>-137.91</v>
      </c>
      <c r="N32" s="2">
        <v>45.42</v>
      </c>
      <c r="O32" s="2">
        <v>304.5</v>
      </c>
      <c r="P32" s="2">
        <v>-1571.87</v>
      </c>
      <c r="Q32" s="2">
        <v>30.8</v>
      </c>
      <c r="R32" s="2">
        <v>-431.7</v>
      </c>
      <c r="S32" s="2">
        <v>318.3</v>
      </c>
      <c r="T32" s="2">
        <v>-425.45</v>
      </c>
      <c r="U32" s="2">
        <v>-3178.93</v>
      </c>
      <c r="V32" s="2">
        <v>-325.37</v>
      </c>
      <c r="W32" s="2">
        <v>-113.06</v>
      </c>
      <c r="X32" s="2">
        <v>-258.70999999999998</v>
      </c>
      <c r="Y32" s="2">
        <v>-335.79</v>
      </c>
      <c r="Z32" s="2">
        <v>-1625.04</v>
      </c>
      <c r="AA32" s="2">
        <v>-275.13</v>
      </c>
      <c r="AB32" s="2">
        <v>-112.7</v>
      </c>
      <c r="AC32" s="2">
        <v>-112.7</v>
      </c>
      <c r="AD32" s="2">
        <v>-112.7</v>
      </c>
      <c r="AE32" s="2">
        <v>-1940.08</v>
      </c>
    </row>
    <row r="33" spans="1:31" x14ac:dyDescent="0.25">
      <c r="A33" t="s">
        <v>371</v>
      </c>
      <c r="B33" s="2">
        <v>-2240</v>
      </c>
      <c r="C33" s="2">
        <v>-1826</v>
      </c>
      <c r="D33" s="2">
        <v>-1552</v>
      </c>
      <c r="E33" s="2">
        <v>-1537</v>
      </c>
      <c r="F33" s="2">
        <v>-7155</v>
      </c>
      <c r="G33" s="2">
        <v>-1502</v>
      </c>
      <c r="H33" s="2">
        <v>-1005</v>
      </c>
      <c r="I33" s="2">
        <v>-81.38</v>
      </c>
      <c r="J33" s="2">
        <v>-69.22</v>
      </c>
      <c r="K33" s="2">
        <v>-2381.5300000000002</v>
      </c>
      <c r="L33" s="2">
        <v>-183.42</v>
      </c>
      <c r="M33" s="2">
        <v>-156.86000000000001</v>
      </c>
      <c r="N33" s="2">
        <v>-1086.07</v>
      </c>
      <c r="O33" s="2">
        <v>-1049.5</v>
      </c>
      <c r="P33" s="2">
        <v>-2788.75</v>
      </c>
      <c r="Q33" s="2">
        <v>-1324.58</v>
      </c>
      <c r="R33" s="2">
        <v>-1306.6600000000001</v>
      </c>
      <c r="S33" s="2">
        <v>-1365.23</v>
      </c>
      <c r="T33" s="2">
        <v>-1369.24</v>
      </c>
      <c r="U33" s="2">
        <v>-6217.81</v>
      </c>
      <c r="V33" s="2">
        <v>-1295.97</v>
      </c>
      <c r="W33" s="2">
        <v>-1273.32</v>
      </c>
      <c r="X33" s="2">
        <v>-1343.04</v>
      </c>
      <c r="Y33" s="2">
        <v>-1349.11</v>
      </c>
      <c r="Z33" s="2">
        <v>-6379.76</v>
      </c>
      <c r="AA33" s="2">
        <v>-1282.3800000000001</v>
      </c>
      <c r="AB33" s="2">
        <v>-1259.79</v>
      </c>
      <c r="AC33" s="2">
        <v>-1329.42</v>
      </c>
      <c r="AD33" s="2">
        <v>-1335.75</v>
      </c>
      <c r="AE33" s="2">
        <v>-6522.14</v>
      </c>
    </row>
    <row r="34" spans="1:31" x14ac:dyDescent="0.25">
      <c r="A34" t="s">
        <v>372</v>
      </c>
      <c r="B34" s="2">
        <v>1224</v>
      </c>
      <c r="C34" s="2">
        <v>1238</v>
      </c>
      <c r="D34" s="2">
        <v>1223</v>
      </c>
      <c r="E34" s="2">
        <v>1209</v>
      </c>
      <c r="F34" s="2">
        <v>4894</v>
      </c>
      <c r="G34" s="2">
        <v>1248</v>
      </c>
      <c r="H34" s="2">
        <v>1184</v>
      </c>
      <c r="I34" s="2">
        <v>1186.46</v>
      </c>
      <c r="J34" s="2">
        <v>1186.8399999999999</v>
      </c>
      <c r="K34" s="2">
        <v>4806.5</v>
      </c>
      <c r="L34" s="2">
        <v>1221.5999999999999</v>
      </c>
      <c r="M34" s="2">
        <v>1235.3800000000001</v>
      </c>
      <c r="N34" s="2">
        <v>1223.25</v>
      </c>
      <c r="O34" s="2">
        <v>1212.03</v>
      </c>
      <c r="P34" s="2">
        <v>4918.32</v>
      </c>
      <c r="Q34" s="2">
        <v>1246.56</v>
      </c>
      <c r="R34" s="2">
        <v>1253</v>
      </c>
      <c r="S34" s="2">
        <v>1237.5899999999999</v>
      </c>
      <c r="T34" s="2">
        <v>1223.3399999999999</v>
      </c>
      <c r="U34" s="2">
        <v>4944.26</v>
      </c>
      <c r="V34" s="2">
        <v>1254.52</v>
      </c>
      <c r="W34" s="2">
        <v>1265.43</v>
      </c>
      <c r="X34" s="2">
        <v>1251.24</v>
      </c>
      <c r="Y34" s="2">
        <v>1238.25</v>
      </c>
      <c r="Z34" s="2">
        <v>4983.8900000000003</v>
      </c>
      <c r="AA34" s="2">
        <v>1262.53</v>
      </c>
      <c r="AB34" s="2">
        <v>1273.8399999999999</v>
      </c>
      <c r="AC34" s="2">
        <v>1260.25</v>
      </c>
      <c r="AD34" s="2">
        <v>1247.6099999999999</v>
      </c>
      <c r="AE34" s="2">
        <v>4989.47</v>
      </c>
    </row>
    <row r="35" spans="1:31" x14ac:dyDescent="0.25">
      <c r="A35" t="s">
        <v>373</v>
      </c>
      <c r="B35" s="2" t="s">
        <v>55</v>
      </c>
      <c r="C35" s="2" t="s">
        <v>55</v>
      </c>
      <c r="D35" s="2" t="s">
        <v>55</v>
      </c>
      <c r="E35" s="2" t="s">
        <v>55</v>
      </c>
      <c r="F35" s="2" t="s">
        <v>55</v>
      </c>
      <c r="G35" s="2">
        <v>750</v>
      </c>
      <c r="H35" s="2" t="s">
        <v>55</v>
      </c>
      <c r="I35" s="2" t="s">
        <v>55</v>
      </c>
      <c r="J35" s="2" t="s">
        <v>55</v>
      </c>
      <c r="K35" s="2">
        <v>750</v>
      </c>
      <c r="L35" s="2" t="s">
        <v>55</v>
      </c>
      <c r="M35" s="2" t="s">
        <v>55</v>
      </c>
      <c r="N35" s="2" t="s">
        <v>55</v>
      </c>
      <c r="O35" s="2" t="s">
        <v>55</v>
      </c>
      <c r="P35" s="2">
        <v>750</v>
      </c>
      <c r="Q35" s="2" t="s">
        <v>55</v>
      </c>
      <c r="R35" s="2" t="s">
        <v>55</v>
      </c>
      <c r="S35" s="2" t="s">
        <v>55</v>
      </c>
      <c r="T35" s="2" t="s">
        <v>55</v>
      </c>
      <c r="U35" s="2">
        <v>750</v>
      </c>
      <c r="V35" s="2" t="s">
        <v>55</v>
      </c>
      <c r="W35" s="2" t="s">
        <v>55</v>
      </c>
      <c r="X35" s="2" t="s">
        <v>55</v>
      </c>
      <c r="Y35" s="2" t="s">
        <v>55</v>
      </c>
      <c r="Z35" s="2">
        <v>750</v>
      </c>
      <c r="AA35" s="2" t="s">
        <v>55</v>
      </c>
      <c r="AB35" s="2" t="s">
        <v>55</v>
      </c>
      <c r="AC35" s="2" t="s">
        <v>55</v>
      </c>
      <c r="AD35" s="2" t="s">
        <v>55</v>
      </c>
      <c r="AE35" s="2">
        <v>750</v>
      </c>
    </row>
    <row r="36" spans="1:31" x14ac:dyDescent="0.25">
      <c r="A36" s="3" t="s">
        <v>374</v>
      </c>
      <c r="B36" s="2">
        <v>1224</v>
      </c>
      <c r="C36" s="2">
        <v>1238</v>
      </c>
      <c r="D36" s="2">
        <v>1223</v>
      </c>
      <c r="E36" s="2">
        <v>1209</v>
      </c>
      <c r="F36" s="2">
        <v>4894</v>
      </c>
      <c r="G36" s="2">
        <v>1248</v>
      </c>
      <c r="H36" s="2">
        <v>1184</v>
      </c>
      <c r="I36" s="2">
        <v>1189.71</v>
      </c>
      <c r="J36" s="2">
        <v>1190.49</v>
      </c>
      <c r="K36" s="2">
        <v>4893.4799999999996</v>
      </c>
      <c r="L36" s="2">
        <v>1235.31</v>
      </c>
      <c r="M36" s="2">
        <v>1246.94</v>
      </c>
      <c r="N36" s="2">
        <v>1233.8499999999999</v>
      </c>
      <c r="O36" s="2">
        <v>1221.82</v>
      </c>
      <c r="P36" s="2">
        <v>4996.4399999999996</v>
      </c>
      <c r="Q36" s="2">
        <v>1278.51</v>
      </c>
      <c r="R36" s="2">
        <v>1284.3399999999999</v>
      </c>
      <c r="S36" s="2">
        <v>1270.9100000000001</v>
      </c>
      <c r="T36" s="2">
        <v>1257.8499999999999</v>
      </c>
      <c r="U36" s="2">
        <v>5031.2299999999996</v>
      </c>
      <c r="V36" s="2">
        <v>1316.03</v>
      </c>
      <c r="W36" s="2">
        <v>1326.87</v>
      </c>
      <c r="X36" s="2">
        <v>1314.24</v>
      </c>
      <c r="Y36" s="2">
        <v>1302.1099999999999</v>
      </c>
      <c r="Z36" s="2">
        <v>5103.0600000000004</v>
      </c>
      <c r="AA36" s="2">
        <v>1342.65</v>
      </c>
      <c r="AB36" s="2">
        <v>1353.25</v>
      </c>
      <c r="AC36" s="2">
        <v>1340.65</v>
      </c>
      <c r="AD36" s="2">
        <v>1328.49</v>
      </c>
      <c r="AE36" s="2">
        <v>5111.3100000000004</v>
      </c>
    </row>
    <row r="37" spans="1:31" x14ac:dyDescent="0.25">
      <c r="A37" t="s">
        <v>375</v>
      </c>
      <c r="B37" s="2">
        <v>24</v>
      </c>
      <c r="C37" s="2">
        <v>-15</v>
      </c>
      <c r="D37" s="2">
        <v>42</v>
      </c>
      <c r="E37" s="2">
        <v>-101</v>
      </c>
      <c r="F37" s="2">
        <v>-50</v>
      </c>
      <c r="G37" s="2">
        <v>-1066</v>
      </c>
      <c r="H37" s="2">
        <v>46</v>
      </c>
      <c r="I37" s="2">
        <v>30.43</v>
      </c>
      <c r="J37" s="2">
        <v>30.43</v>
      </c>
      <c r="K37" s="2">
        <v>-846.24</v>
      </c>
      <c r="L37" s="2">
        <v>-34.24</v>
      </c>
      <c r="M37" s="2">
        <v>-34.24</v>
      </c>
      <c r="N37" s="2">
        <v>-34.24</v>
      </c>
      <c r="O37" s="2">
        <v>-34.24</v>
      </c>
      <c r="P37" s="2">
        <v>31.51</v>
      </c>
      <c r="Q37" s="2">
        <v>-33.770000000000003</v>
      </c>
      <c r="R37" s="2">
        <v>-33.770000000000003</v>
      </c>
      <c r="S37" s="2">
        <v>-33.770000000000003</v>
      </c>
      <c r="T37" s="2">
        <v>-33.770000000000003</v>
      </c>
      <c r="U37" s="2">
        <v>32.46</v>
      </c>
      <c r="V37" s="2">
        <v>-33.28</v>
      </c>
      <c r="W37" s="2">
        <v>-33.28</v>
      </c>
      <c r="X37" s="2">
        <v>-33.28</v>
      </c>
      <c r="Y37" s="2">
        <v>-33.28</v>
      </c>
      <c r="Z37" s="2">
        <v>33.43</v>
      </c>
      <c r="AA37" s="2">
        <v>-32.78</v>
      </c>
      <c r="AB37" s="2">
        <v>-32.78</v>
      </c>
      <c r="AC37" s="2">
        <v>-32.78</v>
      </c>
      <c r="AD37" s="2">
        <v>-32.78</v>
      </c>
      <c r="AE37" s="2">
        <v>34.44</v>
      </c>
    </row>
    <row r="38" spans="1:31" x14ac:dyDescent="0.25">
      <c r="A38" s="3" t="s">
        <v>376</v>
      </c>
      <c r="B38" s="2">
        <v>-4076</v>
      </c>
      <c r="C38" s="2">
        <v>-1805</v>
      </c>
      <c r="D38" s="2">
        <v>-5243</v>
      </c>
      <c r="E38" s="2">
        <v>-3221</v>
      </c>
      <c r="F38" s="2">
        <v>-14345</v>
      </c>
      <c r="G38" s="2">
        <v>-5008</v>
      </c>
      <c r="H38" s="2">
        <v>-6305</v>
      </c>
      <c r="I38" s="2">
        <v>-1402.46</v>
      </c>
      <c r="J38" s="2">
        <v>-1484.73</v>
      </c>
      <c r="K38" s="2">
        <v>-13790.02</v>
      </c>
      <c r="L38" s="2">
        <v>-1444.59</v>
      </c>
      <c r="M38" s="2">
        <v>-1548.09</v>
      </c>
      <c r="N38" s="2">
        <v>-2288.12</v>
      </c>
      <c r="O38" s="2">
        <v>-2113.6999999999998</v>
      </c>
      <c r="P38" s="2">
        <v>-8653.24</v>
      </c>
      <c r="Q38" s="2">
        <v>-2560.4499999999998</v>
      </c>
      <c r="R38" s="2">
        <v>-2822.8</v>
      </c>
      <c r="S38" s="2">
        <v>-2441.39</v>
      </c>
      <c r="T38" s="2">
        <v>-2853.95</v>
      </c>
      <c r="U38" s="2">
        <v>-12804.34</v>
      </c>
      <c r="V38" s="2">
        <v>-2734.07</v>
      </c>
      <c r="W38" s="2">
        <v>-2608.56</v>
      </c>
      <c r="X38" s="2">
        <v>-2760.07</v>
      </c>
      <c r="Y38" s="2">
        <v>-2788.96</v>
      </c>
      <c r="Z38" s="2">
        <v>-12042.86</v>
      </c>
      <c r="AA38" s="2">
        <v>-2714.31</v>
      </c>
      <c r="AB38" s="2">
        <v>-2614.17</v>
      </c>
      <c r="AC38" s="2">
        <v>-2674.59</v>
      </c>
      <c r="AD38" s="2">
        <v>-2665.83</v>
      </c>
      <c r="AE38" s="2">
        <v>-12399.91</v>
      </c>
    </row>
    <row r="39" spans="1:31" x14ac:dyDescent="0.25">
      <c r="A39" s="3" t="s">
        <v>377</v>
      </c>
      <c r="B39" s="2">
        <v>14</v>
      </c>
      <c r="C39" s="2">
        <v>32</v>
      </c>
      <c r="D39" s="2">
        <v>-11</v>
      </c>
      <c r="E39" s="2">
        <v>7</v>
      </c>
      <c r="F39" s="2">
        <v>42</v>
      </c>
      <c r="G39" s="2">
        <v>-6</v>
      </c>
      <c r="H39" s="2">
        <v>2</v>
      </c>
      <c r="I39" s="2" t="s">
        <v>55</v>
      </c>
      <c r="J39" s="2" t="s">
        <v>55</v>
      </c>
      <c r="K39" s="2">
        <v>50.29</v>
      </c>
      <c r="L39" s="2" t="s">
        <v>55</v>
      </c>
      <c r="M39" s="2" t="s">
        <v>55</v>
      </c>
      <c r="N39" s="2" t="s">
        <v>55</v>
      </c>
      <c r="O39" s="2" t="s">
        <v>55</v>
      </c>
      <c r="P39" s="2" t="s">
        <v>55</v>
      </c>
      <c r="Q39" s="2" t="s">
        <v>55</v>
      </c>
      <c r="R39" s="2" t="s">
        <v>55</v>
      </c>
      <c r="S39" s="2" t="s">
        <v>55</v>
      </c>
      <c r="T39" s="2" t="s">
        <v>55</v>
      </c>
      <c r="U39" s="2" t="s">
        <v>55</v>
      </c>
      <c r="V39" s="2" t="s">
        <v>55</v>
      </c>
      <c r="W39" s="2" t="s">
        <v>55</v>
      </c>
      <c r="X39" s="2" t="s">
        <v>55</v>
      </c>
      <c r="Y39" s="2" t="s">
        <v>55</v>
      </c>
      <c r="Z39" s="2" t="s">
        <v>55</v>
      </c>
      <c r="AA39" s="2" t="s">
        <v>55</v>
      </c>
      <c r="AB39" s="2" t="s">
        <v>55</v>
      </c>
      <c r="AC39" s="2" t="s">
        <v>55</v>
      </c>
      <c r="AD39" s="2" t="s">
        <v>55</v>
      </c>
      <c r="AE39" s="2" t="s">
        <v>55</v>
      </c>
    </row>
    <row r="40" spans="1:31" x14ac:dyDescent="0.25">
      <c r="A40" s="3" t="s">
        <v>378</v>
      </c>
      <c r="B40" s="2">
        <v>1274</v>
      </c>
      <c r="C40" s="2">
        <v>1096</v>
      </c>
      <c r="D40" s="2">
        <v>-378</v>
      </c>
      <c r="E40" s="2">
        <v>1188</v>
      </c>
      <c r="F40" s="2">
        <v>3182</v>
      </c>
      <c r="G40" s="2">
        <v>-1042</v>
      </c>
      <c r="H40" s="2">
        <v>-1782</v>
      </c>
      <c r="I40" s="2">
        <v>1713.64</v>
      </c>
      <c r="J40" s="2">
        <v>261.8</v>
      </c>
      <c r="K40" s="2">
        <v>-578.36</v>
      </c>
      <c r="L40" s="2">
        <v>1439.94</v>
      </c>
      <c r="M40" s="2">
        <v>1810.27</v>
      </c>
      <c r="N40" s="2">
        <v>1370.74</v>
      </c>
      <c r="O40" s="2">
        <v>371.28</v>
      </c>
      <c r="P40" s="2">
        <v>4234.24</v>
      </c>
      <c r="Q40" s="2">
        <v>533.97</v>
      </c>
      <c r="R40" s="2">
        <v>465.21</v>
      </c>
      <c r="S40" s="2">
        <v>1359.52</v>
      </c>
      <c r="T40" s="2">
        <v>-189.78</v>
      </c>
      <c r="U40" s="2">
        <v>290.14999999999998</v>
      </c>
      <c r="V40" s="2">
        <v>101.26</v>
      </c>
      <c r="W40" s="2">
        <v>630.08000000000004</v>
      </c>
      <c r="X40" s="2">
        <v>877.64</v>
      </c>
      <c r="Y40" s="2">
        <v>5.42</v>
      </c>
      <c r="Z40" s="2">
        <v>1573.59</v>
      </c>
      <c r="AA40" s="2">
        <v>212.98</v>
      </c>
      <c r="AB40" s="2">
        <v>687.72</v>
      </c>
      <c r="AC40" s="2">
        <v>1094.6600000000001</v>
      </c>
      <c r="AD40" s="2">
        <v>273.45999999999998</v>
      </c>
      <c r="AE40" s="2">
        <v>1429.35</v>
      </c>
    </row>
    <row r="41" spans="1:31" x14ac:dyDescent="0.25">
      <c r="A41" s="3" t="s">
        <v>379</v>
      </c>
      <c r="B41" s="2">
        <v>7377</v>
      </c>
      <c r="C41" s="2">
        <v>8652</v>
      </c>
      <c r="D41" s="2">
        <v>9748</v>
      </c>
      <c r="E41" s="2">
        <v>9371</v>
      </c>
      <c r="F41" s="2">
        <v>7377</v>
      </c>
      <c r="G41" s="2">
        <v>10559</v>
      </c>
      <c r="H41" s="2">
        <v>9517</v>
      </c>
      <c r="I41" s="2">
        <v>7896.55</v>
      </c>
      <c r="J41" s="2">
        <v>9710.5400000000009</v>
      </c>
      <c r="K41" s="2">
        <v>10204.99</v>
      </c>
      <c r="L41" s="2">
        <v>10045.75</v>
      </c>
      <c r="M41" s="2">
        <v>11705.57</v>
      </c>
      <c r="N41" s="2">
        <v>13539.34</v>
      </c>
      <c r="O41" s="2">
        <v>14964.93</v>
      </c>
      <c r="P41" s="2">
        <v>9902.85</v>
      </c>
      <c r="Q41" s="2">
        <v>15380.75</v>
      </c>
      <c r="R41" s="2">
        <v>15917.97</v>
      </c>
      <c r="S41" s="2">
        <v>16621.18</v>
      </c>
      <c r="T41" s="2">
        <v>17788.82</v>
      </c>
      <c r="U41" s="2">
        <v>14557.04</v>
      </c>
      <c r="V41" s="2">
        <v>19368.060000000001</v>
      </c>
      <c r="W41" s="2">
        <v>19572.05</v>
      </c>
      <c r="X41" s="2">
        <v>20140.89</v>
      </c>
      <c r="Y41" s="2">
        <v>20869.38</v>
      </c>
      <c r="Z41" s="2">
        <v>15585.35</v>
      </c>
      <c r="AA41" s="2">
        <v>20623.099999999999</v>
      </c>
      <c r="AB41" s="2">
        <v>20951.45</v>
      </c>
      <c r="AC41" s="2">
        <v>21609.42</v>
      </c>
      <c r="AD41" s="2">
        <v>22558.07</v>
      </c>
      <c r="AE41" s="2">
        <v>17118.740000000002</v>
      </c>
    </row>
    <row r="42" spans="1:31" x14ac:dyDescent="0.25">
      <c r="A42" s="3" t="s">
        <v>380</v>
      </c>
      <c r="B42" s="2">
        <v>8652</v>
      </c>
      <c r="C42" s="2">
        <v>9747</v>
      </c>
      <c r="D42" s="2">
        <v>9370</v>
      </c>
      <c r="E42" s="2">
        <v>10559</v>
      </c>
      <c r="F42" s="2">
        <v>10559</v>
      </c>
      <c r="G42" s="2">
        <v>9517</v>
      </c>
      <c r="H42" s="2">
        <v>7735</v>
      </c>
      <c r="I42" s="2">
        <v>9710.5400000000009</v>
      </c>
      <c r="J42" s="2">
        <v>10005.98</v>
      </c>
      <c r="K42" s="2">
        <v>9902.85</v>
      </c>
      <c r="L42" s="2">
        <v>11705.57</v>
      </c>
      <c r="M42" s="2">
        <v>13539.34</v>
      </c>
      <c r="N42" s="2">
        <v>14964.93</v>
      </c>
      <c r="O42" s="2">
        <v>15320.51</v>
      </c>
      <c r="P42" s="2">
        <v>14031.37</v>
      </c>
      <c r="Q42" s="2">
        <v>15917.97</v>
      </c>
      <c r="R42" s="2">
        <v>16621.18</v>
      </c>
      <c r="S42" s="2">
        <v>17788.82</v>
      </c>
      <c r="T42" s="2">
        <v>17424.650000000001</v>
      </c>
      <c r="U42" s="2">
        <v>14451</v>
      </c>
      <c r="V42" s="2">
        <v>19572.05</v>
      </c>
      <c r="W42" s="2">
        <v>20140.89</v>
      </c>
      <c r="X42" s="2">
        <v>20869.38</v>
      </c>
      <c r="Y42" s="2">
        <v>20623.099999999999</v>
      </c>
      <c r="Z42" s="2">
        <v>17118.740000000002</v>
      </c>
      <c r="AA42" s="2">
        <v>20951.45</v>
      </c>
      <c r="AB42" s="2">
        <v>21609.42</v>
      </c>
      <c r="AC42" s="2">
        <v>22558.07</v>
      </c>
      <c r="AD42" s="2">
        <v>22559.66</v>
      </c>
      <c r="AE42" s="2">
        <v>18570.490000000002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3Q26 Quick Look</vt:lpstr>
      <vt:lpstr>CapIQ cons on Oct 20, 2026 -&gt;</vt:lpstr>
      <vt:lpstr>SPG Income Statement</vt:lpstr>
      <vt:lpstr>SPG Segments</vt:lpstr>
      <vt:lpstr>SPG Free Cash Flow</vt:lpstr>
      <vt:lpstr>SPG Conn &amp; Platforms</vt:lpstr>
      <vt:lpstr>SPG C&amp;P Customer Metrics</vt:lpstr>
      <vt:lpstr>SPG Content &amp; Experiences</vt:lpstr>
      <vt:lpstr>SPG Peacock</vt:lpstr>
      <vt:lpstr>SPG Wireless</vt:lpstr>
      <vt:lpstr>SPG Residential</vt:lpstr>
      <vt:lpstr>SPG Business Services</vt:lpstr>
      <vt:lpstr>SPG 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Chung</dc:creator>
  <cp:lastModifiedBy>Andrew Chung</cp:lastModifiedBy>
  <dcterms:created xsi:type="dcterms:W3CDTF">2026-10-20T17:22:13Z</dcterms:created>
  <dcterms:modified xsi:type="dcterms:W3CDTF">2026-10-20T17:42:30Z</dcterms:modified>
</cp:coreProperties>
</file>