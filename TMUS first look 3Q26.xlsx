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Andrew Chung\Downloads\"/>
    </mc:Choice>
  </mc:AlternateContent>
  <xr:revisionPtr revIDLastSave="0" documentId="13_ncr:1_{B18B491E-E110-419B-9360-28C385AB6663}" xr6:coauthVersionLast="47" xr6:coauthVersionMax="47" xr10:uidLastSave="{00000000-0000-0000-0000-000000000000}"/>
  <bookViews>
    <workbookView xWindow="-105" yWindow="0" windowWidth="22695" windowHeight="20985" xr2:uid="{00000000-000D-0000-FFFF-FFFF00000000}"/>
  </bookViews>
  <sheets>
    <sheet name="3Q26 First look" sheetId="10" r:id="rId1"/>
    <sheet name="3Q26 Fill-in Prompt" sheetId="11" r:id="rId2"/>
    <sheet name="Consensus 10-28-26 -&gt;" sheetId="9" r:id="rId3"/>
    <sheet name="Retail" sheetId="8" r:id="rId4"/>
    <sheet name="Wholesale" sheetId="6" r:id="rId5"/>
    <sheet name="Revenue" sheetId="5" r:id="rId6"/>
    <sheet name="Income statement" sheetId="4" r:id="rId7"/>
    <sheet name="Balance sheet" sheetId="3" r:id="rId8"/>
    <sheet name="Cash flow" sheetId="2" r:id="rId9"/>
    <sheet name="EBITDA" sheetId="1" r:id="rId1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0" l="1"/>
  <c r="G18" i="10"/>
  <c r="E14" i="10"/>
  <c r="D24" i="10"/>
  <c r="C24" i="10"/>
  <c r="B24" i="10"/>
  <c r="D23" i="10"/>
  <c r="C23" i="10"/>
  <c r="B23" i="10"/>
  <c r="F22" i="10"/>
  <c r="D22" i="10"/>
  <c r="C22" i="10"/>
  <c r="B22" i="10"/>
  <c r="D19" i="10"/>
  <c r="C19" i="10"/>
  <c r="B19" i="10"/>
  <c r="F18" i="10"/>
  <c r="D18" i="10"/>
  <c r="C18" i="10"/>
  <c r="B18" i="10"/>
  <c r="D17" i="10"/>
  <c r="C17" i="10"/>
  <c r="B17" i="10"/>
  <c r="D16" i="10"/>
  <c r="C16" i="10"/>
  <c r="B16" i="10"/>
  <c r="D15" i="10"/>
  <c r="C15" i="10"/>
  <c r="B15" i="10"/>
  <c r="D14" i="10"/>
  <c r="C14" i="10"/>
  <c r="B14" i="10"/>
  <c r="G13" i="10"/>
  <c r="F13" i="10"/>
  <c r="D13" i="10"/>
  <c r="C13" i="10"/>
  <c r="B13" i="10"/>
  <c r="D12" i="10"/>
  <c r="C12" i="10"/>
  <c r="B12" i="10"/>
  <c r="D11" i="10"/>
  <c r="C11" i="10"/>
  <c r="B11" i="10"/>
  <c r="D10" i="10"/>
  <c r="C10" i="10"/>
  <c r="B10" i="10"/>
  <c r="D9" i="10"/>
  <c r="C9" i="10"/>
  <c r="B9" i="10"/>
  <c r="D8" i="10"/>
  <c r="C8" i="10"/>
  <c r="B8" i="10"/>
  <c r="G7" i="10"/>
  <c r="F7" i="10"/>
  <c r="D7" i="10"/>
  <c r="C7" i="10"/>
  <c r="B7" i="10"/>
  <c r="G6" i="10"/>
  <c r="F6" i="10"/>
  <c r="D6" i="10"/>
  <c r="C6" i="10"/>
  <c r="B6" i="10"/>
  <c r="G5" i="10"/>
  <c r="F5" i="10"/>
  <c r="D5" i="10"/>
  <c r="C5" i="10"/>
  <c r="B5" i="10"/>
  <c r="G24" i="10" l="1"/>
  <c r="F24" i="10"/>
  <c r="G23" i="10"/>
  <c r="F23" i="10"/>
  <c r="G19" i="10"/>
  <c r="F19" i="10"/>
  <c r="G17" i="10"/>
  <c r="F17" i="10"/>
  <c r="E16" i="10"/>
  <c r="G15" i="10"/>
  <c r="F15" i="10"/>
  <c r="G12" i="10"/>
  <c r="F12" i="10"/>
  <c r="G11" i="10"/>
  <c r="F11" i="10"/>
  <c r="G10" i="10"/>
  <c r="F10" i="10"/>
  <c r="G9" i="10"/>
  <c r="F9" i="10"/>
  <c r="F8" i="10"/>
  <c r="G8" i="10"/>
  <c r="G14" i="10"/>
  <c r="F14" i="10"/>
  <c r="F16" i="10" l="1"/>
  <c r="G16" i="10"/>
</calcChain>
</file>

<file path=xl/sharedStrings.xml><?xml version="1.0" encoding="utf-8"?>
<sst xmlns="http://schemas.openxmlformats.org/spreadsheetml/2006/main" count="2161" uniqueCount="528">
  <si>
    <t>NASDAQGS:TMUS (MI KEY: 4091145; SPCIQ KEY: 93339)</t>
  </si>
  <si>
    <t>Visible Alpha</t>
  </si>
  <si>
    <t>Period Type : Fiscal Quarter, Fiscal Halves, Fiscal Year</t>
  </si>
  <si>
    <t>Period Start : 2025</t>
  </si>
  <si>
    <t>Period End : 2030</t>
  </si>
  <si>
    <t>Currency  : Reported</t>
  </si>
  <si>
    <t>Consensus View : Mean</t>
  </si>
  <si>
    <t>As Of: 10/28/2026</t>
  </si>
  <si>
    <t xml:space="preserve">All numbers in $M unless otherwise indicated </t>
  </si>
  <si>
    <t xml:space="preserve">FQ1 2025A </t>
  </si>
  <si>
    <t xml:space="preserve">FQ2 2025A </t>
  </si>
  <si>
    <t xml:space="preserve">FQ3 2025A </t>
  </si>
  <si>
    <t xml:space="preserve">FQ4 2025A </t>
  </si>
  <si>
    <t xml:space="preserve">FY2025A </t>
  </si>
  <si>
    <t xml:space="preserve">FQ1 2026A </t>
  </si>
  <si>
    <t xml:space="preserve">FQ2 2026A </t>
  </si>
  <si>
    <t xml:space="preserve">FQ3 2026E </t>
  </si>
  <si>
    <t xml:space="preserve">FQ4 2026E </t>
  </si>
  <si>
    <t xml:space="preserve">FY2026E </t>
  </si>
  <si>
    <t xml:space="preserve">FQ1 2027E </t>
  </si>
  <si>
    <t xml:space="preserve">FQ2 2027E </t>
  </si>
  <si>
    <t xml:space="preserve">FQ3 2027E </t>
  </si>
  <si>
    <t xml:space="preserve">FQ4 2027E </t>
  </si>
  <si>
    <t xml:space="preserve">FY2027E </t>
  </si>
  <si>
    <t xml:space="preserve">FQ1 2028E </t>
  </si>
  <si>
    <t xml:space="preserve">FQ2 2028E </t>
  </si>
  <si>
    <t xml:space="preserve">FQ3 2028E </t>
  </si>
  <si>
    <t xml:space="preserve">FQ4 2028E </t>
  </si>
  <si>
    <t xml:space="preserve">FY2028E </t>
  </si>
  <si>
    <t xml:space="preserve">FQ1 2029E </t>
  </si>
  <si>
    <t xml:space="preserve">FQ2 2029E </t>
  </si>
  <si>
    <t xml:space="preserve">FQ3 2029E </t>
  </si>
  <si>
    <t xml:space="preserve">FQ4 2029E </t>
  </si>
  <si>
    <t xml:space="preserve">FY2029E </t>
  </si>
  <si>
    <t xml:space="preserve">FQ1 2030E </t>
  </si>
  <si>
    <t xml:space="preserve">FQ2 2030E </t>
  </si>
  <si>
    <t xml:space="preserve">FQ3 2030E </t>
  </si>
  <si>
    <t xml:space="preserve">FQ4 2030E </t>
  </si>
  <si>
    <t xml:space="preserve">FY2030E </t>
  </si>
  <si>
    <t>Number of Contributors Available</t>
  </si>
  <si>
    <t>21 of 22</t>
  </si>
  <si>
    <t>22 of 22</t>
  </si>
  <si>
    <t>13 of 22</t>
  </si>
  <si>
    <t>12 of 22</t>
  </si>
  <si>
    <t>6 of 22</t>
  </si>
  <si>
    <t>19 of 22</t>
  </si>
  <si>
    <t>5 of 22</t>
  </si>
  <si>
    <t>15 of 22</t>
  </si>
  <si>
    <t>4 of 22</t>
  </si>
  <si>
    <t>14 of 22</t>
  </si>
  <si>
    <t xml:space="preserve">            Operating income/(loss)</t>
  </si>
  <si>
    <t xml:space="preserve">            Depreciation and amortization</t>
  </si>
  <si>
    <t xml:space="preserve">            Stock-Based Compensation</t>
  </si>
  <si>
    <t xml:space="preserve">                Merger related costs - EBITDA</t>
  </si>
  <si>
    <t>-</t>
  </si>
  <si>
    <t xml:space="preserve">                Total other adjustments in EBITDA</t>
  </si>
  <si>
    <t xml:space="preserve">            Total adjustment excl SBC in EBITDA</t>
  </si>
  <si>
    <t xml:space="preserve">        Adjusted EBITDA</t>
  </si>
  <si>
    <t xml:space="preserve">        Lease revenue adjustment</t>
  </si>
  <si>
    <t xml:space="preserve">        US Cellular in EBITDA</t>
  </si>
  <si>
    <t xml:space="preserve">        Synergies in EBITDA</t>
  </si>
  <si>
    <t xml:space="preserve">    Core Adjusted EBITDA</t>
  </si>
  <si>
    <t>T-Mobile US, Inc. | EBITDA</t>
  </si>
  <si>
    <t xml:space="preserve">    Adjusted FCF per share - excluding merger costs($)</t>
  </si>
  <si>
    <t xml:space="preserve">    Adjusted FCF per share($)</t>
  </si>
  <si>
    <t xml:space="preserve"> </t>
  </si>
  <si>
    <t xml:space="preserve">    Adjusted Free cash flow - excluding merger costs</t>
  </si>
  <si>
    <t xml:space="preserve">        Net cash payments for Merger-related costs - FCF</t>
  </si>
  <si>
    <t xml:space="preserve">        Adjusted Free Cash Flow</t>
  </si>
  <si>
    <t xml:space="preserve">            Proceeds related to sales of tower sites - FCF</t>
  </si>
  <si>
    <t xml:space="preserve">            Cash payments for debt prepayment or debt extinguishment costs - FCF</t>
  </si>
  <si>
    <t xml:space="preserve">            Cash paid for the settlement of interest rate swaps - FCF</t>
  </si>
  <si>
    <t xml:space="preserve">            Proceeds related to securitization transactions - FCF</t>
  </si>
  <si>
    <t xml:space="preserve">            Free cash flow</t>
  </si>
  <si>
    <t xml:space="preserve">                Purchases of property and equipment</t>
  </si>
  <si>
    <t xml:space="preserve">                Net cash flows provided by/(used in) operating activities</t>
  </si>
  <si>
    <t>Adjusted Free Cash Flow</t>
  </si>
  <si>
    <t xml:space="preserve">    Cash - end of period</t>
  </si>
  <si>
    <t xml:space="preserve">    Cash - beginning of period</t>
  </si>
  <si>
    <t xml:space="preserve">    Change in cash and cash equivalents</t>
  </si>
  <si>
    <t xml:space="preserve">        Effect of exchange rate changes on cash and cash equivalents, including restricted cash</t>
  </si>
  <si>
    <t xml:space="preserve">        Net cash provided by/(used in) financing activities</t>
  </si>
  <si>
    <t xml:space="preserve">            Financing activities Other, net</t>
  </si>
  <si>
    <t xml:space="preserve">            Dividends on common stock - CF</t>
  </si>
  <si>
    <t xml:space="preserve">            Net change in equity</t>
  </si>
  <si>
    <t xml:space="preserve">                Purchase of treasury stock</t>
  </si>
  <si>
    <t xml:space="preserve">                Share repurchase</t>
  </si>
  <si>
    <t xml:space="preserve">                Proceeds from issuance of equity</t>
  </si>
  <si>
    <t xml:space="preserve">            Net change in debt</t>
  </si>
  <si>
    <t xml:space="preserve">        Net cash provided by/(used in) investing activities</t>
  </si>
  <si>
    <t xml:space="preserve">            Investing activities Other, net</t>
  </si>
  <si>
    <t xml:space="preserve">            Net (acquisitions)/disposals</t>
  </si>
  <si>
    <t xml:space="preserve">                (Acquisition)/divestiture of business activities, net</t>
  </si>
  <si>
    <t xml:space="preserve">                Proceeds/Payments of investments</t>
  </si>
  <si>
    <t xml:space="preserve">            Purchases of spectrum licenses and other intangible assets</t>
  </si>
  <si>
    <t xml:space="preserve">            Proceeds from the sale of property, equipment and intangible assets</t>
  </si>
  <si>
    <t xml:space="preserve">            Purchases of property and equipment</t>
  </si>
  <si>
    <t xml:space="preserve">        Net cash flows provided by/(used in) operating activities</t>
  </si>
  <si>
    <t xml:space="preserve">            Total other OCF adjustment</t>
  </si>
  <si>
    <t xml:space="preserve">            Total changes in working capital</t>
  </si>
  <si>
    <t xml:space="preserve">                Other (Increase)/Decrease in Working Capital , Net</t>
  </si>
  <si>
    <t xml:space="preserve">                Inventory change</t>
  </si>
  <si>
    <t xml:space="preserve">                Accounts receivable change</t>
  </si>
  <si>
    <t xml:space="preserve">            Stock-Based Compensation - CF</t>
  </si>
  <si>
    <t xml:space="preserve">            Depreciation and amortization - CF</t>
  </si>
  <si>
    <t xml:space="preserve">            Net income/(loss) - CF</t>
  </si>
  <si>
    <t>T-Mobile US, Inc. | Cash flow</t>
  </si>
  <si>
    <t xml:space="preserve">    Net debt</t>
  </si>
  <si>
    <t xml:space="preserve">    Total debt</t>
  </si>
  <si>
    <t xml:space="preserve">    Total liabilities and stockholders' equity</t>
  </si>
  <si>
    <t xml:space="preserve">        Total stockholders' equity</t>
  </si>
  <si>
    <t xml:space="preserve">            Additional paid-in capital</t>
  </si>
  <si>
    <t xml:space="preserve">            Accumulated deficit</t>
  </si>
  <si>
    <t xml:space="preserve">            Accumulated other comprehensive income</t>
  </si>
  <si>
    <t xml:space="preserve">            Treasury stock</t>
  </si>
  <si>
    <t xml:space="preserve">        Total liabilities</t>
  </si>
  <si>
    <t xml:space="preserve">            Total long-term liabilities</t>
  </si>
  <si>
    <t xml:space="preserve">                Deferred tax liabilities</t>
  </si>
  <si>
    <t xml:space="preserve">                Tower obligation</t>
  </si>
  <si>
    <t xml:space="preserve">                Deferred rents and other long-term liabilities</t>
  </si>
  <si>
    <t xml:space="preserve">                Operating lease liabilities - Noncurrent</t>
  </si>
  <si>
    <t xml:space="preserve">                Financing lease liabilities - Noncurrent</t>
  </si>
  <si>
    <t xml:space="preserve">                Total LT debt - net</t>
  </si>
  <si>
    <t xml:space="preserve">                    Long-term debt to affiliates</t>
  </si>
  <si>
    <t xml:space="preserve">                    Long-term debt</t>
  </si>
  <si>
    <t xml:space="preserve">            Total current liabilities</t>
  </si>
  <si>
    <t xml:space="preserve">                Total other current liabilities</t>
  </si>
  <si>
    <t xml:space="preserve">                    Other current liabilities</t>
  </si>
  <si>
    <t xml:space="preserve">                    Deferred revenue - current</t>
  </si>
  <si>
    <t xml:space="preserve">                Accounts payable and accrued liabilities</t>
  </si>
  <si>
    <t xml:space="preserve">                Current portion of debt</t>
  </si>
  <si>
    <t xml:space="preserve">                    Short term operating lease liabilities</t>
  </si>
  <si>
    <t xml:space="preserve">                    Short term financing lease liabilities</t>
  </si>
  <si>
    <t xml:space="preserve">                    Short-term debt</t>
  </si>
  <si>
    <t xml:space="preserve">    Total assets</t>
  </si>
  <si>
    <t xml:space="preserve">        Total noncurrent assets</t>
  </si>
  <si>
    <t xml:space="preserve">            Total other noncurrent assets</t>
  </si>
  <si>
    <t xml:space="preserve">                Other long term assets</t>
  </si>
  <si>
    <t xml:space="preserve">                Financing lease right of used assets - Noncurrent</t>
  </si>
  <si>
    <t xml:space="preserve">                Operating lease right of used assets - Noncurrent</t>
  </si>
  <si>
    <t xml:space="preserve">            Intangibles - net</t>
  </si>
  <si>
    <t xml:space="preserve">                Other intangible assets, net</t>
  </si>
  <si>
    <t xml:space="preserve">                Spectrum licenses</t>
  </si>
  <si>
    <t xml:space="preserve">                Goodwill</t>
  </si>
  <si>
    <t xml:space="preserve">            Property and equipment, net</t>
  </si>
  <si>
    <t xml:space="preserve">                Accumulated Depreciation</t>
  </si>
  <si>
    <t xml:space="preserve">                Gross PP&amp;E</t>
  </si>
  <si>
    <t xml:space="preserve">        Total current assets</t>
  </si>
  <si>
    <t xml:space="preserve">            Deferred tax and other current assets</t>
  </si>
  <si>
    <t xml:space="preserve">                Other current assets</t>
  </si>
  <si>
    <t xml:space="preserve">                Deferred tax asset - current</t>
  </si>
  <si>
    <t xml:space="preserve">                Prepaid expenses</t>
  </si>
  <si>
    <t xml:space="preserve">            Inventories</t>
  </si>
  <si>
    <t xml:space="preserve">            Total receiveables</t>
  </si>
  <si>
    <t xml:space="preserve">                Equipment installment plan receivables, net - current</t>
  </si>
  <si>
    <t xml:space="preserve">                Accounts receivable, net of allowance</t>
  </si>
  <si>
    <t xml:space="preserve">                Receivables from Affiliates</t>
  </si>
  <si>
    <t xml:space="preserve">            Cash, Cash equivalents and short term investments</t>
  </si>
  <si>
    <t>T-Mobile US, Inc. | Balance sheet</t>
  </si>
  <si>
    <t xml:space="preserve">    End of period shares outstanding - Basic(M#)</t>
  </si>
  <si>
    <t>Supplemental</t>
  </si>
  <si>
    <t xml:space="preserve">    Dividend per share($)</t>
  </si>
  <si>
    <t xml:space="preserve">    Weighted average shares outstanding - diluted(M#)</t>
  </si>
  <si>
    <t xml:space="preserve">    Weighted average shares outstanding - basic(M#)</t>
  </si>
  <si>
    <t xml:space="preserve">    Diluted EPS($)</t>
  </si>
  <si>
    <t xml:space="preserve">    Basic EPS($)</t>
  </si>
  <si>
    <t xml:space="preserve">    Net income/(loss)</t>
  </si>
  <si>
    <t xml:space="preserve">    Income/(loss) from discontinued operations, net of tax</t>
  </si>
  <si>
    <t xml:space="preserve">    Income/(loss) from continuing operations</t>
  </si>
  <si>
    <t xml:space="preserve">    Provision/(benefit) for income taxes</t>
  </si>
  <si>
    <t xml:space="preserve">    Income/(loss) before income taxes</t>
  </si>
  <si>
    <t xml:space="preserve">    Total Non-operating expense, net</t>
  </si>
  <si>
    <t xml:space="preserve">        Other expense, net</t>
  </si>
  <si>
    <t xml:space="preserve">        Net interest income/(expense)</t>
  </si>
  <si>
    <t xml:space="preserve">            Interest income</t>
  </si>
  <si>
    <t xml:space="preserve">            Total interest expense</t>
  </si>
  <si>
    <t xml:space="preserve">    Operating income/(loss)</t>
  </si>
  <si>
    <t xml:space="preserve">        Total cost and expenses</t>
  </si>
  <si>
    <t xml:space="preserve">            Total other adjustments</t>
  </si>
  <si>
    <t xml:space="preserve">            Selling, general &amp; administrative</t>
  </si>
  <si>
    <t xml:space="preserve">                Merger related costs/(gains) - SG&amp;A</t>
  </si>
  <si>
    <t xml:space="preserve">                SG&amp;A - excl. merger related cost</t>
  </si>
  <si>
    <t xml:space="preserve">                    SG&amp;A - Synergies</t>
  </si>
  <si>
    <t xml:space="preserve">                    SG&amp;A - Wireline and other</t>
  </si>
  <si>
    <t xml:space="preserve">                    SG&amp;A - excl synergies &amp; CTA</t>
  </si>
  <si>
    <t xml:space="preserve">            Total cost of revenue</t>
  </si>
  <si>
    <t xml:space="preserve">                Cost of equipment</t>
  </si>
  <si>
    <t xml:space="preserve">                    Merger related costs - cost of equipment sales</t>
  </si>
  <si>
    <t xml:space="preserve">                    Cost of equipment, excl. merger related costs</t>
  </si>
  <si>
    <t xml:space="preserve">                Cost of services</t>
  </si>
  <si>
    <t xml:space="preserve">                    Merger related costs - cost of services</t>
  </si>
  <si>
    <t xml:space="preserve">                    Cost of services excl. CTA</t>
  </si>
  <si>
    <t xml:space="preserve">                        Cost of services - Synergies</t>
  </si>
  <si>
    <t xml:space="preserve">                        Cost of services - excl synergies &amp; CTA</t>
  </si>
  <si>
    <t xml:space="preserve">    Total revenues</t>
  </si>
  <si>
    <t>T-Mobile US, Inc. | Income statement</t>
  </si>
  <si>
    <t xml:space="preserve">    Total service revenues</t>
  </si>
  <si>
    <t xml:space="preserve">        Total Service ARPU($)</t>
  </si>
  <si>
    <t xml:space="preserve">        Total average subscribers(K#)</t>
  </si>
  <si>
    <t xml:space="preserve">        Total subscribers(K#)</t>
  </si>
  <si>
    <t xml:space="preserve">            Total net adds(K#)</t>
  </si>
  <si>
    <t xml:space="preserve">            Total gross adds(K#)</t>
  </si>
  <si>
    <t xml:space="preserve">            Total beginning subscribers(K#)</t>
  </si>
  <si>
    <t xml:space="preserve">    Total subscribers(K#)</t>
  </si>
  <si>
    <t xml:space="preserve">        Total wholesale subscribers - Boost(K#)</t>
  </si>
  <si>
    <t xml:space="preserve">        Total wholesale subscribers(K#)</t>
  </si>
  <si>
    <t xml:space="preserve">        Total retail subscribers(K#)</t>
  </si>
  <si>
    <t>Total subscribers</t>
  </si>
  <si>
    <t xml:space="preserve">    Leased devices transferred from inventory to property and equipment</t>
  </si>
  <si>
    <t xml:space="preserve">    Depreciation and amortization associated with leased devices</t>
  </si>
  <si>
    <t xml:space="preserve">    Lease revenues</t>
  </si>
  <si>
    <t>Device Financing - Leased Devices</t>
  </si>
  <si>
    <t xml:space="preserve">    Equipment subsidies</t>
  </si>
  <si>
    <t xml:space="preserve">        Cost of equipment</t>
  </si>
  <si>
    <t xml:space="preserve">        Equipment revenues</t>
  </si>
  <si>
    <t xml:space="preserve">    Gross EIP financed</t>
  </si>
  <si>
    <t xml:space="preserve">    Equipment sales</t>
  </si>
  <si>
    <t xml:space="preserve">        Equipment revenue per device($)</t>
  </si>
  <si>
    <t xml:space="preserve">        Total Devices Sold(K#)</t>
  </si>
  <si>
    <t xml:space="preserve">            Mobile broadband and IoT devices(K#)</t>
  </si>
  <si>
    <t xml:space="preserve">            Phones devices(K#)</t>
  </si>
  <si>
    <t xml:space="preserve">    Total Billing</t>
  </si>
  <si>
    <t xml:space="preserve">        EIP Billings &amp; Lease revenue</t>
  </si>
  <si>
    <t xml:space="preserve">            Lease revenues</t>
  </si>
  <si>
    <t xml:space="preserve">            EIP Billing</t>
  </si>
  <si>
    <t xml:space="preserve">        Postpaid revenues</t>
  </si>
  <si>
    <t>Equipment revenue</t>
  </si>
  <si>
    <t xml:space="preserve">        Total wireless revenue</t>
  </si>
  <si>
    <t xml:space="preserve">                Equipment sales and other revenue</t>
  </si>
  <si>
    <t xml:space="preserve">                Other revenues</t>
  </si>
  <si>
    <t xml:space="preserve">                Equipment revenues</t>
  </si>
  <si>
    <t xml:space="preserve">                    Lease revenues</t>
  </si>
  <si>
    <t xml:space="preserve">                    Equipment sales</t>
  </si>
  <si>
    <t xml:space="preserve">            Total service revenues</t>
  </si>
  <si>
    <t xml:space="preserve">                Wholesale, roaming and other service revenues</t>
  </si>
  <si>
    <t xml:space="preserve">                    Roaming and other service revenues</t>
  </si>
  <si>
    <t xml:space="preserve">                    Wholesale revenues</t>
  </si>
  <si>
    <t xml:space="preserve">                Retail service revenue</t>
  </si>
  <si>
    <t xml:space="preserve">                    Prepaid revenues</t>
  </si>
  <si>
    <t xml:space="preserve">                    Postpaid revenues</t>
  </si>
  <si>
    <t xml:space="preserve">                        Postpaid other - revenue</t>
  </si>
  <si>
    <t xml:space="preserve">                            Other excl. 5G broadband revenue</t>
  </si>
  <si>
    <t xml:space="preserve">                                Other revenue - Non FWA</t>
  </si>
  <si>
    <t xml:space="preserve">                                Fiber revenue</t>
  </si>
  <si>
    <t xml:space="preserve">                            5G broadband revenue</t>
  </si>
  <si>
    <t xml:space="preserve">                                Prepaid 5G broadband revenue</t>
  </si>
  <si>
    <t xml:space="preserve">                                Postpaid 5G broadband revenue</t>
  </si>
  <si>
    <t xml:space="preserve">                        Phone - postpaid revenue</t>
  </si>
  <si>
    <t>Segments</t>
  </si>
  <si>
    <t>T-Mobile US, Inc. | Revenue</t>
  </si>
  <si>
    <t xml:space="preserve">    Wholesale revenues</t>
  </si>
  <si>
    <t xml:space="preserve">        Total wholesale ARPU($)</t>
  </si>
  <si>
    <t xml:space="preserve">        Total wholesale average subscribers(K#)</t>
  </si>
  <si>
    <t xml:space="preserve">            Total wholesale net adds(K#)</t>
  </si>
  <si>
    <t xml:space="preserve">            Total wholesale gross addition(K#)</t>
  </si>
  <si>
    <t xml:space="preserve">        Total wholesale beginning subscribers(K#)</t>
  </si>
  <si>
    <t xml:space="preserve">    Total wholesale ARPU - Boost($)</t>
  </si>
  <si>
    <t xml:space="preserve">    Total wholesale average subscribers - Boost(K#)</t>
  </si>
  <si>
    <t xml:space="preserve">    Total wholesale subscribers - Boost(K#)</t>
  </si>
  <si>
    <t xml:space="preserve">        Total wholesale net adds - Boost(K#)</t>
  </si>
  <si>
    <t xml:space="preserve">        Total wholesale gross addition - Boost(K#)</t>
  </si>
  <si>
    <t xml:space="preserve">    Total wholesale beginning subscribers - Boost(K#)</t>
  </si>
  <si>
    <t>T-Mobile US, Inc. | Wholesale</t>
  </si>
  <si>
    <t>T-Mobile US, Inc. | Retail</t>
  </si>
  <si>
    <t xml:space="preserve">    Postpaid upgrades(K#)</t>
  </si>
  <si>
    <t>18.41%</t>
  </si>
  <si>
    <t>4.00%</t>
  </si>
  <si>
    <t>2.90%</t>
  </si>
  <si>
    <t>2.73%</t>
  </si>
  <si>
    <t>2.93%</t>
  </si>
  <si>
    <t>17.47%</t>
  </si>
  <si>
    <t>3.94%</t>
  </si>
  <si>
    <t>2.84%</t>
  </si>
  <si>
    <t>2.69%</t>
  </si>
  <si>
    <t>2.89%</t>
  </si>
  <si>
    <t>12.65%</t>
  </si>
  <si>
    <t>3.92%</t>
  </si>
  <si>
    <t>2.82%</t>
  </si>
  <si>
    <t>2.66%</t>
  </si>
  <si>
    <t>2.86%</t>
  </si>
  <si>
    <t>12.48%</t>
  </si>
  <si>
    <t>3.86%</t>
  </si>
  <si>
    <t>2.78%</t>
  </si>
  <si>
    <t>2.61%</t>
  </si>
  <si>
    <t>2.79%</t>
  </si>
  <si>
    <t>12.37%</t>
  </si>
  <si>
    <t>3.88%</t>
  </si>
  <si>
    <t>2.77%</t>
  </si>
  <si>
    <t>2.60%</t>
  </si>
  <si>
    <t>2.80%</t>
  </si>
  <si>
    <t>11.80%</t>
  </si>
  <si>
    <t>3.80%</t>
  </si>
  <si>
    <t>2.70%</t>
  </si>
  <si>
    <t>2.50%</t>
  </si>
  <si>
    <t xml:space="preserve">    Postpaid upgrade rate(%)</t>
  </si>
  <si>
    <t xml:space="preserve">    Beginning phone - postpaid subscribers(K#)</t>
  </si>
  <si>
    <t>Upgrades</t>
  </si>
  <si>
    <t xml:space="preserve">    Wireless capex</t>
  </si>
  <si>
    <t>Supplemental informations</t>
  </si>
  <si>
    <t xml:space="preserve">    Retail service revenue</t>
  </si>
  <si>
    <t xml:space="preserve">        Total retail ARPU($)</t>
  </si>
  <si>
    <t xml:space="preserve">        Total retail average subscribers(K#)</t>
  </si>
  <si>
    <t xml:space="preserve">            Total retail - Total Change in Subscribers(K#)</t>
  </si>
  <si>
    <t xml:space="preserve">                Total retail - Base Adjustments(K#)</t>
  </si>
  <si>
    <t xml:space="preserve">                Total retail internal/ organic net adds(K#)</t>
  </si>
  <si>
    <t xml:space="preserve">                    Total retail disconnects(K#)</t>
  </si>
  <si>
    <t>1.32%</t>
  </si>
  <si>
    <t>1.41%</t>
  </si>
  <si>
    <t>1.36%</t>
  </si>
  <si>
    <t>1.33%</t>
  </si>
  <si>
    <t>1.42%</t>
  </si>
  <si>
    <t>1.37%</t>
  </si>
  <si>
    <t>1.43%</t>
  </si>
  <si>
    <t>1.38%</t>
  </si>
  <si>
    <t>1.34%</t>
  </si>
  <si>
    <t>1.31%</t>
  </si>
  <si>
    <t>1.26%</t>
  </si>
  <si>
    <t>1.35%</t>
  </si>
  <si>
    <t xml:space="preserve">                    Total retail churn rate(%)</t>
  </si>
  <si>
    <t xml:space="preserve">                    Total retail gross adds(K#)</t>
  </si>
  <si>
    <t xml:space="preserve">            Total retail beginning subscriber(K#)</t>
  </si>
  <si>
    <t>Total Retail</t>
  </si>
  <si>
    <t xml:space="preserve">    Prepaid revenues</t>
  </si>
  <si>
    <t xml:space="preserve">        Prepaid ARPU($)</t>
  </si>
  <si>
    <t xml:space="preserve">        Prepaid average subscribers(K#)</t>
  </si>
  <si>
    <t xml:space="preserve">        Prepaid subscribers(K#)</t>
  </si>
  <si>
    <t xml:space="preserve">            Prepaid - Total Change in Subscribers(K#)</t>
  </si>
  <si>
    <t xml:space="preserve">                Prepaid - Base Adjustments(K#)</t>
  </si>
  <si>
    <t xml:space="preserve">                Prepaid internal/ organic net adds(K#)</t>
  </si>
  <si>
    <t xml:space="preserve">                    Prepaid disconnects(K#)</t>
  </si>
  <si>
    <t>2.63%</t>
  </si>
  <si>
    <t>2.74%</t>
  </si>
  <si>
    <t>2.68%</t>
  </si>
  <si>
    <t>2.64%</t>
  </si>
  <si>
    <t>2.72%</t>
  </si>
  <si>
    <t>2.65%</t>
  </si>
  <si>
    <t>2.67%</t>
  </si>
  <si>
    <t>2.71%</t>
  </si>
  <si>
    <t>2.76%</t>
  </si>
  <si>
    <t>2.75%</t>
  </si>
  <si>
    <t xml:space="preserve">                    Churn rate - Prepaid(%)</t>
  </si>
  <si>
    <t xml:space="preserve">                    Prepaid gross adds(K#)</t>
  </si>
  <si>
    <t xml:space="preserve">        Prepaid beginning subscribers(K#)</t>
  </si>
  <si>
    <t>Prepaid</t>
  </si>
  <si>
    <t xml:space="preserve">        Postpaid ABPA($)</t>
  </si>
  <si>
    <t xml:space="preserve">        Postpaid ABPU($)</t>
  </si>
  <si>
    <t xml:space="preserve">        Postpaid average accounts(K#)</t>
  </si>
  <si>
    <t xml:space="preserve">        Postpaid accounts(K#)</t>
  </si>
  <si>
    <t xml:space="preserve">        Postpaid account - Total Change in Subscribers(K#)</t>
  </si>
  <si>
    <t xml:space="preserve">            Postpaid account - Base Adjustments(K#)</t>
  </si>
  <si>
    <t xml:space="preserve">            Postpaid account internal/ organic net adds(K#)</t>
  </si>
  <si>
    <t xml:space="preserve">                Postpaid accounts - disconnects(K#)</t>
  </si>
  <si>
    <t>1.07%</t>
  </si>
  <si>
    <t>1.17%</t>
  </si>
  <si>
    <t>1.06%</t>
  </si>
  <si>
    <t>0.90%</t>
  </si>
  <si>
    <t>1.08%</t>
  </si>
  <si>
    <t>1.16%</t>
  </si>
  <si>
    <t>0.95%</t>
  </si>
  <si>
    <t>1.05%</t>
  </si>
  <si>
    <t>1.09%</t>
  </si>
  <si>
    <t>1.03%</t>
  </si>
  <si>
    <t>0.96%</t>
  </si>
  <si>
    <t>1.04%</t>
  </si>
  <si>
    <t>0.98%</t>
  </si>
  <si>
    <t>0.99%</t>
  </si>
  <si>
    <t>0.97%</t>
  </si>
  <si>
    <t>0.92%</t>
  </si>
  <si>
    <t>0.94%</t>
  </si>
  <si>
    <t xml:space="preserve">                Postpaid accounts - Churn(%)</t>
  </si>
  <si>
    <t xml:space="preserve">                Postpaid accounts gross adds(K#)</t>
  </si>
  <si>
    <t xml:space="preserve">    Postpaid revenues</t>
  </si>
  <si>
    <t xml:space="preserve">        Postpaid ARPA($)</t>
  </si>
  <si>
    <t xml:space="preserve">        Postpaid customers per account(#)</t>
  </si>
  <si>
    <t xml:space="preserve">        Postpaid ARPU($)</t>
  </si>
  <si>
    <t xml:space="preserve">        Postpaid average subscribers(K#)</t>
  </si>
  <si>
    <t xml:space="preserve">        Postpaid subscribers(K#)</t>
  </si>
  <si>
    <t xml:space="preserve">            Postpaid - Total Change in Subscribers(K#)</t>
  </si>
  <si>
    <t xml:space="preserve">                Postpaid - Base Adjustments(K#)</t>
  </si>
  <si>
    <t xml:space="preserve">                Postpaid - internal/ organic net adds(K#)</t>
  </si>
  <si>
    <t xml:space="preserve">                    Postpaid disconnects(K#)</t>
  </si>
  <si>
    <t>1.15%</t>
  </si>
  <si>
    <t>1.10%</t>
  </si>
  <si>
    <t>1.11%</t>
  </si>
  <si>
    <t>1.01%</t>
  </si>
  <si>
    <t>1.12%</t>
  </si>
  <si>
    <t>1.14%</t>
  </si>
  <si>
    <t>1.02%</t>
  </si>
  <si>
    <t xml:space="preserve">                    Churn rate - Postpaid(%)</t>
  </si>
  <si>
    <t xml:space="preserve">                    Postpaid gross adds(K#)</t>
  </si>
  <si>
    <t xml:space="preserve">            Postpaid beginning subscribers(K#)</t>
  </si>
  <si>
    <t>Total postpaid</t>
  </si>
  <si>
    <t xml:space="preserve">    Postpaid other - subscribers(K#)</t>
  </si>
  <si>
    <t xml:space="preserve">        Postpaid other subscribers excl 5G broadband(K#)</t>
  </si>
  <si>
    <t xml:space="preserve">        5G broadband customers(K#)</t>
  </si>
  <si>
    <t xml:space="preserve">    Postpaid other internal/ organic net adds(K#)</t>
  </si>
  <si>
    <t xml:space="preserve">        Postpaid other internal/ organic net adds excl 5G broadband(K#)</t>
  </si>
  <si>
    <t xml:space="preserve">        Postpaid 5G broadband net adds(K#)</t>
  </si>
  <si>
    <t xml:space="preserve">    Postpaid other - revenue</t>
  </si>
  <si>
    <t xml:space="preserve">        Postpaid other - ARPU($)</t>
  </si>
  <si>
    <t xml:space="preserve">        Postpaid other - average subscribers(K#)</t>
  </si>
  <si>
    <t xml:space="preserve">        Postpaid other - subscribers(K#)</t>
  </si>
  <si>
    <t xml:space="preserve">            Postpaid other - Total Change in Subscribers(K#)</t>
  </si>
  <si>
    <t xml:space="preserve">                Postpaid other Base Adjustments(K#)</t>
  </si>
  <si>
    <t xml:space="preserve">                Postpaid other internal/ organic net adds(K#)</t>
  </si>
  <si>
    <t xml:space="preserve">                    Postpaid other - disconnects(K#)</t>
  </si>
  <si>
    <t>1.58%</t>
  </si>
  <si>
    <t>1.25%</t>
  </si>
  <si>
    <t>1.20%</t>
  </si>
  <si>
    <t>1.60%</t>
  </si>
  <si>
    <t>1.28%</t>
  </si>
  <si>
    <t>1.29%</t>
  </si>
  <si>
    <t>1.23%</t>
  </si>
  <si>
    <t>1.62%</t>
  </si>
  <si>
    <t>1.54%</t>
  </si>
  <si>
    <t>1.30%</t>
  </si>
  <si>
    <t>1.61%</t>
  </si>
  <si>
    <t>1.56%</t>
  </si>
  <si>
    <t xml:space="preserve">                    Churn rate - postpaid other(%)</t>
  </si>
  <si>
    <t xml:space="preserve">                    Postpaid other - gross adds(K#)</t>
  </si>
  <si>
    <t xml:space="preserve">            Beginning postpaid other - subscribers(K#)</t>
  </si>
  <si>
    <t>Postpaid other</t>
  </si>
  <si>
    <t xml:space="preserve">    Phone - postpaid revenue</t>
  </si>
  <si>
    <t xml:space="preserve">        Phone - postpaid ARPU($)</t>
  </si>
  <si>
    <t xml:space="preserve">        Phone - postpaid average subscribers(K#)</t>
  </si>
  <si>
    <t xml:space="preserve">        Phone - postpaid subscribers(K#)</t>
  </si>
  <si>
    <t xml:space="preserve">            Phone - postpaid - Total Change in Subscribers(K#)</t>
  </si>
  <si>
    <t xml:space="preserve">                Phone - postpaid - Base Adjustments(K#)</t>
  </si>
  <si>
    <t xml:space="preserve">                Phone - postpaid internal/ organic net adds(K#)</t>
  </si>
  <si>
    <t xml:space="preserve">                    Phone - postpaid disconnects(K#)</t>
  </si>
  <si>
    <t>0.93%</t>
  </si>
  <si>
    <t>0.86%</t>
  </si>
  <si>
    <t>0.88%</t>
  </si>
  <si>
    <t>1.00%</t>
  </si>
  <si>
    <t>0.87%</t>
  </si>
  <si>
    <t>0.91%</t>
  </si>
  <si>
    <t>0.85%</t>
  </si>
  <si>
    <t>0.89%</t>
  </si>
  <si>
    <t xml:space="preserve">                    Churn rate - phone postpaid(%)</t>
  </si>
  <si>
    <t xml:space="preserve">                    Phone - postpaid gross adds(K#)</t>
  </si>
  <si>
    <t xml:space="preserve">            Beginning phone - postpaid subscribers(K#)</t>
  </si>
  <si>
    <t>Phone postpaid</t>
  </si>
  <si>
    <t>EXHIBIT 1: TMUS 3Q26 earnings first look</t>
  </si>
  <si>
    <t>T-Mobile US — Q3 2026 Earnings First Look</t>
  </si>
  <si>
    <t>$M (except for as noted)</t>
  </si>
  <si>
    <t>Q3'25</t>
  </si>
  <si>
    <t>Q2'26</t>
  </si>
  <si>
    <t>Consensus</t>
  </si>
  <si>
    <t>Actual 3Q26</t>
  </si>
  <si>
    <t>YoY Growth</t>
  </si>
  <si>
    <t>Beat/Miss</t>
  </si>
  <si>
    <t>Total Revenue</t>
  </si>
  <si>
    <t>Service Revenue</t>
  </si>
  <si>
    <t xml:space="preserve">  Postpaid revenue</t>
  </si>
  <si>
    <t xml:space="preserve">  Prepaid revenue</t>
  </si>
  <si>
    <t xml:space="preserve">  Wholesale and other service revenues</t>
  </si>
  <si>
    <t>Equipment Revenues</t>
  </si>
  <si>
    <t>Cost of services</t>
  </si>
  <si>
    <t>Cost of equipment sales</t>
  </si>
  <si>
    <t>Adj. EBITDA</t>
  </si>
  <si>
    <t>Adj. EBITDA Margin</t>
  </si>
  <si>
    <t>Core Adj. EBITDA</t>
  </si>
  <si>
    <t>Core Adj. EBITDA Margin</t>
  </si>
  <si>
    <t>CapEx</t>
  </si>
  <si>
    <t>Adj. Free Cash Flow</t>
  </si>
  <si>
    <t>Diluted EPS</t>
  </si>
  <si>
    <t>Operational metrics</t>
  </si>
  <si>
    <t>Postpaid Account Net Adds (in 000')</t>
  </si>
  <si>
    <t>Postpaid ARPA (in $)</t>
  </si>
  <si>
    <t>Postpaid Account Churn</t>
  </si>
  <si>
    <t>Note: Q3'25, Q2'26 and Consensus link to the Visible Alpha consensus tabs (as of 10/28/26). Enter 3Q26 actuals in the shaded 'Actual 3Q26' column; margins, YoY and Beat/Miss calculate automatically. Margins are on service revenue; margin and churn YoY / Beat-Miss shown as percentage-point differences.</t>
  </si>
  <si>
    <t>ROLE &amp; GOAL</t>
  </si>
  <si>
    <t>You are a sell-side equity research analyst covering T-Mobile US (TMUS). T-Mobile has just released its 3Q26 earnings. I have attached the earnings materials (these may include the press release, financial statements, investor factbook / trending schedules, and non-GAAP reconciliations). Your job is to (1) fill in the 3Q26 actuals on the '3Q26 First look' sheet of this workbook, (2) verify the automatic YoY Growth and Beat/Miss calculations, and (3) write a short list of key takeaways. Work quickly, but accuracy comes first — every number must be traceable to the attached documents.</t>
  </si>
  <si>
    <t>STEP 1 — READ THE MATERIALS</t>
  </si>
  <si>
    <t>• Read all attached files before writing anything. Find the Q3 2026 column (quarter ended September 30, 2026) in each table. Use the quarterly figures only — not year-to-date, nine-month, or full-year totals.</t>
  </si>
  <si>
    <t>• If two documents show different values for the same metric, use the financial statements / reconciliation tables over the narrative text, and tell me about the conflict at the end.</t>
  </si>
  <si>
    <t>STEP 2 — FILL IN COLUMN E ('Actual 3Q26') ON THE '3Q26 First look' SHEET</t>
  </si>
  <si>
    <t>Enter hardcoded values (not formulas) in these cells only. Units: $ in millions unless noted. Enter costs and CapEx as positive numbers.</t>
  </si>
  <si>
    <t>• E5 Total Revenue — 'Total revenues' from the income statement</t>
  </si>
  <si>
    <t>• E6 Service Revenue — 'Total service revenues'</t>
  </si>
  <si>
    <t>• E7 Postpaid revenue — 'Postpaid revenues' (postpaid service revenues)</t>
  </si>
  <si>
    <t>• E8 Prepaid revenue — 'Prepaid revenues'</t>
  </si>
  <si>
    <t>• E9 Wholesale and other service revenues — 'Wholesale and other service revenues'</t>
  </si>
  <si>
    <t>• E10 Equipment Revenues — 'Equipment revenues'</t>
  </si>
  <si>
    <t>• E11 Cost of services — 'Cost of services, exclusive of depreciation and amortization'</t>
  </si>
  <si>
    <t>• E12 Cost of equipment sales — 'Cost of equipment sales, exclusive of depreciation and amortization'</t>
  </si>
  <si>
    <t>• E13 Adj. EBITDA — 'Adjusted EBITDA' from the non-GAAP reconciliation</t>
  </si>
  <si>
    <t>• E15 Core Adj. EBITDA — 'Core Adjusted EBITDA' (Adjusted EBITDA less lease revenues)</t>
  </si>
  <si>
    <t>• E17 CapEx — 'Purchases of property and equipment, including capitalized interest' (enter as a positive number)</t>
  </si>
  <si>
    <t>• E18 Adj. Free Cash Flow — 'Adjusted Free Cash Flow' from the non-GAAP reconciliation</t>
  </si>
  <si>
    <t>• E19 Diluted EPS — GAAP 'Diluted earnings per share' in $ (e.g., 2.99)</t>
  </si>
  <si>
    <t>• E22 Postpaid Account Net Adds — 'Postpaid net account additions', in thousands (e.g., 277)</t>
  </si>
  <si>
    <t>• E23 Postpaid ARPA — 'Postpaid ARPA' in $ (e.g., 152.91)</t>
  </si>
  <si>
    <t>• E24 Postpaid Account Churn — 'Postpaid account churn', entered as a decimal (e.g., 0.99% → 0.0099)</t>
  </si>
  <si>
    <t>DO NOT overwrite E14 or E16. Those are formulas that calculate Adj. EBITDA margin and Core Adj. EBITDA margin (EBITDA ÷ Service Revenue). Do not change any cell in columns A–D, F or G.</t>
  </si>
  <si>
    <t>STEP 3 — DOUBLE-CHECK ACCURACY</t>
  </si>
  <si>
    <t>• Re-read every value you entered and compare it to the source document a second time.</t>
  </si>
  <si>
    <t>• Sanity checks: Postpaid + Prepaid + Wholesale and other ≈ Service Revenue; Service Revenue + Equipment Revenues + other revenues = Total Revenue; Core Adj. EBITDA ≤ Adj. EBITDA; the margins in E14 and E16 should be close to the margins the company reports (as a % of service revenue).</t>
  </si>
  <si>
    <t>• Make sure you used the 3Q26 column and not 2Q26 or 3Q25, and that units match the table (millions, thousands, $, %).</t>
  </si>
  <si>
    <t>STEP 4 — CHECK THE AUTOMATIC CALCULATIONS</t>
  </si>
  <si>
    <t>Columns F (YoY Growth vs. Q3'25) and G (Beat/Miss vs. Consensus) fill in on their own once column E is filled. Check a few rows to confirm they are right: for dollar and count rows F = E ÷ B − 1 and G = E ÷ D − 1; for the margin and churn rows (14, 16, 24) they are percentage-point differences (E − B and E − D). Flag any #DIV/0!, #VALUE! or results that look wrong. Do not edit these formulas unless one is clearly broken, and tell me if you change anything.</t>
  </si>
  <si>
    <t>STEP 5 — IF A KPI IS MISSING, DO NOT GUESS</t>
  </si>
  <si>
    <t>If you cannot find a KPI in the attached documents, leave its cell in column E blank. Do not estimate it, back into it, or take it from outside sources. List every missing KPI at the end of your reply so I can enter it myself or send you more documents.</t>
  </si>
  <si>
    <t>STEP 6 — WRITE THE KEY TAKEAWAYS IN COLUMN Q, STARTING AT Q33</t>
  </si>
  <si>
    <t>Starting in cell Q33 of the '3Q26 First look' sheet, write one bullet per cell going down (Q33, Q34, Q35, …). Begin each with '• '. Aim for 6–10 concise bullets that cover:</t>
  </si>
  <si>
    <t>• The headline result: total revenue, service revenue, Adj. EBITDA and EPS vs. consensus, and how big the beat or miss was.</t>
  </si>
  <si>
    <t>• Any KPI that stands out: a big beat or miss vs. consensus, strong YoY growth, or a significant YoY decline. Give the number, the % / bp beat or miss, and the YoY change.</t>
  </si>
  <si>
    <t>• Customer metrics: postpaid account net adds, ARPA and churn — vs. consensus and vs. last year.</t>
  </si>
  <si>
    <t>• Cash flow and CapEx vs. expectations.</t>
  </si>
  <si>
    <t>• For each point, briefly explain WHY, using the reasons, drivers and management commentary given in the materials (e.g., pricing actions, promotions, acquisitions such as UScellular / fiber JVs, device upgrades, seasonality, one-time items).</t>
  </si>
  <si>
    <t>• Any change to full-year 2026 guidance (raised / lowered / reiterated) and what it was before.</t>
  </si>
  <si>
    <t>Only use explanations that come from the attached documents — do not invent reasons. Keep each bullet to one or two sentences and put the most important points first.</t>
  </si>
  <si>
    <t>STEP 7 — FINAL REPLY TO ME</t>
  </si>
  <si>
    <t>When you finish, reply with: (a) a confirmation of which cells in column E you filled in; (b) a list of any KPIs you could not find; (c) any data conflicts between documents or anything unusual (e.g., restated prior periods or definition changes); and (d) confirmation that you checked columns F and G.</t>
  </si>
  <si>
    <t>3Q26 Earnings Fill-in Prompt — for a Claude / Copilot agent in Excel</t>
  </si>
  <si>
    <t>How to use: select A5:A54, copy (Ctrl+C), and paste into the agent's chat along with the attached earnings files.</t>
  </si>
  <si>
    <t>Copy the prompt below ↓</t>
  </si>
  <si>
    <t>Key takeaways — TMUS 3Q26</t>
  </si>
  <si>
    <t>• Clean beat on all headline lines: Total revenue $23,584M (+7.4% YoY) beat consensus by 1.7%, service revenue $19,375M (+6.2% YoY) beat by 0.3%, Adj. EBITDA $9,620M (+10.8% YoY) beat by 2.2%, and diluted EPS of $3.22 (+33.6% YoY) beat the $2.92 consensus by 10.3%.</t>
  </si>
  <si>
    <t>• EPS growth is flattered by an easy comp: 3Q25 included a $208M after-tax ($0.18/sh) capitalized-software impairment. 3Q26 still absorbed $0.09/sh of UScellular merger costs (vs. $0.05 in 3Q25), and diluted shares fell to 1,071.6M from 1,126.6M on ongoing buybacks.</t>
  </si>
  <si>
    <t>• Adj. EBITDA margin of 49.7% of service revenue was ~90bp above consensus (48.7%) and +204bp YoY. Management credits higher service and equipment revenues, partly offset by higher equipment and service costs. Cost of services ($3,007M, +4.7% YoY) was 4.0% below consensus despite higher wholesale network access costs, Metronet/Lumos installation-fee amortization, and repair &amp; maintenance.</t>
  </si>
  <si>
    <t>• Postpaid service revenue of $16,269M grew 9.3% YoY and beat consensus by 1.1%, driven by more average accounts (including the 3Q25 UScellular and Metronet acquisitions) and higher ARPA. Weak spots: prepaid revenue $2,427M (-7.5% YoY, 2.2% below consensus) and wholesale &amp; other $679M (-7.5% YoY, 7.4% below consensus); the materials give no driver for either.</t>
  </si>
  <si>
    <t>• Postpaid ARPA of $155.73 (+4.2% YoY, +1.8% QoQ) beat consensus ($153.96) by 1.1%. Drivers: higher fee revenue (tax- and fee-exclusive plans), rate plan modernization, and more customers per account (5G broadband, T-Mobile for Business), partly offset by heavier promotions and bundled offers.</t>
  </si>
  <si>
    <t>• Postpaid net account adds of 274K beat consensus (252K) by 8.8% but fell 31% YoY (396K) and were roughly flat QoQ (277K). Churn of 1.09% was 4bp worse than consensus (1.05%), +12bp YoY and +10bp QoQ. Management blames broadband-only accounts (higher churn), the temporary impact of rate plan modernization, and seasonally higher switching.</t>
  </si>
  <si>
    <t>• Equipment revenue of $3,929M (+13.4% YoY) beat consensus by 8.9%, while cost of equipment sales of $5,444M (+12.2% YoY) came in 7.9% above consensus. Both reflect a richer high-end phone mix, higher manufacturer pricing and more device liquidations, partly offset by fewer prepaid devices sold. Net impact on EBITDA was largely neutral.</t>
  </si>
  <si>
    <t>• Adj. FCF of $5,071M (+5.3% YoY) beat consensus by 4.4%, helped by CapEx of $2,270M (-14.0% YoY, 6.4% below consensus) on the 'planned timing of capital purchases'. With the FY26 ~$10.0B CapEx guide unchanged, Q4 CapEx should step up to ~$2.4B. Operating cash flow of $7,341M fell 1.6% YoY on working-capital outflows; merger-related payments were $198M (vs. $96M).</t>
  </si>
  <si>
    <t>• FY26 guidance raised at the midpoint: Core Adj. EBITDA to $37.35–37.45B (from $37.1–37.5B, +$100M at midpoint); operating cash flow to $28.7–28.8B (from $28.4–28.8B, +$150M); Adj. FCF to $18.7–18.8B (from $18.4–18.8B, +$150M). Effective tax rate cut to 24–25% (from 25–26%). Net adds narrowed to ~1.0M (was 950K–1.05M); CapEx ~$10.0B unchanged.</t>
  </si>
  <si>
    <t>• Capital returns: $3.5B returned in 3Q26 ($2.4B buybacks of 13.6M shares and $1.1B dividends), and another $791M repurchased through 10/23. The quarterly dividend was raised 15% to $1.17/sh. Net debt / LTM Core Adj. EBITDA eased to 2.2x (from 2.3x in 2Q26).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</si>
</sst>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0\)"/>
    <numFmt numFmtId="166" formatCode="#,##0;\(#,##0\);\-"/>
    <numFmt numFmtId="167" formatCode="0.0%;\(0.0%\);0.0%"/>
    <numFmt numFmtId="168" formatCode="0.0%;\(0.0%\);\-"/>
    <numFmt numFmtId="169" formatCode="0.00;\(0.00\);\-"/>
    <numFmt numFmtId="170" formatCode="&quot;$&quot;#,##0.00"/>
    <numFmt numFmtId="171" formatCode="0.00%;\(0.00%\);\-"/>
    <numFmt numFmtId="172" formatCode="0.00%;\(0.00%\);0.00%"/>
  </numFmts>
  <fonts count="17" x14ac:knownFonts="1">
    <font>
      <sz val="11"/>
      <color theme="1"/>
      <name val="Calibri"/>
      <family val="2"/>
      <scheme val="minor"/>
    </font>
    <font>
      <b/>
      <sz val="14"/>
      <name val="Calibri"/>
      <family val="2"/>
    </font>
    <font>
      <b/>
      <sz val="11"/>
      <color theme="1"/>
      <name val="Calibri"/>
      <family val="2"/>
      <scheme val="minor"/>
    </font>
    <font>
      <b/>
      <sz val="11"/>
      <name val="Calibri"/>
      <family val="2"/>
    </font>
    <font>
      <sz val="11"/>
      <color rgb="FFFF0000"/>
      <name val="Calibri"/>
      <family val="2"/>
      <scheme val="minor"/>
    </font>
    <font>
      <b/>
      <sz val="12"/>
      <color theme="1"/>
      <name val="Calibri"/>
      <family val="2"/>
      <scheme val="minor"/>
    </font>
    <font>
      <b/>
      <sz val="13"/>
      <color theme="1"/>
      <name val="Calibri"/>
      <family val="2"/>
      <scheme val="minor"/>
    </font>
    <font>
      <sz val="11"/>
      <color rgb="FF000000"/>
      <name val="Aptos Narrow"/>
    </font>
    <font>
      <sz val="11"/>
      <color rgb="FF0000FF"/>
      <name val="Aptos Narrow"/>
    </font>
    <font>
      <b/>
      <sz val="11"/>
      <color rgb="FF000000"/>
      <name val="Aptos Narrow"/>
    </font>
    <font>
      <b/>
      <sz val="11"/>
      <color rgb="FFFFFFFF"/>
      <name val="Aptos Narrow"/>
    </font>
    <font>
      <i/>
      <sz val="9"/>
      <color rgb="FF000000"/>
      <name val="Aptos Narrow"/>
    </font>
    <font>
      <sz val="11"/>
      <color theme="1"/>
      <name val="Aptos"/>
    </font>
    <font>
      <b/>
      <sz val="11"/>
      <color theme="1"/>
      <name val="Aptos"/>
    </font>
    <font>
      <b/>
      <sz val="14"/>
      <color theme="1"/>
      <name val="Calibri"/>
      <family val="2"/>
      <scheme val="minor"/>
    </font>
    <font>
      <i/>
      <sz val="11"/>
      <color rgb="FF595959"/>
      <name val="Calibri"/>
      <family val="2"/>
      <scheme val="minor"/>
    </font>
    <font>
      <b/>
      <sz val="11"/>
      <color rgb="FF1F4E79"/>
      <name val="Calibri"/>
      <family val="2"/>
      <scheme val="minor"/>
    </font>
  </fonts>
  <fills count="7">
    <fill>
      <patternFill patternType="none"/>
    </fill>
    <fill>
      <patternFill patternType="gray125"/>
    </fill>
    <fill>
      <patternFill patternType="solid">
        <fgColor rgb="FFD3D3D3"/>
        <bgColor indexed="64"/>
      </patternFill>
    </fill>
    <fill>
      <patternFill patternType="solid">
        <fgColor rgb="FFD9D9D9"/>
        <bgColor indexed="64"/>
      </patternFill>
    </fill>
    <fill>
      <patternFill patternType="solid">
        <fgColor rgb="FF1F4E79"/>
        <bgColor indexed="64"/>
      </patternFill>
    </fill>
    <fill>
      <patternFill patternType="solid">
        <fgColor rgb="FFBFBFBF"/>
        <bgColor indexed="64"/>
      </patternFill>
    </fill>
    <fill>
      <patternFill patternType="solid">
        <fgColor rgb="FFF7F9FC"/>
        <bgColor indexed="64"/>
      </patternFill>
    </fill>
  </fills>
  <borders count="13">
    <border>
      <left/>
      <right/>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rgb="FF1F4E79"/>
      </left>
      <right style="medium">
        <color rgb="FF1F4E79"/>
      </right>
      <top style="medium">
        <color rgb="FF1F4E79"/>
      </top>
      <bottom/>
      <diagonal/>
    </border>
    <border>
      <left style="medium">
        <color rgb="FF1F4E79"/>
      </left>
      <right style="medium">
        <color rgb="FF1F4E79"/>
      </right>
      <top/>
      <bottom/>
      <diagonal/>
    </border>
    <border>
      <left style="medium">
        <color rgb="FF1F4E79"/>
      </left>
      <right style="medium">
        <color rgb="FF1F4E79"/>
      </right>
      <top/>
      <bottom style="medium">
        <color rgb="FF1F4E79"/>
      </bottom>
      <diagonal/>
    </border>
  </borders>
  <cellStyleXfs count="1">
    <xf numFmtId="0" fontId="0" fillId="0" borderId="0"/>
  </cellStyleXfs>
  <cellXfs count="47">
    <xf numFmtId="0" fontId="0" fillId="0" borderId="0" xfId="0"/>
    <xf numFmtId="0" fontId="1" fillId="0" borderId="0" xfId="0" applyFont="1" applyAlignment="1">
      <alignment horizontal="left"/>
    </xf>
    <xf numFmtId="0" fontId="1" fillId="0" borderId="0" xfId="0" applyFont="1"/>
    <xf numFmtId="0" fontId="0" fillId="0" borderId="0" xfId="0" applyAlignment="1">
      <alignment horizontal="left" vertical="top"/>
    </xf>
    <xf numFmtId="0" fontId="2" fillId="0" borderId="0" xfId="0" applyFont="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right" vertical="top"/>
    </xf>
    <xf numFmtId="165" fontId="0" fillId="0" borderId="0" xfId="0" applyNumberFormat="1" applyAlignment="1">
      <alignment horizontal="right" vertical="top"/>
    </xf>
    <xf numFmtId="165" fontId="4" fillId="0" borderId="0" xfId="0" applyNumberFormat="1" applyFont="1" applyAlignment="1">
      <alignment horizontal="right" vertical="top"/>
    </xf>
    <xf numFmtId="0" fontId="5" fillId="0" borderId="0" xfId="0" applyFont="1"/>
    <xf numFmtId="0" fontId="6" fillId="0" borderId="0" xfId="0" applyFont="1"/>
    <xf numFmtId="0" fontId="10" fillId="4" borderId="4" xfId="0" applyFont="1" applyFill="1" applyBorder="1"/>
    <xf numFmtId="0" fontId="9" fillId="3" borderId="5" xfId="0" applyFont="1" applyFill="1" applyBorder="1"/>
    <xf numFmtId="0" fontId="9" fillId="0" borderId="5" xfId="0" applyFont="1" applyBorder="1"/>
    <xf numFmtId="0" fontId="7" fillId="0" borderId="5" xfId="0" applyFont="1" applyBorder="1"/>
    <xf numFmtId="0" fontId="9" fillId="5" borderId="5" xfId="0" applyFont="1" applyFill="1" applyBorder="1"/>
    <xf numFmtId="0" fontId="7" fillId="0" borderId="6" xfId="0" applyFont="1" applyBorder="1"/>
    <xf numFmtId="0" fontId="10" fillId="4" borderId="1" xfId="0" applyFont="1" applyFill="1" applyBorder="1" applyAlignment="1">
      <alignment horizontal="center"/>
    </xf>
    <xf numFmtId="166" fontId="8" fillId="3" borderId="2" xfId="0" applyNumberFormat="1" applyFont="1" applyFill="1" applyBorder="1" applyAlignment="1">
      <alignment horizontal="right"/>
    </xf>
    <xf numFmtId="166" fontId="8" fillId="0" borderId="2" xfId="0" applyNumberFormat="1" applyFont="1" applyBorder="1" applyAlignment="1">
      <alignment horizontal="right"/>
    </xf>
    <xf numFmtId="168" fontId="7" fillId="0" borderId="2" xfId="0" applyNumberFormat="1" applyFont="1" applyBorder="1" applyAlignment="1">
      <alignment horizontal="right"/>
    </xf>
    <xf numFmtId="169" fontId="8" fillId="3" borderId="2" xfId="0" applyNumberFormat="1" applyFont="1" applyFill="1" applyBorder="1" applyAlignment="1">
      <alignment horizontal="right"/>
    </xf>
    <xf numFmtId="0" fontId="7" fillId="0" borderId="2" xfId="0" applyFont="1" applyBorder="1" applyAlignment="1">
      <alignment horizontal="right"/>
    </xf>
    <xf numFmtId="0" fontId="9" fillId="5" borderId="2" xfId="0" applyFont="1" applyFill="1" applyBorder="1" applyAlignment="1">
      <alignment horizontal="right"/>
    </xf>
    <xf numFmtId="170" fontId="8" fillId="0" borderId="2" xfId="0" applyNumberFormat="1" applyFont="1" applyBorder="1" applyAlignment="1">
      <alignment horizontal="right"/>
    </xf>
    <xf numFmtId="171" fontId="8" fillId="0" borderId="3" xfId="0" applyNumberFormat="1" applyFont="1" applyBorder="1" applyAlignment="1">
      <alignment horizontal="right"/>
    </xf>
    <xf numFmtId="167" fontId="7" fillId="3" borderId="2" xfId="0" applyNumberFormat="1" applyFont="1" applyFill="1" applyBorder="1" applyAlignment="1">
      <alignment horizontal="right"/>
    </xf>
    <xf numFmtId="167" fontId="7" fillId="0" borderId="2" xfId="0" applyNumberFormat="1" applyFont="1" applyBorder="1" applyAlignment="1">
      <alignment horizontal="right"/>
    </xf>
    <xf numFmtId="172" fontId="7" fillId="0" borderId="3" xfId="0" applyNumberFormat="1" applyFont="1" applyBorder="1" applyAlignment="1">
      <alignment horizontal="right"/>
    </xf>
    <xf numFmtId="0" fontId="10" fillId="4" borderId="7" xfId="0" applyFont="1" applyFill="1" applyBorder="1" applyAlignment="1">
      <alignment horizontal="center"/>
    </xf>
    <xf numFmtId="167" fontId="9" fillId="3" borderId="8" xfId="0" applyNumberFormat="1" applyFont="1" applyFill="1" applyBorder="1" applyAlignment="1">
      <alignment horizontal="right"/>
    </xf>
    <xf numFmtId="167" fontId="7" fillId="0" borderId="8" xfId="0" applyNumberFormat="1" applyFont="1" applyBorder="1" applyAlignment="1">
      <alignment horizontal="right"/>
    </xf>
    <xf numFmtId="0" fontId="7" fillId="0" borderId="8" xfId="0" applyFont="1" applyBorder="1" applyAlignment="1">
      <alignment horizontal="right"/>
    </xf>
    <xf numFmtId="0" fontId="9" fillId="5" borderId="8" xfId="0" applyFont="1" applyFill="1" applyBorder="1" applyAlignment="1">
      <alignment horizontal="right"/>
    </xf>
    <xf numFmtId="172" fontId="7" fillId="0" borderId="9" xfId="0" applyNumberFormat="1" applyFont="1" applyBorder="1" applyAlignment="1">
      <alignment horizontal="right"/>
    </xf>
    <xf numFmtId="0" fontId="11" fillId="0" borderId="0" xfId="0" applyFont="1"/>
    <xf numFmtId="0" fontId="14" fillId="0" borderId="0" xfId="0" applyFont="1"/>
    <xf numFmtId="0" fontId="15" fillId="0" borderId="0" xfId="0" applyFont="1"/>
    <xf numFmtId="0" fontId="16" fillId="0" borderId="0" xfId="0" applyFont="1"/>
    <xf numFmtId="0" fontId="13" fillId="6" borderId="10" xfId="0" applyFont="1" applyFill="1" applyBorder="1" applyAlignment="1">
      <alignment vertical="top" wrapText="1"/>
    </xf>
    <xf numFmtId="0" fontId="12" fillId="6" borderId="11" xfId="0" applyFont="1" applyFill="1" applyBorder="1" applyAlignment="1">
      <alignment vertical="top" wrapText="1"/>
    </xf>
    <xf numFmtId="0" fontId="13" fillId="6" borderId="11" xfId="0" applyFont="1" applyFill="1" applyBorder="1" applyAlignment="1">
      <alignment vertical="top" wrapText="1"/>
    </xf>
    <xf numFmtId="0" fontId="12" fillId="6" borderId="12" xfId="0" applyFont="1" applyFill="1" applyBorder="1" applyAlignment="1">
      <alignment vertical="top" wrapText="1"/>
    </xf>
    <xf numFmtId="0" fontId="0" fillId="0" borderId="0" xfId="0"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B0B9B633-3C8C-4348-97B5-41F61550EC79}"/>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48E0D07C-C92F-48A6-A067-335ED0B44FAF}"/>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613FDA54-4B1B-4283-B732-9975C3422B61}"/>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C63B9CA9-0479-4ACC-A94A-EEE349E96EF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AC38B06D-F57F-420C-9552-91A0FF220E33}"/>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2039885A-338E-4186-9675-55079E191DE3}"/>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C8FD668-9843-4D1E-A8FA-9636DB852492}">
  <we:reference id="wa200010725" version="1.0.0.1" store="en-US" storeType="OMEX"/>
  <we:alternateReferences>
    <we:reference id="WA200010725" version="1.0.0.1" store="" storeType="OMEX"/>
  </we:alternateReferences>
  <we:properties>
    <we:property name="claude.fileId" value="&quot;1e71b5e3-10ae-4587-aea7-15f3de85c521&quot;"/>
  </we:properties>
  <we:bindings/>
  <we:snapshot xmlns:r="http://schemas.openxmlformats.org/officeDocument/2006/relationships"/>
</we:webextension>
</file>

<file path=xl/webextensions/webextension2.xml><?xml version="1.0" encoding="utf-8"?>
<we:webextension xmlns:we="http://schemas.microsoft.com/office/webextensions/webextension/2010/11" id="{0F4DDFF2-68A7-414E-BDA6-331DD4FD172A}">
  <we:reference id="wa200009404" version="1.0.0.8" store="en-US" storeType="OMEX"/>
  <we:alternateReferences>
    <we:reference id="WA200009404" version="1.0.0.8" store="" storeType="OMEX"/>
  </we:alternateReferences>
  <we:properties>
    <we:property name="claude.fileId" value="&quot;d3712aab-893d-4369-9710-72a8f6ccc22e&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91D2-EFE8-45AC-BF26-127DAF7B2A52}">
  <dimension ref="A1:Q42"/>
  <sheetViews>
    <sheetView showGridLines="0" tabSelected="1" workbookViewId="0">
      <selection activeCell="B4" sqref="B4"/>
    </sheetView>
  </sheetViews>
  <sheetFormatPr defaultRowHeight="15" x14ac:dyDescent="0.25"/>
  <cols>
    <col min="1" max="1" width="41.85546875" customWidth="1"/>
    <col min="2" max="7" width="14.85546875" customWidth="1"/>
  </cols>
  <sheetData>
    <row r="1" spans="1:7" ht="15.75" x14ac:dyDescent="0.25">
      <c r="A1" s="11" t="s">
        <v>442</v>
      </c>
    </row>
    <row r="3" spans="1:7" ht="18" thickBot="1" x14ac:dyDescent="0.35">
      <c r="A3" s="12" t="s">
        <v>443</v>
      </c>
    </row>
    <row r="4" spans="1:7" x14ac:dyDescent="0.25">
      <c r="A4" s="13" t="s">
        <v>444</v>
      </c>
      <c r="B4" s="19" t="s">
        <v>445</v>
      </c>
      <c r="C4" s="19" t="s">
        <v>446</v>
      </c>
      <c r="D4" s="19" t="s">
        <v>447</v>
      </c>
      <c r="E4" s="19" t="s">
        <v>448</v>
      </c>
      <c r="F4" s="19" t="s">
        <v>449</v>
      </c>
      <c r="G4" s="31" t="s">
        <v>450</v>
      </c>
    </row>
    <row r="5" spans="1:7" x14ac:dyDescent="0.25">
      <c r="A5" s="14" t="s">
        <v>451</v>
      </c>
      <c r="B5" s="20">
        <f>Revenue!D38</f>
        <v>21957</v>
      </c>
      <c r="C5" s="20">
        <f>Revenue!H38</f>
        <v>22791</v>
      </c>
      <c r="D5" s="20">
        <f>Revenue!I38</f>
        <v>23184.12</v>
      </c>
      <c r="E5" s="20">
        <v>23584</v>
      </c>
      <c r="F5" s="28">
        <f t="shared" ref="F5:F13" si="0">IF(E5="","",E5/B5-1)</f>
        <v>7.4099376053194943E-2</v>
      </c>
      <c r="G5" s="32">
        <f t="shared" ref="G5:G13" si="1">IF(E5="","",E5/D5-1)</f>
        <v>1.7248012863977591E-2</v>
      </c>
    </row>
    <row r="6" spans="1:7" x14ac:dyDescent="0.25">
      <c r="A6" s="15" t="s">
        <v>452</v>
      </c>
      <c r="B6" s="21">
        <f>Revenue!D31</f>
        <v>18241</v>
      </c>
      <c r="C6" s="21">
        <f>Revenue!H31</f>
        <v>18983</v>
      </c>
      <c r="D6" s="21">
        <f>Revenue!I31</f>
        <v>19311.990000000002</v>
      </c>
      <c r="E6" s="21">
        <v>19375</v>
      </c>
      <c r="F6" s="29">
        <f t="shared" si="0"/>
        <v>6.2167644317745685E-2</v>
      </c>
      <c r="G6" s="33">
        <f t="shared" si="1"/>
        <v>3.2627398833573462E-3</v>
      </c>
    </row>
    <row r="7" spans="1:7" x14ac:dyDescent="0.25">
      <c r="A7" s="16" t="s">
        <v>453</v>
      </c>
      <c r="B7" s="21">
        <f>Revenue!D25</f>
        <v>14882</v>
      </c>
      <c r="C7" s="21">
        <f>Revenue!H25</f>
        <v>15853</v>
      </c>
      <c r="D7" s="21">
        <f>Revenue!I25</f>
        <v>16096.01</v>
      </c>
      <c r="E7" s="21">
        <v>16269</v>
      </c>
      <c r="F7" s="29">
        <f t="shared" si="0"/>
        <v>9.3199838731353291E-2</v>
      </c>
      <c r="G7" s="33">
        <f t="shared" si="1"/>
        <v>1.0747383979010872E-2</v>
      </c>
    </row>
    <row r="8" spans="1:7" x14ac:dyDescent="0.25">
      <c r="A8" s="16" t="s">
        <v>454</v>
      </c>
      <c r="B8" s="21">
        <f>Revenue!D26</f>
        <v>2625</v>
      </c>
      <c r="C8" s="21">
        <f>Revenue!H26</f>
        <v>2473</v>
      </c>
      <c r="D8" s="21">
        <f>Revenue!I26</f>
        <v>2481.39</v>
      </c>
      <c r="E8" s="21">
        <v>2427</v>
      </c>
      <c r="F8" s="29">
        <f t="shared" si="0"/>
        <v>-7.54285714285714E-2</v>
      </c>
      <c r="G8" s="33">
        <f t="shared" si="1"/>
        <v>-2.1919166273741686E-2</v>
      </c>
    </row>
    <row r="9" spans="1:7" x14ac:dyDescent="0.25">
      <c r="A9" s="16" t="s">
        <v>455</v>
      </c>
      <c r="B9" s="21">
        <f>Revenue!D30</f>
        <v>734</v>
      </c>
      <c r="C9" s="21">
        <f>Revenue!H30</f>
        <v>657</v>
      </c>
      <c r="D9" s="21">
        <f>Revenue!I30</f>
        <v>733.62</v>
      </c>
      <c r="E9" s="21">
        <v>679</v>
      </c>
      <c r="F9" s="29">
        <f t="shared" si="0"/>
        <v>-7.4931880108991877E-2</v>
      </c>
      <c r="G9" s="33">
        <f t="shared" si="1"/>
        <v>-7.4452713939096582E-2</v>
      </c>
    </row>
    <row r="10" spans="1:7" x14ac:dyDescent="0.25">
      <c r="A10" s="16" t="s">
        <v>456</v>
      </c>
      <c r="B10" s="21">
        <f>Revenue!D34</f>
        <v>3465</v>
      </c>
      <c r="C10" s="21">
        <f>Revenue!H34</f>
        <v>3524</v>
      </c>
      <c r="D10" s="21">
        <f>Revenue!I34</f>
        <v>3607.84</v>
      </c>
      <c r="E10" s="21">
        <v>3929</v>
      </c>
      <c r="F10" s="29">
        <f t="shared" si="0"/>
        <v>0.13391053391053398</v>
      </c>
      <c r="G10" s="33">
        <f t="shared" si="1"/>
        <v>8.9017251319349011E-2</v>
      </c>
    </row>
    <row r="11" spans="1:7" x14ac:dyDescent="0.25">
      <c r="A11" s="16" t="s">
        <v>457</v>
      </c>
      <c r="B11" s="21">
        <f>'Income statement'!D21</f>
        <v>2873</v>
      </c>
      <c r="C11" s="21">
        <f>'Income statement'!H21</f>
        <v>2978</v>
      </c>
      <c r="D11" s="21">
        <f>'Income statement'!I21</f>
        <v>3131.93</v>
      </c>
      <c r="E11" s="21">
        <v>3007</v>
      </c>
      <c r="F11" s="29">
        <f t="shared" si="0"/>
        <v>4.6641141663766206E-2</v>
      </c>
      <c r="G11" s="33">
        <f t="shared" si="1"/>
        <v>-3.9889141839057674E-2</v>
      </c>
    </row>
    <row r="12" spans="1:7" x14ac:dyDescent="0.25">
      <c r="A12" s="16" t="s">
        <v>458</v>
      </c>
      <c r="B12" s="21">
        <f>'Income statement'!D24</f>
        <v>4853</v>
      </c>
      <c r="C12" s="21">
        <f>'Income statement'!H24</f>
        <v>5055</v>
      </c>
      <c r="D12" s="21">
        <f>'Income statement'!I24</f>
        <v>5045.7</v>
      </c>
      <c r="E12" s="21">
        <v>5444</v>
      </c>
      <c r="F12" s="29">
        <f t="shared" si="0"/>
        <v>0.12178034205645982</v>
      </c>
      <c r="G12" s="33">
        <f t="shared" si="1"/>
        <v>7.8938502090889262E-2</v>
      </c>
    </row>
    <row r="13" spans="1:7" x14ac:dyDescent="0.25">
      <c r="A13" s="14" t="s">
        <v>459</v>
      </c>
      <c r="B13" s="20">
        <f>EBITDA!D22</f>
        <v>8684</v>
      </c>
      <c r="C13" s="20">
        <f>EBITDA!H22</f>
        <v>9537</v>
      </c>
      <c r="D13" s="20">
        <f>EBITDA!I22</f>
        <v>9413.94</v>
      </c>
      <c r="E13" s="20">
        <v>9620</v>
      </c>
      <c r="F13" s="28">
        <f t="shared" si="0"/>
        <v>0.10778443113772451</v>
      </c>
      <c r="G13" s="32">
        <f t="shared" si="1"/>
        <v>2.1888815947414209E-2</v>
      </c>
    </row>
    <row r="14" spans="1:7" x14ac:dyDescent="0.25">
      <c r="A14" s="16" t="s">
        <v>460</v>
      </c>
      <c r="B14" s="22">
        <f>B13/B6</f>
        <v>0.47607039087769309</v>
      </c>
      <c r="C14" s="22">
        <f>C13/C6</f>
        <v>0.5023968814202181</v>
      </c>
      <c r="D14" s="22">
        <f>D13/D6</f>
        <v>0.48746607677406623</v>
      </c>
      <c r="E14" s="22">
        <f>IF(E13="","",E13/E6)</f>
        <v>0.49651612903225806</v>
      </c>
      <c r="F14" s="29">
        <f>IF(E14="","",E14-B14)</f>
        <v>2.0445738154564963E-2</v>
      </c>
      <c r="G14" s="33">
        <f>IF(E14="","",E14-D14)</f>
        <v>9.0500522581918319E-3</v>
      </c>
    </row>
    <row r="15" spans="1:7" x14ac:dyDescent="0.25">
      <c r="A15" s="15" t="s">
        <v>461</v>
      </c>
      <c r="B15" s="21">
        <f>EBITDA!D26</f>
        <v>8680</v>
      </c>
      <c r="C15" s="21">
        <f>EBITDA!H26</f>
        <v>9537</v>
      </c>
      <c r="D15" s="21">
        <f>EBITDA!I26</f>
        <v>9409.5499999999993</v>
      </c>
      <c r="E15" s="21">
        <v>9620</v>
      </c>
      <c r="F15" s="29">
        <f>IF(E15="","",E15/B15-1)</f>
        <v>0.10829493087557607</v>
      </c>
      <c r="G15" s="33">
        <f>IF(E15="","",E15/D15-1)</f>
        <v>2.2365575399461157E-2</v>
      </c>
    </row>
    <row r="16" spans="1:7" x14ac:dyDescent="0.25">
      <c r="A16" s="16" t="s">
        <v>462</v>
      </c>
      <c r="B16" s="22">
        <f>B15/B6</f>
        <v>0.4758511046543501</v>
      </c>
      <c r="C16" s="22">
        <f>C15/C6</f>
        <v>0.5023968814202181</v>
      </c>
      <c r="D16" s="22">
        <f>D15/D6</f>
        <v>0.48723875685519713</v>
      </c>
      <c r="E16" s="22">
        <f>IF(E15="","",E15/E6)</f>
        <v>0.49651612903225806</v>
      </c>
      <c r="F16" s="29">
        <f>IF(E16="","",E16-B16)</f>
        <v>2.0665024377907959E-2</v>
      </c>
      <c r="G16" s="33">
        <f>IF(E16="","",E16-D16)</f>
        <v>9.2773721770609274E-3</v>
      </c>
    </row>
    <row r="17" spans="1:17" x14ac:dyDescent="0.25">
      <c r="A17" s="16" t="s">
        <v>463</v>
      </c>
      <c r="B17" s="21">
        <f>'Cash flow'!D25</f>
        <v>2639</v>
      </c>
      <c r="C17" s="21">
        <f>'Cash flow'!H25</f>
        <v>2703</v>
      </c>
      <c r="D17" s="21">
        <f>'Cash flow'!I25</f>
        <v>2425.62</v>
      </c>
      <c r="E17" s="21">
        <v>2270</v>
      </c>
      <c r="F17" s="29">
        <f>IF(E17="","",E17/B17-1)</f>
        <v>-0.13982569154982949</v>
      </c>
      <c r="G17" s="33">
        <f>IF(E17="","",E17/D17-1)</f>
        <v>-6.4156792902433146E-2</v>
      </c>
    </row>
    <row r="18" spans="1:17" x14ac:dyDescent="0.25">
      <c r="A18" s="16" t="s">
        <v>464</v>
      </c>
      <c r="B18" s="21">
        <f>'Cash flow'!D54</f>
        <v>4818</v>
      </c>
      <c r="C18" s="21">
        <f>'Cash flow'!H54</f>
        <v>4797</v>
      </c>
      <c r="D18" s="21">
        <f>'Cash flow'!I54</f>
        <v>4859.12</v>
      </c>
      <c r="E18" s="21">
        <v>5071</v>
      </c>
      <c r="F18" s="29">
        <f>IF(E18="","",E18/B18-1)</f>
        <v>5.2511415525114069E-2</v>
      </c>
      <c r="G18" s="33">
        <f>IF(E18="","",E18/D18-1)</f>
        <v>4.3604603302655587E-2</v>
      </c>
    </row>
    <row r="19" spans="1:17" x14ac:dyDescent="0.25">
      <c r="A19" s="14" t="s">
        <v>465</v>
      </c>
      <c r="B19" s="23">
        <f>'Income statement'!D47</f>
        <v>2.41</v>
      </c>
      <c r="C19" s="23">
        <f>'Income statement'!H47</f>
        <v>2.99</v>
      </c>
      <c r="D19" s="23">
        <f>'Income statement'!I47</f>
        <v>2.92</v>
      </c>
      <c r="E19" s="23">
        <v>3.22</v>
      </c>
      <c r="F19" s="28">
        <f>IF(E19="","",E19/B19-1)</f>
        <v>0.33609958506224058</v>
      </c>
      <c r="G19" s="32">
        <f>IF(E19="","",E19/D19-1)</f>
        <v>0.10273972602739745</v>
      </c>
    </row>
    <row r="20" spans="1:17" x14ac:dyDescent="0.25">
      <c r="A20" s="16"/>
      <c r="B20" s="24"/>
      <c r="C20" s="24"/>
      <c r="D20" s="24"/>
      <c r="E20" s="24"/>
      <c r="F20" s="24"/>
      <c r="G20" s="34"/>
    </row>
    <row r="21" spans="1:17" x14ac:dyDescent="0.25">
      <c r="A21" s="17" t="s">
        <v>466</v>
      </c>
      <c r="B21" s="25"/>
      <c r="C21" s="25"/>
      <c r="D21" s="25"/>
      <c r="E21" s="25"/>
      <c r="F21" s="25"/>
      <c r="G21" s="35"/>
    </row>
    <row r="22" spans="1:17" x14ac:dyDescent="0.25">
      <c r="A22" s="16" t="s">
        <v>467</v>
      </c>
      <c r="B22" s="21">
        <f>Retail!D69</f>
        <v>396</v>
      </c>
      <c r="C22" s="21">
        <f>Retail!H69</f>
        <v>277</v>
      </c>
      <c r="D22" s="21">
        <f>Retail!I69</f>
        <v>251.92</v>
      </c>
      <c r="E22" s="21">
        <v>274</v>
      </c>
      <c r="F22" s="29">
        <f>IF(E22="","",E22/B22-1)</f>
        <v>-0.30808080808080807</v>
      </c>
      <c r="G22" s="33">
        <f>IF(E22="","",E22/D22-1)</f>
        <v>8.7646872022864475E-2</v>
      </c>
    </row>
    <row r="23" spans="1:17" x14ac:dyDescent="0.25">
      <c r="A23" s="16" t="s">
        <v>468</v>
      </c>
      <c r="B23" s="26">
        <f>Retail!D63</f>
        <v>149.44</v>
      </c>
      <c r="C23" s="26">
        <f>Retail!H63</f>
        <v>152.91</v>
      </c>
      <c r="D23" s="26">
        <f>Retail!I63</f>
        <v>153.96</v>
      </c>
      <c r="E23" s="26">
        <v>155.72999999999999</v>
      </c>
      <c r="F23" s="29">
        <f>IF(E23="","",E23/B23-1)</f>
        <v>4.2090471092077086E-2</v>
      </c>
      <c r="G23" s="33">
        <f>IF(E23="","",E23/D23-1)</f>
        <v>1.1496492595479246E-2</v>
      </c>
    </row>
    <row r="24" spans="1:17" ht="15.75" thickBot="1" x14ac:dyDescent="0.3">
      <c r="A24" s="18" t="s">
        <v>469</v>
      </c>
      <c r="B24" s="27" t="str">
        <f>Retail!D67</f>
        <v>0.97%</v>
      </c>
      <c r="C24" s="27" t="str">
        <f>Retail!H67</f>
        <v>0.99%</v>
      </c>
      <c r="D24" s="27" t="str">
        <f>Retail!I67</f>
        <v>1.05%</v>
      </c>
      <c r="E24" s="27">
        <v>1.09E-2</v>
      </c>
      <c r="F24" s="30">
        <f>IF(E24="","",E24-B24)</f>
        <v>1.1999999999999997E-3</v>
      </c>
      <c r="G24" s="36">
        <f>IF(E24="","",E24-D24)</f>
        <v>3.9999999999999931E-4</v>
      </c>
    </row>
    <row r="26" spans="1:17" x14ac:dyDescent="0.25">
      <c r="A26" s="37" t="s">
        <v>470</v>
      </c>
    </row>
    <row r="32" spans="1:17" x14ac:dyDescent="0.25">
      <c r="Q32" s="46" t="s">
        <v>517</v>
      </c>
    </row>
    <row r="33" spans="17:17" x14ac:dyDescent="0.25">
      <c r="Q33" t="s">
        <v>518</v>
      </c>
    </row>
    <row r="34" spans="17:17" x14ac:dyDescent="0.25">
      <c r="Q34" t="s">
        <v>519</v>
      </c>
    </row>
    <row r="35" spans="17:17" x14ac:dyDescent="0.25">
      <c r="Q35" t="s">
        <v>520</v>
      </c>
    </row>
    <row r="36" spans="17:17" x14ac:dyDescent="0.25">
      <c r="Q36" t="s">
        <v>521</v>
      </c>
    </row>
    <row r="37" spans="17:17" x14ac:dyDescent="0.25">
      <c r="Q37" t="s">
        <v>522</v>
      </c>
    </row>
    <row r="38" spans="17:17" x14ac:dyDescent="0.25">
      <c r="Q38" t="s">
        <v>523</v>
      </c>
    </row>
    <row r="39" spans="17:17" x14ac:dyDescent="0.25">
      <c r="Q39" t="s">
        <v>524</v>
      </c>
    </row>
    <row r="40" spans="17:17" x14ac:dyDescent="0.25">
      <c r="Q40" t="s">
        <v>525</v>
      </c>
    </row>
    <row r="41" spans="17:17" x14ac:dyDescent="0.25">
      <c r="Q41" t="s">
        <v>526</v>
      </c>
    </row>
    <row r="42" spans="17:17" x14ac:dyDescent="0.25">
      <c r="Q42" t="s">
        <v>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9AF0-5D7B-4B40-97BD-5719A5C5C9CB}">
  <dimension ref="A1:A54"/>
  <sheetViews>
    <sheetView showGridLines="0" topLeftCell="A13" workbookViewId="0">
      <selection activeCell="A51" sqref="A51"/>
    </sheetView>
  </sheetViews>
  <sheetFormatPr defaultRowHeight="15" x14ac:dyDescent="0.25"/>
  <cols>
    <col min="1" max="1" width="144.7109375" customWidth="1"/>
  </cols>
  <sheetData>
    <row r="1" spans="1:1" ht="18.75" x14ac:dyDescent="0.3">
      <c r="A1" s="38" t="s">
        <v>514</v>
      </c>
    </row>
    <row r="2" spans="1:1" x14ac:dyDescent="0.25">
      <c r="A2" s="39" t="s">
        <v>515</v>
      </c>
    </row>
    <row r="3" spans="1:1" x14ac:dyDescent="0.25">
      <c r="A3" s="40" t="s">
        <v>516</v>
      </c>
    </row>
    <row r="4" spans="1:1" ht="15.75" thickBot="1" x14ac:dyDescent="0.3"/>
    <row r="5" spans="1:1" x14ac:dyDescent="0.25">
      <c r="A5" s="41" t="s">
        <v>471</v>
      </c>
    </row>
    <row r="6" spans="1:1" ht="60" x14ac:dyDescent="0.25">
      <c r="A6" s="42" t="s">
        <v>472</v>
      </c>
    </row>
    <row r="7" spans="1:1" x14ac:dyDescent="0.25">
      <c r="A7" s="42"/>
    </row>
    <row r="8" spans="1:1" x14ac:dyDescent="0.25">
      <c r="A8" s="43" t="s">
        <v>473</v>
      </c>
    </row>
    <row r="9" spans="1:1" ht="30" x14ac:dyDescent="0.25">
      <c r="A9" s="42" t="s">
        <v>474</v>
      </c>
    </row>
    <row r="10" spans="1:1" ht="30" x14ac:dyDescent="0.25">
      <c r="A10" s="42" t="s">
        <v>475</v>
      </c>
    </row>
    <row r="11" spans="1:1" x14ac:dyDescent="0.25">
      <c r="A11" s="42"/>
    </row>
    <row r="12" spans="1:1" x14ac:dyDescent="0.25">
      <c r="A12" s="43" t="s">
        <v>476</v>
      </c>
    </row>
    <row r="13" spans="1:1" x14ac:dyDescent="0.25">
      <c r="A13" s="42" t="s">
        <v>477</v>
      </c>
    </row>
    <row r="14" spans="1:1" x14ac:dyDescent="0.25">
      <c r="A14" s="42" t="s">
        <v>478</v>
      </c>
    </row>
    <row r="15" spans="1:1" x14ac:dyDescent="0.25">
      <c r="A15" s="42" t="s">
        <v>479</v>
      </c>
    </row>
    <row r="16" spans="1:1" x14ac:dyDescent="0.25">
      <c r="A16" s="42" t="s">
        <v>480</v>
      </c>
    </row>
    <row r="17" spans="1:1" x14ac:dyDescent="0.25">
      <c r="A17" s="42" t="s">
        <v>481</v>
      </c>
    </row>
    <row r="18" spans="1:1" x14ac:dyDescent="0.25">
      <c r="A18" s="42" t="s">
        <v>482</v>
      </c>
    </row>
    <row r="19" spans="1:1" x14ac:dyDescent="0.25">
      <c r="A19" s="42" t="s">
        <v>483</v>
      </c>
    </row>
    <row r="20" spans="1:1" x14ac:dyDescent="0.25">
      <c r="A20" s="42" t="s">
        <v>484</v>
      </c>
    </row>
    <row r="21" spans="1:1" x14ac:dyDescent="0.25">
      <c r="A21" s="42" t="s">
        <v>485</v>
      </c>
    </row>
    <row r="22" spans="1:1" x14ac:dyDescent="0.25">
      <c r="A22" s="42" t="s">
        <v>486</v>
      </c>
    </row>
    <row r="23" spans="1:1" x14ac:dyDescent="0.25">
      <c r="A23" s="42" t="s">
        <v>487</v>
      </c>
    </row>
    <row r="24" spans="1:1" x14ac:dyDescent="0.25">
      <c r="A24" s="42" t="s">
        <v>488</v>
      </c>
    </row>
    <row r="25" spans="1:1" x14ac:dyDescent="0.25">
      <c r="A25" s="42" t="s">
        <v>489</v>
      </c>
    </row>
    <row r="26" spans="1:1" x14ac:dyDescent="0.25">
      <c r="A26" s="42" t="s">
        <v>490</v>
      </c>
    </row>
    <row r="27" spans="1:1" x14ac:dyDescent="0.25">
      <c r="A27" s="42" t="s">
        <v>491</v>
      </c>
    </row>
    <row r="28" spans="1:1" x14ac:dyDescent="0.25">
      <c r="A28" s="42" t="s">
        <v>492</v>
      </c>
    </row>
    <row r="29" spans="1:1" x14ac:dyDescent="0.25">
      <c r="A29" s="42" t="s">
        <v>493</v>
      </c>
    </row>
    <row r="30" spans="1:1" ht="30" x14ac:dyDescent="0.25">
      <c r="A30" s="42" t="s">
        <v>494</v>
      </c>
    </row>
    <row r="31" spans="1:1" x14ac:dyDescent="0.25">
      <c r="A31" s="42"/>
    </row>
    <row r="32" spans="1:1" x14ac:dyDescent="0.25">
      <c r="A32" s="43" t="s">
        <v>495</v>
      </c>
    </row>
    <row r="33" spans="1:1" x14ac:dyDescent="0.25">
      <c r="A33" s="42" t="s">
        <v>496</v>
      </c>
    </row>
    <row r="34" spans="1:1" ht="30" x14ac:dyDescent="0.25">
      <c r="A34" s="42" t="s">
        <v>497</v>
      </c>
    </row>
    <row r="35" spans="1:1" x14ac:dyDescent="0.25">
      <c r="A35" s="42" t="s">
        <v>498</v>
      </c>
    </row>
    <row r="36" spans="1:1" x14ac:dyDescent="0.25">
      <c r="A36" s="42"/>
    </row>
    <row r="37" spans="1:1" x14ac:dyDescent="0.25">
      <c r="A37" s="43" t="s">
        <v>499</v>
      </c>
    </row>
    <row r="38" spans="1:1" ht="45" x14ac:dyDescent="0.25">
      <c r="A38" s="42" t="s">
        <v>500</v>
      </c>
    </row>
    <row r="39" spans="1:1" x14ac:dyDescent="0.25">
      <c r="A39" s="42"/>
    </row>
    <row r="40" spans="1:1" x14ac:dyDescent="0.25">
      <c r="A40" s="43" t="s">
        <v>501</v>
      </c>
    </row>
    <row r="41" spans="1:1" ht="30" x14ac:dyDescent="0.25">
      <c r="A41" s="42" t="s">
        <v>502</v>
      </c>
    </row>
    <row r="42" spans="1:1" x14ac:dyDescent="0.25">
      <c r="A42" s="42"/>
    </row>
    <row r="43" spans="1:1" x14ac:dyDescent="0.25">
      <c r="A43" s="43" t="s">
        <v>503</v>
      </c>
    </row>
    <row r="44" spans="1:1" ht="30" x14ac:dyDescent="0.25">
      <c r="A44" s="42" t="s">
        <v>504</v>
      </c>
    </row>
    <row r="45" spans="1:1" x14ac:dyDescent="0.25">
      <c r="A45" s="42" t="s">
        <v>505</v>
      </c>
    </row>
    <row r="46" spans="1:1" ht="30" x14ac:dyDescent="0.25">
      <c r="A46" s="42" t="s">
        <v>506</v>
      </c>
    </row>
    <row r="47" spans="1:1" x14ac:dyDescent="0.25">
      <c r="A47" s="42" t="s">
        <v>507</v>
      </c>
    </row>
    <row r="48" spans="1:1" x14ac:dyDescent="0.25">
      <c r="A48" s="42" t="s">
        <v>508</v>
      </c>
    </row>
    <row r="49" spans="1:1" ht="30" x14ac:dyDescent="0.25">
      <c r="A49" s="42" t="s">
        <v>509</v>
      </c>
    </row>
    <row r="50" spans="1:1" x14ac:dyDescent="0.25">
      <c r="A50" s="42" t="s">
        <v>510</v>
      </c>
    </row>
    <row r="51" spans="1:1" ht="30" x14ac:dyDescent="0.25">
      <c r="A51" s="42" t="s">
        <v>511</v>
      </c>
    </row>
    <row r="52" spans="1:1" x14ac:dyDescent="0.25">
      <c r="A52" s="42"/>
    </row>
    <row r="53" spans="1:1" x14ac:dyDescent="0.25">
      <c r="A53" s="43" t="s">
        <v>512</v>
      </c>
    </row>
    <row r="54" spans="1:1" ht="30.75" thickBot="1" x14ac:dyDescent="0.3">
      <c r="A54" s="44" t="s">
        <v>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2929-3810-4C5A-887E-384940CC5D15}">
  <sheetPr>
    <tabColor theme="4"/>
  </sheetPr>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4975-B4A8-40A2-ACB5-A442A8A2430A}">
  <dimension ref="A1:AE110"/>
  <sheetViews>
    <sheetView topLeftCell="A67" workbookViewId="0">
      <selection sqref="A1:D1"/>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5"/>
      <c r="B1" s="45"/>
      <c r="C1" s="45"/>
      <c r="D1" s="45"/>
    </row>
    <row r="2" spans="1:31" ht="30" customHeight="1" x14ac:dyDescent="0.3">
      <c r="A2" s="1" t="s">
        <v>263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4" t="s">
        <v>441</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440</v>
      </c>
      <c r="B17" s="9">
        <v>79013</v>
      </c>
      <c r="C17" s="9">
        <v>79508</v>
      </c>
      <c r="D17" s="9">
        <v>80338</v>
      </c>
      <c r="E17" s="9">
        <v>84632</v>
      </c>
      <c r="F17" s="9">
        <v>79013</v>
      </c>
      <c r="G17" s="9">
        <v>85594</v>
      </c>
      <c r="H17" s="9">
        <v>85882.28</v>
      </c>
      <c r="I17" s="9">
        <v>86535.63</v>
      </c>
      <c r="J17" s="9">
        <v>87252.4</v>
      </c>
      <c r="K17" s="9">
        <v>85485.82</v>
      </c>
      <c r="L17" s="9">
        <v>88143.33</v>
      </c>
      <c r="M17" s="9">
        <v>88512.62</v>
      </c>
      <c r="N17" s="9">
        <v>89135.84</v>
      </c>
      <c r="O17" s="9">
        <v>89811.76</v>
      </c>
      <c r="P17" s="9">
        <v>88053.8</v>
      </c>
      <c r="Q17" s="9">
        <v>90439.98</v>
      </c>
      <c r="R17" s="9">
        <v>90737.08</v>
      </c>
      <c r="S17" s="9">
        <v>91258.98</v>
      </c>
      <c r="T17" s="9">
        <v>91894.31</v>
      </c>
      <c r="U17" s="9">
        <v>90384.87</v>
      </c>
      <c r="V17" s="9">
        <v>92459.839999999997</v>
      </c>
      <c r="W17" s="9">
        <v>92693.93</v>
      </c>
      <c r="X17" s="9">
        <v>93165.3</v>
      </c>
      <c r="Y17" s="9">
        <v>93739.28</v>
      </c>
      <c r="Z17" s="9">
        <v>92457.91</v>
      </c>
      <c r="AA17" s="9">
        <v>94316.88</v>
      </c>
      <c r="AB17" s="9">
        <v>94536.12</v>
      </c>
      <c r="AC17" s="9">
        <v>94965.13</v>
      </c>
      <c r="AD17" s="9">
        <v>95459.31</v>
      </c>
      <c r="AE17" s="9">
        <v>94397.64</v>
      </c>
    </row>
    <row r="18" spans="1:31" x14ac:dyDescent="0.25">
      <c r="A18" s="3" t="s">
        <v>439</v>
      </c>
      <c r="B18" s="9">
        <v>2658.81</v>
      </c>
      <c r="C18" s="9">
        <v>2987.92</v>
      </c>
      <c r="D18" s="9">
        <v>3209.35</v>
      </c>
      <c r="E18" s="9">
        <v>3566.46</v>
      </c>
      <c r="F18" s="9">
        <v>12422.54</v>
      </c>
      <c r="G18" s="9">
        <v>2794.57</v>
      </c>
      <c r="H18" s="9">
        <v>2897.53</v>
      </c>
      <c r="I18" s="9">
        <v>3083.33</v>
      </c>
      <c r="J18" s="9">
        <v>3381.73</v>
      </c>
      <c r="K18" s="9">
        <v>12168.93</v>
      </c>
      <c r="L18" s="9">
        <v>2802.36</v>
      </c>
      <c r="M18" s="9">
        <v>2903.16</v>
      </c>
      <c r="N18" s="9">
        <v>3109.06</v>
      </c>
      <c r="O18" s="9">
        <v>3390.43</v>
      </c>
      <c r="P18" s="9">
        <v>12193.18</v>
      </c>
      <c r="Q18" s="9">
        <v>2830.47</v>
      </c>
      <c r="R18" s="9">
        <v>2858.25</v>
      </c>
      <c r="S18" s="9">
        <v>3135.66</v>
      </c>
      <c r="T18" s="9">
        <v>3400.81</v>
      </c>
      <c r="U18" s="9">
        <v>12256.73</v>
      </c>
      <c r="V18" s="9">
        <v>2847.79</v>
      </c>
      <c r="W18" s="9">
        <v>2874.29</v>
      </c>
      <c r="X18" s="9">
        <v>3139.84</v>
      </c>
      <c r="Y18" s="9">
        <v>3428.81</v>
      </c>
      <c r="Z18" s="9">
        <v>12358.37</v>
      </c>
      <c r="AA18" s="9">
        <v>2870.67</v>
      </c>
      <c r="AB18" s="9">
        <v>2869.02</v>
      </c>
      <c r="AC18" s="9">
        <v>3145.6</v>
      </c>
      <c r="AD18" s="9">
        <v>3409.1</v>
      </c>
      <c r="AE18" s="9">
        <v>12415.56</v>
      </c>
    </row>
    <row r="19" spans="1:31" x14ac:dyDescent="0.25">
      <c r="A19" s="3" t="s">
        <v>438</v>
      </c>
      <c r="B19" s="8" t="s">
        <v>435</v>
      </c>
      <c r="C19" s="8" t="s">
        <v>355</v>
      </c>
      <c r="D19" s="8" t="s">
        <v>437</v>
      </c>
      <c r="E19" s="8" t="s">
        <v>387</v>
      </c>
      <c r="F19" s="8" t="s">
        <v>430</v>
      </c>
      <c r="G19" s="8" t="s">
        <v>368</v>
      </c>
      <c r="H19" s="8" t="s">
        <v>436</v>
      </c>
      <c r="I19" s="8" t="s">
        <v>435</v>
      </c>
      <c r="J19" s="8" t="s">
        <v>365</v>
      </c>
      <c r="K19" s="8" t="s">
        <v>430</v>
      </c>
      <c r="L19" s="8" t="s">
        <v>430</v>
      </c>
      <c r="M19" s="8" t="s">
        <v>434</v>
      </c>
      <c r="N19" s="8" t="s">
        <v>367</v>
      </c>
      <c r="O19" s="8" t="s">
        <v>365</v>
      </c>
      <c r="P19" s="8" t="s">
        <v>367</v>
      </c>
      <c r="Q19" s="8" t="s">
        <v>430</v>
      </c>
      <c r="R19" s="8" t="s">
        <v>434</v>
      </c>
      <c r="S19" s="8" t="s">
        <v>367</v>
      </c>
      <c r="T19" s="8" t="s">
        <v>433</v>
      </c>
      <c r="U19" s="8" t="s">
        <v>367</v>
      </c>
      <c r="V19" s="8" t="s">
        <v>368</v>
      </c>
      <c r="W19" s="8" t="s">
        <v>432</v>
      </c>
      <c r="X19" s="8" t="s">
        <v>430</v>
      </c>
      <c r="Y19" s="8" t="s">
        <v>387</v>
      </c>
      <c r="Z19" s="8" t="s">
        <v>430</v>
      </c>
      <c r="AA19" s="8" t="s">
        <v>368</v>
      </c>
      <c r="AB19" s="8" t="s">
        <v>431</v>
      </c>
      <c r="AC19" s="8" t="s">
        <v>430</v>
      </c>
      <c r="AD19" s="8" t="s">
        <v>384</v>
      </c>
      <c r="AE19" s="8" t="s">
        <v>367</v>
      </c>
    </row>
    <row r="20" spans="1:31" x14ac:dyDescent="0.25">
      <c r="A20" s="3" t="s">
        <v>429</v>
      </c>
      <c r="B20" s="9">
        <v>2163.81</v>
      </c>
      <c r="C20" s="9">
        <v>2157.92</v>
      </c>
      <c r="D20" s="9">
        <v>2202.35</v>
      </c>
      <c r="E20" s="9">
        <v>2604.46</v>
      </c>
      <c r="F20" s="9">
        <v>9128.5400000000009</v>
      </c>
      <c r="G20" s="9">
        <v>2394.4699999999998</v>
      </c>
      <c r="H20" s="9">
        <v>2257.0100000000002</v>
      </c>
      <c r="I20" s="9">
        <v>2376.52</v>
      </c>
      <c r="J20" s="9">
        <v>2603.04</v>
      </c>
      <c r="K20" s="9">
        <v>9627.26</v>
      </c>
      <c r="L20" s="9">
        <v>2460.69</v>
      </c>
      <c r="M20" s="9">
        <v>2304.2600000000002</v>
      </c>
      <c r="N20" s="9">
        <v>2464.2399999999998</v>
      </c>
      <c r="O20" s="9">
        <v>2675.1</v>
      </c>
      <c r="P20" s="9">
        <v>9826.75</v>
      </c>
      <c r="Q20" s="9">
        <v>2533.41</v>
      </c>
      <c r="R20" s="9">
        <v>2371.61</v>
      </c>
      <c r="S20" s="9">
        <v>2537.6999999999998</v>
      </c>
      <c r="T20" s="9">
        <v>2776.86</v>
      </c>
      <c r="U20" s="9">
        <v>10097.61</v>
      </c>
      <c r="V20" s="9">
        <v>2612.6999999999998</v>
      </c>
      <c r="W20" s="9">
        <v>2443.91</v>
      </c>
      <c r="X20" s="9">
        <v>2608.86</v>
      </c>
      <c r="Y20" s="9">
        <v>2873.63</v>
      </c>
      <c r="Z20" s="9">
        <v>10357.84</v>
      </c>
      <c r="AA20" s="9">
        <v>2651.43</v>
      </c>
      <c r="AB20" s="9">
        <v>2440.0100000000002</v>
      </c>
      <c r="AC20" s="9">
        <v>2651.42</v>
      </c>
      <c r="AD20" s="9">
        <v>2888.62</v>
      </c>
      <c r="AE20" s="9">
        <v>10501.53</v>
      </c>
    </row>
    <row r="21" spans="1:31" x14ac:dyDescent="0.25">
      <c r="A21" s="4" t="s">
        <v>428</v>
      </c>
      <c r="B21" s="9">
        <v>495</v>
      </c>
      <c r="C21" s="9">
        <v>830</v>
      </c>
      <c r="D21" s="9">
        <v>1007</v>
      </c>
      <c r="E21" s="9">
        <v>962</v>
      </c>
      <c r="F21" s="9">
        <v>3294</v>
      </c>
      <c r="G21" s="9">
        <v>406.03</v>
      </c>
      <c r="H21" s="9">
        <v>653.35</v>
      </c>
      <c r="I21" s="9">
        <v>712.79</v>
      </c>
      <c r="J21" s="9">
        <v>780.14</v>
      </c>
      <c r="K21" s="9">
        <v>2554.04</v>
      </c>
      <c r="L21" s="9">
        <v>369.29</v>
      </c>
      <c r="M21" s="9">
        <v>623.23</v>
      </c>
      <c r="N21" s="9">
        <v>675.91</v>
      </c>
      <c r="O21" s="9">
        <v>734.29</v>
      </c>
      <c r="P21" s="9">
        <v>2341.7800000000002</v>
      </c>
      <c r="Q21" s="9">
        <v>297.10000000000002</v>
      </c>
      <c r="R21" s="9">
        <v>521.91</v>
      </c>
      <c r="S21" s="9">
        <v>635.32000000000005</v>
      </c>
      <c r="T21" s="9">
        <v>656.46</v>
      </c>
      <c r="U21" s="9">
        <v>2120.46</v>
      </c>
      <c r="V21" s="9">
        <v>234.08</v>
      </c>
      <c r="W21" s="9">
        <v>471.38</v>
      </c>
      <c r="X21" s="9">
        <v>573.98</v>
      </c>
      <c r="Y21" s="9">
        <v>592.17999999999995</v>
      </c>
      <c r="Z21" s="9">
        <v>1939.13</v>
      </c>
      <c r="AA21" s="9">
        <v>219.23</v>
      </c>
      <c r="AB21" s="9">
        <v>429.01</v>
      </c>
      <c r="AC21" s="9">
        <v>494.18</v>
      </c>
      <c r="AD21" s="9">
        <v>520.48</v>
      </c>
      <c r="AE21" s="9">
        <v>1799.95</v>
      </c>
    </row>
    <row r="22" spans="1:31" x14ac:dyDescent="0.25">
      <c r="A22" s="3" t="s">
        <v>427</v>
      </c>
      <c r="B22" s="8" t="s">
        <v>54</v>
      </c>
      <c r="C22" s="8" t="s">
        <v>54</v>
      </c>
      <c r="D22" s="9">
        <v>3287</v>
      </c>
      <c r="E22" s="8" t="s">
        <v>54</v>
      </c>
      <c r="F22" s="9">
        <v>3287</v>
      </c>
      <c r="G22" s="10">
        <v>-45.1</v>
      </c>
      <c r="H22" s="8" t="s">
        <v>54</v>
      </c>
      <c r="I22" s="9">
        <v>63.59</v>
      </c>
      <c r="J22" s="8" t="s">
        <v>54</v>
      </c>
      <c r="K22" s="10">
        <v>-4.54</v>
      </c>
      <c r="L22" s="8" t="s">
        <v>54</v>
      </c>
      <c r="M22" s="8" t="s">
        <v>54</v>
      </c>
      <c r="N22" s="8" t="s">
        <v>54</v>
      </c>
      <c r="O22" s="8" t="s">
        <v>54</v>
      </c>
      <c r="P22" s="9">
        <v>3.85</v>
      </c>
      <c r="Q22" s="8" t="s">
        <v>54</v>
      </c>
      <c r="R22" s="8" t="s">
        <v>54</v>
      </c>
      <c r="S22" s="8" t="s">
        <v>54</v>
      </c>
      <c r="T22" s="8" t="s">
        <v>54</v>
      </c>
      <c r="U22" s="8" t="s">
        <v>54</v>
      </c>
      <c r="V22" s="8" t="s">
        <v>54</v>
      </c>
      <c r="W22" s="8" t="s">
        <v>54</v>
      </c>
      <c r="X22" s="8" t="s">
        <v>54</v>
      </c>
      <c r="Y22" s="8" t="s">
        <v>54</v>
      </c>
      <c r="Z22" s="8" t="s">
        <v>54</v>
      </c>
      <c r="AA22" s="8" t="s">
        <v>54</v>
      </c>
      <c r="AB22" s="8" t="s">
        <v>54</v>
      </c>
      <c r="AC22" s="8" t="s">
        <v>54</v>
      </c>
      <c r="AD22" s="8" t="s">
        <v>54</v>
      </c>
      <c r="AE22" s="8" t="s">
        <v>54</v>
      </c>
    </row>
    <row r="23" spans="1:31" x14ac:dyDescent="0.25">
      <c r="A23" s="4" t="s">
        <v>426</v>
      </c>
      <c r="B23" s="9">
        <v>495</v>
      </c>
      <c r="C23" s="9">
        <v>830</v>
      </c>
      <c r="D23" s="9">
        <v>4294</v>
      </c>
      <c r="E23" s="9">
        <v>962</v>
      </c>
      <c r="F23" s="9">
        <v>6581</v>
      </c>
      <c r="G23" s="9">
        <v>403.21</v>
      </c>
      <c r="H23" s="9">
        <v>653.35</v>
      </c>
      <c r="I23" s="9">
        <v>716.77</v>
      </c>
      <c r="J23" s="9">
        <v>780.14</v>
      </c>
      <c r="K23" s="9">
        <v>2567.9699999999998</v>
      </c>
      <c r="L23" s="9">
        <v>369.29</v>
      </c>
      <c r="M23" s="9">
        <v>623.23</v>
      </c>
      <c r="N23" s="9">
        <v>675.91</v>
      </c>
      <c r="O23" s="9">
        <v>734.29</v>
      </c>
      <c r="P23" s="9">
        <v>2351.31</v>
      </c>
      <c r="Q23" s="9">
        <v>297.10000000000002</v>
      </c>
      <c r="R23" s="9">
        <v>521.91</v>
      </c>
      <c r="S23" s="9">
        <v>635.32000000000005</v>
      </c>
      <c r="T23" s="9">
        <v>656.46</v>
      </c>
      <c r="U23" s="9">
        <v>2144.1799999999998</v>
      </c>
      <c r="V23" s="9">
        <v>234.08</v>
      </c>
      <c r="W23" s="9">
        <v>471.38</v>
      </c>
      <c r="X23" s="9">
        <v>573.98</v>
      </c>
      <c r="Y23" s="9">
        <v>592.17999999999995</v>
      </c>
      <c r="Z23" s="9">
        <v>1939.13</v>
      </c>
      <c r="AA23" s="9">
        <v>219.23</v>
      </c>
      <c r="AB23" s="9">
        <v>429.01</v>
      </c>
      <c r="AC23" s="9">
        <v>494.18</v>
      </c>
      <c r="AD23" s="9">
        <v>520.48</v>
      </c>
      <c r="AE23" s="9">
        <v>1799.95</v>
      </c>
    </row>
    <row r="24" spans="1:31" x14ac:dyDescent="0.25">
      <c r="A24" s="4" t="s">
        <v>425</v>
      </c>
      <c r="B24" s="9">
        <v>79508</v>
      </c>
      <c r="C24" s="9">
        <v>80338</v>
      </c>
      <c r="D24" s="9">
        <v>84632</v>
      </c>
      <c r="E24" s="9">
        <v>85594</v>
      </c>
      <c r="F24" s="9">
        <v>85594</v>
      </c>
      <c r="G24" s="9">
        <v>85882.28</v>
      </c>
      <c r="H24" s="9">
        <v>86535.63</v>
      </c>
      <c r="I24" s="9">
        <v>87252.4</v>
      </c>
      <c r="J24" s="9">
        <v>88032.54</v>
      </c>
      <c r="K24" s="9">
        <v>88053.8</v>
      </c>
      <c r="L24" s="9">
        <v>88512.62</v>
      </c>
      <c r="M24" s="9">
        <v>89135.84</v>
      </c>
      <c r="N24" s="9">
        <v>89811.76</v>
      </c>
      <c r="O24" s="9">
        <v>90546.04</v>
      </c>
      <c r="P24" s="9">
        <v>90405.11</v>
      </c>
      <c r="Q24" s="9">
        <v>90737.08</v>
      </c>
      <c r="R24" s="9">
        <v>91258.98</v>
      </c>
      <c r="S24" s="9">
        <v>91894.31</v>
      </c>
      <c r="T24" s="9">
        <v>92550.77</v>
      </c>
      <c r="U24" s="9">
        <v>92529.05</v>
      </c>
      <c r="V24" s="9">
        <v>92693.93</v>
      </c>
      <c r="W24" s="9">
        <v>93165.3</v>
      </c>
      <c r="X24" s="9">
        <v>93739.28</v>
      </c>
      <c r="Y24" s="9">
        <v>94331.47</v>
      </c>
      <c r="Z24" s="9">
        <v>94397.04</v>
      </c>
      <c r="AA24" s="9">
        <v>94536.12</v>
      </c>
      <c r="AB24" s="9">
        <v>94965.13</v>
      </c>
      <c r="AC24" s="9">
        <v>95459.31</v>
      </c>
      <c r="AD24" s="9">
        <v>95979.79</v>
      </c>
      <c r="AE24" s="9">
        <v>96197.59</v>
      </c>
    </row>
    <row r="25" spans="1:31" x14ac:dyDescent="0.25">
      <c r="A25" s="3" t="s">
        <v>424</v>
      </c>
      <c r="B25" s="9">
        <v>79260.5</v>
      </c>
      <c r="C25" s="9">
        <v>79923</v>
      </c>
      <c r="D25" s="9">
        <v>82485</v>
      </c>
      <c r="E25" s="9">
        <v>85113</v>
      </c>
      <c r="F25" s="9">
        <v>82303.5</v>
      </c>
      <c r="G25" s="9">
        <v>85680.67</v>
      </c>
      <c r="H25" s="9">
        <v>86208.95</v>
      </c>
      <c r="I25" s="9">
        <v>86894.01</v>
      </c>
      <c r="J25" s="9">
        <v>87642.47</v>
      </c>
      <c r="K25" s="9">
        <v>86718.28</v>
      </c>
      <c r="L25" s="9">
        <v>88327.98</v>
      </c>
      <c r="M25" s="9">
        <v>88824.23</v>
      </c>
      <c r="N25" s="9">
        <v>89473.8</v>
      </c>
      <c r="O25" s="9">
        <v>90178.9</v>
      </c>
      <c r="P25" s="9">
        <v>89208.320000000007</v>
      </c>
      <c r="Q25" s="9">
        <v>90588.53</v>
      </c>
      <c r="R25" s="9">
        <v>90998.03</v>
      </c>
      <c r="S25" s="9">
        <v>91576.65</v>
      </c>
      <c r="T25" s="9">
        <v>92222.54</v>
      </c>
      <c r="U25" s="9">
        <v>91442.67</v>
      </c>
      <c r="V25" s="9">
        <v>92576.88</v>
      </c>
      <c r="W25" s="9">
        <v>92929.62</v>
      </c>
      <c r="X25" s="9">
        <v>93452.29</v>
      </c>
      <c r="Y25" s="9">
        <v>94035.37</v>
      </c>
      <c r="Z25" s="9">
        <v>93409.87</v>
      </c>
      <c r="AA25" s="9">
        <v>94426.5</v>
      </c>
      <c r="AB25" s="9">
        <v>94750.62</v>
      </c>
      <c r="AC25" s="9">
        <v>95212.22</v>
      </c>
      <c r="AD25" s="9">
        <v>95719.55</v>
      </c>
      <c r="AE25" s="9">
        <v>95278.45</v>
      </c>
    </row>
    <row r="26" spans="1:31" x14ac:dyDescent="0.25">
      <c r="A26" s="3" t="s">
        <v>423</v>
      </c>
      <c r="B26" s="9">
        <v>49.38</v>
      </c>
      <c r="C26" s="9">
        <v>50.62</v>
      </c>
      <c r="D26" s="9">
        <v>50.71</v>
      </c>
      <c r="E26" s="9">
        <v>50.71</v>
      </c>
      <c r="F26" s="9">
        <v>50.35</v>
      </c>
      <c r="G26" s="9">
        <v>50.4</v>
      </c>
      <c r="H26" s="9">
        <v>51.17</v>
      </c>
      <c r="I26" s="9">
        <v>51.21</v>
      </c>
      <c r="J26" s="9">
        <v>51.53</v>
      </c>
      <c r="K26" s="9">
        <v>51.11</v>
      </c>
      <c r="L26" s="9">
        <v>51.04</v>
      </c>
      <c r="M26" s="9">
        <v>51.8</v>
      </c>
      <c r="N26" s="9">
        <v>51.8</v>
      </c>
      <c r="O26" s="9">
        <v>52.11</v>
      </c>
      <c r="P26" s="9">
        <v>51.8</v>
      </c>
      <c r="Q26" s="9">
        <v>51.36</v>
      </c>
      <c r="R26" s="9">
        <v>52.25</v>
      </c>
      <c r="S26" s="9">
        <v>52.18</v>
      </c>
      <c r="T26" s="9">
        <v>52.47</v>
      </c>
      <c r="U26" s="9">
        <v>52.42</v>
      </c>
      <c r="V26" s="9">
        <v>51.96</v>
      </c>
      <c r="W26" s="9">
        <v>52.85</v>
      </c>
      <c r="X26" s="9">
        <v>52.74</v>
      </c>
      <c r="Y26" s="9">
        <v>53.1</v>
      </c>
      <c r="Z26" s="9">
        <v>52.73</v>
      </c>
      <c r="AA26" s="9">
        <v>51.99</v>
      </c>
      <c r="AB26" s="9">
        <v>52.78</v>
      </c>
      <c r="AC26" s="9">
        <v>52.62</v>
      </c>
      <c r="AD26" s="9">
        <v>53.06</v>
      </c>
      <c r="AE26" s="9">
        <v>53.03</v>
      </c>
    </row>
    <row r="27" spans="1:31" x14ac:dyDescent="0.25">
      <c r="A27" s="4" t="s">
        <v>422</v>
      </c>
      <c r="B27" s="9">
        <v>11741.65</v>
      </c>
      <c r="C27" s="9">
        <v>12137.11</v>
      </c>
      <c r="D27" s="9">
        <v>12548.44</v>
      </c>
      <c r="E27" s="9">
        <v>12948.24</v>
      </c>
      <c r="F27" s="9">
        <v>49375.44</v>
      </c>
      <c r="G27" s="9">
        <v>12965.46</v>
      </c>
      <c r="H27" s="9">
        <v>13210.99</v>
      </c>
      <c r="I27" s="9">
        <v>13348.32</v>
      </c>
      <c r="J27" s="9">
        <v>13544.35</v>
      </c>
      <c r="K27" s="9">
        <v>53153.760000000002</v>
      </c>
      <c r="L27" s="9">
        <v>13526.59</v>
      </c>
      <c r="M27" s="9">
        <v>13802.02</v>
      </c>
      <c r="N27" s="9">
        <v>13903.09</v>
      </c>
      <c r="O27" s="9">
        <v>14091.55</v>
      </c>
      <c r="P27" s="9">
        <v>55423.6</v>
      </c>
      <c r="Q27" s="9">
        <v>13964.73</v>
      </c>
      <c r="R27" s="9">
        <v>14270.18</v>
      </c>
      <c r="S27" s="9">
        <v>14342.04</v>
      </c>
      <c r="T27" s="9">
        <v>14519.31</v>
      </c>
      <c r="U27" s="9">
        <v>57484.97</v>
      </c>
      <c r="V27" s="9">
        <v>14442.14</v>
      </c>
      <c r="W27" s="9">
        <v>14742.81</v>
      </c>
      <c r="X27" s="9">
        <v>14797.68</v>
      </c>
      <c r="Y27" s="9">
        <v>14983.23</v>
      </c>
      <c r="Z27" s="9">
        <v>59022.21</v>
      </c>
      <c r="AA27" s="9">
        <v>14746.02</v>
      </c>
      <c r="AB27" s="9">
        <v>15016.36</v>
      </c>
      <c r="AC27" s="9">
        <v>15046.88</v>
      </c>
      <c r="AD27" s="9">
        <v>15245.42</v>
      </c>
      <c r="AE27" s="9">
        <v>60502.33</v>
      </c>
    </row>
    <row r="28" spans="1:31" x14ac:dyDescent="0.25">
      <c r="A28" s="4" t="s">
        <v>65</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4" t="s">
        <v>421</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25">
      <c r="A30" s="3" t="s">
        <v>420</v>
      </c>
      <c r="B30" s="9">
        <v>25105</v>
      </c>
      <c r="C30" s="9">
        <v>25947</v>
      </c>
      <c r="D30" s="9">
        <v>26946</v>
      </c>
      <c r="E30" s="9">
        <v>29431</v>
      </c>
      <c r="F30" s="9">
        <v>25105</v>
      </c>
      <c r="G30" s="9">
        <v>30851</v>
      </c>
      <c r="H30" s="9">
        <v>31634.01</v>
      </c>
      <c r="I30" s="9">
        <v>32437.83</v>
      </c>
      <c r="J30" s="9">
        <v>33400.639999999999</v>
      </c>
      <c r="K30" s="9">
        <v>30808.19</v>
      </c>
      <c r="L30" s="9">
        <v>34691.01</v>
      </c>
      <c r="M30" s="9">
        <v>35479.99</v>
      </c>
      <c r="N30" s="9">
        <v>36282.04</v>
      </c>
      <c r="O30" s="9">
        <v>37248.129999999997</v>
      </c>
      <c r="P30" s="9">
        <v>34412.089999999997</v>
      </c>
      <c r="Q30" s="9">
        <v>38422.18</v>
      </c>
      <c r="R30" s="9">
        <v>39147.07</v>
      </c>
      <c r="S30" s="9">
        <v>39879.31</v>
      </c>
      <c r="T30" s="9">
        <v>40765.040000000001</v>
      </c>
      <c r="U30" s="9">
        <v>37741.4</v>
      </c>
      <c r="V30" s="9">
        <v>42089.45</v>
      </c>
      <c r="W30" s="9">
        <v>42722.35</v>
      </c>
      <c r="X30" s="9">
        <v>43366.25</v>
      </c>
      <c r="Y30" s="9">
        <v>44187.17</v>
      </c>
      <c r="Z30" s="9">
        <v>41157.03</v>
      </c>
      <c r="AA30" s="9">
        <v>44958.67</v>
      </c>
      <c r="AB30" s="9">
        <v>45592.65</v>
      </c>
      <c r="AC30" s="9">
        <v>46253.18</v>
      </c>
      <c r="AD30" s="9">
        <v>46982.51</v>
      </c>
      <c r="AE30" s="9">
        <v>43899.09</v>
      </c>
    </row>
    <row r="31" spans="1:31" x14ac:dyDescent="0.25">
      <c r="A31" s="3" t="s">
        <v>419</v>
      </c>
      <c r="B31" s="9">
        <v>2014.55</v>
      </c>
      <c r="C31" s="9">
        <v>2109.52</v>
      </c>
      <c r="D31" s="9">
        <v>2586.89</v>
      </c>
      <c r="E31" s="9">
        <v>2804.62</v>
      </c>
      <c r="F31" s="9">
        <v>9515.57</v>
      </c>
      <c r="G31" s="9">
        <v>2382.84</v>
      </c>
      <c r="H31" s="9">
        <v>2358.4899999999998</v>
      </c>
      <c r="I31" s="9">
        <v>2445.83</v>
      </c>
      <c r="J31" s="9">
        <v>2743.26</v>
      </c>
      <c r="K31" s="9">
        <v>9930.41</v>
      </c>
      <c r="L31" s="9">
        <v>2130.86</v>
      </c>
      <c r="M31" s="9">
        <v>2123.83</v>
      </c>
      <c r="N31" s="9">
        <v>2234.58</v>
      </c>
      <c r="O31" s="9">
        <v>2555.1</v>
      </c>
      <c r="P31" s="9">
        <v>10143.06</v>
      </c>
      <c r="Q31" s="9">
        <v>2379.92</v>
      </c>
      <c r="R31" s="9">
        <v>2429.38</v>
      </c>
      <c r="S31" s="9">
        <v>2523.5300000000002</v>
      </c>
      <c r="T31" s="9">
        <v>2788.53</v>
      </c>
      <c r="U31" s="9">
        <v>10857.63</v>
      </c>
      <c r="V31" s="9">
        <v>2407.46</v>
      </c>
      <c r="W31" s="9">
        <v>2450.11</v>
      </c>
      <c r="X31" s="9">
        <v>2536.66</v>
      </c>
      <c r="Y31" s="9">
        <v>2798.91</v>
      </c>
      <c r="Z31" s="9">
        <v>11187.77</v>
      </c>
      <c r="AA31" s="9">
        <v>2433.5300000000002</v>
      </c>
      <c r="AB31" s="9">
        <v>2473.7600000000002</v>
      </c>
      <c r="AC31" s="9">
        <v>2556.35</v>
      </c>
      <c r="AD31" s="9">
        <v>2819.35</v>
      </c>
      <c r="AE31" s="9">
        <v>11546.16</v>
      </c>
    </row>
    <row r="32" spans="1:31" x14ac:dyDescent="0.25">
      <c r="A32" s="3" t="s">
        <v>418</v>
      </c>
      <c r="B32" s="8" t="s">
        <v>413</v>
      </c>
      <c r="C32" s="8" t="s">
        <v>413</v>
      </c>
      <c r="D32" s="8" t="s">
        <v>417</v>
      </c>
      <c r="E32" s="8" t="s">
        <v>416</v>
      </c>
      <c r="F32" s="8" t="s">
        <v>409</v>
      </c>
      <c r="G32" s="8" t="s">
        <v>314</v>
      </c>
      <c r="H32" s="8" t="s">
        <v>410</v>
      </c>
      <c r="I32" s="8" t="s">
        <v>407</v>
      </c>
      <c r="J32" s="8" t="s">
        <v>317</v>
      </c>
      <c r="K32" s="8" t="s">
        <v>415</v>
      </c>
      <c r="L32" s="8" t="s">
        <v>357</v>
      </c>
      <c r="M32" s="8" t="s">
        <v>382</v>
      </c>
      <c r="N32" s="8" t="s">
        <v>383</v>
      </c>
      <c r="O32" s="8" t="s">
        <v>408</v>
      </c>
      <c r="P32" s="8" t="s">
        <v>414</v>
      </c>
      <c r="Q32" s="8" t="s">
        <v>316</v>
      </c>
      <c r="R32" s="8" t="s">
        <v>306</v>
      </c>
      <c r="S32" s="8" t="s">
        <v>306</v>
      </c>
      <c r="T32" s="8" t="s">
        <v>306</v>
      </c>
      <c r="U32" s="8" t="s">
        <v>413</v>
      </c>
      <c r="V32" s="8" t="s">
        <v>412</v>
      </c>
      <c r="W32" s="8" t="s">
        <v>411</v>
      </c>
      <c r="X32" s="8" t="s">
        <v>410</v>
      </c>
      <c r="Y32" s="8" t="s">
        <v>410</v>
      </c>
      <c r="Z32" s="8" t="s">
        <v>409</v>
      </c>
      <c r="AA32" s="8" t="s">
        <v>408</v>
      </c>
      <c r="AB32" s="8" t="s">
        <v>407</v>
      </c>
      <c r="AC32" s="8" t="s">
        <v>407</v>
      </c>
      <c r="AD32" s="8" t="s">
        <v>407</v>
      </c>
      <c r="AE32" s="8" t="s">
        <v>406</v>
      </c>
    </row>
    <row r="33" spans="1:31" x14ac:dyDescent="0.25">
      <c r="A33" s="3" t="s">
        <v>405</v>
      </c>
      <c r="B33" s="9">
        <v>1239.79</v>
      </c>
      <c r="C33" s="9">
        <v>1277.1400000000001</v>
      </c>
      <c r="D33" s="9">
        <v>1291.79</v>
      </c>
      <c r="E33" s="9">
        <v>1461.94</v>
      </c>
      <c r="F33" s="9">
        <v>5270.66</v>
      </c>
      <c r="G33" s="9">
        <v>1252.22</v>
      </c>
      <c r="H33" s="9">
        <v>1225.1300000000001</v>
      </c>
      <c r="I33" s="9">
        <v>1235.28</v>
      </c>
      <c r="J33" s="9">
        <v>1377.9</v>
      </c>
      <c r="K33" s="9">
        <v>5090.53</v>
      </c>
      <c r="L33" s="9">
        <v>1218.04</v>
      </c>
      <c r="M33" s="9">
        <v>1186.48</v>
      </c>
      <c r="N33" s="9">
        <v>1231.76</v>
      </c>
      <c r="O33" s="9">
        <v>1365.22</v>
      </c>
      <c r="P33" s="9">
        <v>6720.74</v>
      </c>
      <c r="Q33" s="9">
        <v>1506.93</v>
      </c>
      <c r="R33" s="9">
        <v>1609.71</v>
      </c>
      <c r="S33" s="9">
        <v>1644.8</v>
      </c>
      <c r="T33" s="9">
        <v>1690.46</v>
      </c>
      <c r="U33" s="9">
        <v>7742.67</v>
      </c>
      <c r="V33" s="9">
        <v>1611.9</v>
      </c>
      <c r="W33" s="9">
        <v>1711.98</v>
      </c>
      <c r="X33" s="9">
        <v>1742.96</v>
      </c>
      <c r="Y33" s="9">
        <v>1784.58</v>
      </c>
      <c r="Z33" s="9">
        <v>8264.5</v>
      </c>
      <c r="AA33" s="9">
        <v>1698.41</v>
      </c>
      <c r="AB33" s="9">
        <v>1794.53</v>
      </c>
      <c r="AC33" s="9">
        <v>1821.55</v>
      </c>
      <c r="AD33" s="9">
        <v>1859.43</v>
      </c>
      <c r="AE33" s="9">
        <v>8743.33</v>
      </c>
    </row>
    <row r="34" spans="1:31" x14ac:dyDescent="0.25">
      <c r="A34" s="4" t="s">
        <v>404</v>
      </c>
      <c r="B34" s="9">
        <v>842</v>
      </c>
      <c r="C34" s="9">
        <v>902</v>
      </c>
      <c r="D34" s="9">
        <v>1340</v>
      </c>
      <c r="E34" s="9">
        <v>1420</v>
      </c>
      <c r="F34" s="9">
        <v>4504</v>
      </c>
      <c r="G34" s="9">
        <v>843.56</v>
      </c>
      <c r="H34" s="9">
        <v>817.48</v>
      </c>
      <c r="I34" s="9">
        <v>971.1</v>
      </c>
      <c r="J34" s="9">
        <v>1082.43</v>
      </c>
      <c r="K34" s="9">
        <v>3714.58</v>
      </c>
      <c r="L34" s="9">
        <v>817.1</v>
      </c>
      <c r="M34" s="9">
        <v>832.18</v>
      </c>
      <c r="N34" s="9">
        <v>992.22</v>
      </c>
      <c r="O34" s="9">
        <v>1148.33</v>
      </c>
      <c r="P34" s="9">
        <v>3446.96</v>
      </c>
      <c r="Q34" s="9">
        <v>776.39</v>
      </c>
      <c r="R34" s="9">
        <v>783.45</v>
      </c>
      <c r="S34" s="9">
        <v>929.4</v>
      </c>
      <c r="T34" s="9">
        <v>1143.3499999999999</v>
      </c>
      <c r="U34" s="9">
        <v>3159.32</v>
      </c>
      <c r="V34" s="9">
        <v>703.68</v>
      </c>
      <c r="W34" s="9">
        <v>711.19</v>
      </c>
      <c r="X34" s="9">
        <v>885.89</v>
      </c>
      <c r="Y34" s="9">
        <v>1027.1300000000001</v>
      </c>
      <c r="Z34" s="9">
        <v>2947.12</v>
      </c>
      <c r="AA34" s="9">
        <v>762.05</v>
      </c>
      <c r="AB34" s="9">
        <v>782.25</v>
      </c>
      <c r="AC34" s="9">
        <v>815.24</v>
      </c>
      <c r="AD34" s="9">
        <v>948.9</v>
      </c>
      <c r="AE34" s="9">
        <v>2851.18</v>
      </c>
    </row>
    <row r="35" spans="1:31" x14ac:dyDescent="0.25">
      <c r="A35" s="3" t="s">
        <v>403</v>
      </c>
      <c r="B35" s="8" t="s">
        <v>54</v>
      </c>
      <c r="C35" s="9">
        <v>97</v>
      </c>
      <c r="D35" s="9">
        <v>1145</v>
      </c>
      <c r="E35" s="8" t="s">
        <v>54</v>
      </c>
      <c r="F35" s="9">
        <v>1242</v>
      </c>
      <c r="G35" s="10">
        <v>-16.05</v>
      </c>
      <c r="H35" s="8" t="s">
        <v>54</v>
      </c>
      <c r="I35" s="8" t="s">
        <v>54</v>
      </c>
      <c r="J35" s="8" t="s">
        <v>54</v>
      </c>
      <c r="K35" s="10">
        <v>-16.05</v>
      </c>
      <c r="L35" s="8" t="s">
        <v>54</v>
      </c>
      <c r="M35" s="8" t="s">
        <v>54</v>
      </c>
      <c r="N35" s="8" t="s">
        <v>54</v>
      </c>
      <c r="O35" s="8" t="s">
        <v>54</v>
      </c>
      <c r="P35" s="8" t="s">
        <v>54</v>
      </c>
      <c r="Q35" s="8" t="s">
        <v>54</v>
      </c>
      <c r="R35" s="8" t="s">
        <v>54</v>
      </c>
      <c r="S35" s="8" t="s">
        <v>54</v>
      </c>
      <c r="T35" s="8" t="s">
        <v>54</v>
      </c>
      <c r="U35" s="8" t="s">
        <v>54</v>
      </c>
      <c r="V35" s="8" t="s">
        <v>54</v>
      </c>
      <c r="W35" s="8" t="s">
        <v>54</v>
      </c>
      <c r="X35" s="8" t="s">
        <v>54</v>
      </c>
      <c r="Y35" s="8" t="s">
        <v>54</v>
      </c>
      <c r="Z35" s="8" t="s">
        <v>54</v>
      </c>
      <c r="AA35" s="8" t="s">
        <v>54</v>
      </c>
      <c r="AB35" s="8" t="s">
        <v>54</v>
      </c>
      <c r="AC35" s="8" t="s">
        <v>54</v>
      </c>
      <c r="AD35" s="8" t="s">
        <v>54</v>
      </c>
      <c r="AE35" s="8" t="s">
        <v>54</v>
      </c>
    </row>
    <row r="36" spans="1:31" x14ac:dyDescent="0.25">
      <c r="A36" s="4" t="s">
        <v>402</v>
      </c>
      <c r="B36" s="9">
        <v>842</v>
      </c>
      <c r="C36" s="9">
        <v>999</v>
      </c>
      <c r="D36" s="9">
        <v>2485</v>
      </c>
      <c r="E36" s="9">
        <v>1420</v>
      </c>
      <c r="F36" s="9">
        <v>5746</v>
      </c>
      <c r="G36" s="9">
        <v>828.47</v>
      </c>
      <c r="H36" s="9">
        <v>805.36</v>
      </c>
      <c r="I36" s="9">
        <v>964.64</v>
      </c>
      <c r="J36" s="9">
        <v>1065.69</v>
      </c>
      <c r="K36" s="9">
        <v>3603.9</v>
      </c>
      <c r="L36" s="9">
        <v>794.8</v>
      </c>
      <c r="M36" s="9">
        <v>808.13</v>
      </c>
      <c r="N36" s="9">
        <v>973.52</v>
      </c>
      <c r="O36" s="9">
        <v>1107.2</v>
      </c>
      <c r="P36" s="9">
        <v>3349.47</v>
      </c>
      <c r="Q36" s="9">
        <v>740.84</v>
      </c>
      <c r="R36" s="9">
        <v>749.31</v>
      </c>
      <c r="S36" s="9">
        <v>903.92</v>
      </c>
      <c r="T36" s="9">
        <v>1074.93</v>
      </c>
      <c r="U36" s="9">
        <v>3081.49</v>
      </c>
      <c r="V36" s="9">
        <v>657.33</v>
      </c>
      <c r="W36" s="9">
        <v>669.6</v>
      </c>
      <c r="X36" s="9">
        <v>846.87</v>
      </c>
      <c r="Y36" s="9">
        <v>951.55</v>
      </c>
      <c r="Z36" s="9">
        <v>2894.46</v>
      </c>
      <c r="AA36" s="9">
        <v>668.26</v>
      </c>
      <c r="AB36" s="9">
        <v>695.07</v>
      </c>
      <c r="AC36" s="9">
        <v>764.13</v>
      </c>
      <c r="AD36" s="9">
        <v>854.51</v>
      </c>
      <c r="AE36" s="9">
        <v>2774.03</v>
      </c>
    </row>
    <row r="37" spans="1:31" x14ac:dyDescent="0.25">
      <c r="A37" s="4" t="s">
        <v>401</v>
      </c>
      <c r="B37" s="9">
        <v>25947</v>
      </c>
      <c r="C37" s="9">
        <v>26946</v>
      </c>
      <c r="D37" s="9">
        <v>29431</v>
      </c>
      <c r="E37" s="9">
        <v>30851</v>
      </c>
      <c r="F37" s="9">
        <v>30851</v>
      </c>
      <c r="G37" s="9">
        <v>31634.01</v>
      </c>
      <c r="H37" s="9">
        <v>32437.83</v>
      </c>
      <c r="I37" s="9">
        <v>33400.639999999999</v>
      </c>
      <c r="J37" s="9">
        <v>34463.660000000003</v>
      </c>
      <c r="K37" s="9">
        <v>34412.089999999997</v>
      </c>
      <c r="L37" s="9">
        <v>35479.99</v>
      </c>
      <c r="M37" s="9">
        <v>36282.04</v>
      </c>
      <c r="N37" s="9">
        <v>37248.129999999997</v>
      </c>
      <c r="O37" s="9">
        <v>38346.58</v>
      </c>
      <c r="P37" s="9">
        <v>37761.56</v>
      </c>
      <c r="Q37" s="9">
        <v>39147.07</v>
      </c>
      <c r="R37" s="9">
        <v>39879.31</v>
      </c>
      <c r="S37" s="9">
        <v>40765.040000000001</v>
      </c>
      <c r="T37" s="9">
        <v>41820.699999999997</v>
      </c>
      <c r="U37" s="9">
        <v>40822.879999999997</v>
      </c>
      <c r="V37" s="9">
        <v>42722.35</v>
      </c>
      <c r="W37" s="9">
        <v>43366.25</v>
      </c>
      <c r="X37" s="9">
        <v>44187.17</v>
      </c>
      <c r="Y37" s="9">
        <v>45112.53</v>
      </c>
      <c r="Z37" s="9">
        <v>44051.49</v>
      </c>
      <c r="AA37" s="9">
        <v>45592.65</v>
      </c>
      <c r="AB37" s="9">
        <v>46253.18</v>
      </c>
      <c r="AC37" s="9">
        <v>46982.51</v>
      </c>
      <c r="AD37" s="9">
        <v>47801.98</v>
      </c>
      <c r="AE37" s="9">
        <v>46673.120000000003</v>
      </c>
    </row>
    <row r="38" spans="1:31" x14ac:dyDescent="0.25">
      <c r="A38" s="3" t="s">
        <v>400</v>
      </c>
      <c r="B38" s="9">
        <v>25526</v>
      </c>
      <c r="C38" s="9">
        <v>26446.5</v>
      </c>
      <c r="D38" s="9">
        <v>28188.5</v>
      </c>
      <c r="E38" s="9">
        <v>30141</v>
      </c>
      <c r="F38" s="9">
        <v>27978</v>
      </c>
      <c r="G38" s="9">
        <v>31220.47</v>
      </c>
      <c r="H38" s="9">
        <v>32035.919999999998</v>
      </c>
      <c r="I38" s="9">
        <v>32919.230000000003</v>
      </c>
      <c r="J38" s="9">
        <v>33932.15</v>
      </c>
      <c r="K38" s="9">
        <v>32573.119999999999</v>
      </c>
      <c r="L38" s="9">
        <v>35085.5</v>
      </c>
      <c r="M38" s="9">
        <v>35881.01</v>
      </c>
      <c r="N38" s="9">
        <v>36765.08</v>
      </c>
      <c r="O38" s="9">
        <v>37797.35</v>
      </c>
      <c r="P38" s="9">
        <v>36054.14</v>
      </c>
      <c r="Q38" s="9">
        <v>38784.620000000003</v>
      </c>
      <c r="R38" s="9">
        <v>39513.19</v>
      </c>
      <c r="S38" s="9">
        <v>40322.17</v>
      </c>
      <c r="T38" s="9">
        <v>41292.870000000003</v>
      </c>
      <c r="U38" s="9">
        <v>39256.61</v>
      </c>
      <c r="V38" s="9">
        <v>42405.9</v>
      </c>
      <c r="W38" s="9">
        <v>43044.3</v>
      </c>
      <c r="X38" s="9">
        <v>43776.71</v>
      </c>
      <c r="Y38" s="9">
        <v>44649.85</v>
      </c>
      <c r="Z38" s="9">
        <v>42573.02</v>
      </c>
      <c r="AA38" s="9">
        <v>45275.66</v>
      </c>
      <c r="AB38" s="9">
        <v>45922.92</v>
      </c>
      <c r="AC38" s="9">
        <v>46617.84</v>
      </c>
      <c r="AD38" s="9">
        <v>47392.24</v>
      </c>
      <c r="AE38" s="9">
        <v>45252.09</v>
      </c>
    </row>
    <row r="39" spans="1:31" x14ac:dyDescent="0.25">
      <c r="A39" s="3" t="s">
        <v>399</v>
      </c>
      <c r="B39" s="9">
        <v>24.19</v>
      </c>
      <c r="C39" s="9">
        <v>24.46</v>
      </c>
      <c r="D39" s="9">
        <v>27.59</v>
      </c>
      <c r="E39" s="9">
        <v>26.87</v>
      </c>
      <c r="F39" s="9">
        <v>25.28</v>
      </c>
      <c r="G39" s="9">
        <v>27.9</v>
      </c>
      <c r="H39" s="9">
        <v>27.34</v>
      </c>
      <c r="I39" s="9">
        <v>28.14</v>
      </c>
      <c r="J39" s="9">
        <v>27.96</v>
      </c>
      <c r="K39" s="9">
        <v>27.31</v>
      </c>
      <c r="L39" s="9">
        <v>28.5</v>
      </c>
      <c r="M39" s="9">
        <v>28.19</v>
      </c>
      <c r="N39" s="9">
        <v>29.33</v>
      </c>
      <c r="O39" s="9">
        <v>29.08</v>
      </c>
      <c r="P39" s="9">
        <v>28.21</v>
      </c>
      <c r="Q39" s="9">
        <v>29.61</v>
      </c>
      <c r="R39" s="9">
        <v>29.18</v>
      </c>
      <c r="S39" s="9">
        <v>30.72</v>
      </c>
      <c r="T39" s="9">
        <v>30.07</v>
      </c>
      <c r="U39" s="9">
        <v>29.12</v>
      </c>
      <c r="V39" s="9">
        <v>30.71</v>
      </c>
      <c r="W39" s="9">
        <v>30.48</v>
      </c>
      <c r="X39" s="9">
        <v>32.36</v>
      </c>
      <c r="Y39" s="9">
        <v>31.23</v>
      </c>
      <c r="Z39" s="9">
        <v>30.96</v>
      </c>
      <c r="AA39" s="9">
        <v>31.8</v>
      </c>
      <c r="AB39" s="9">
        <v>31.58</v>
      </c>
      <c r="AC39" s="9">
        <v>33.119999999999997</v>
      </c>
      <c r="AD39" s="9">
        <v>32.049999999999997</v>
      </c>
      <c r="AE39" s="9">
        <v>32.24</v>
      </c>
    </row>
    <row r="40" spans="1:31" x14ac:dyDescent="0.25">
      <c r="A40" s="4" t="s">
        <v>398</v>
      </c>
      <c r="B40" s="9">
        <v>1852.35</v>
      </c>
      <c r="C40" s="9">
        <v>1940.89</v>
      </c>
      <c r="D40" s="9">
        <v>2333.56</v>
      </c>
      <c r="E40" s="9">
        <v>2429.7600000000002</v>
      </c>
      <c r="F40" s="9">
        <v>8556.56</v>
      </c>
      <c r="G40" s="9">
        <v>2626.24</v>
      </c>
      <c r="H40" s="9">
        <v>2621.72</v>
      </c>
      <c r="I40" s="9">
        <v>2749.18</v>
      </c>
      <c r="J40" s="9">
        <v>2825.44</v>
      </c>
      <c r="K40" s="9">
        <v>10675.47</v>
      </c>
      <c r="L40" s="9">
        <v>3000.84</v>
      </c>
      <c r="M40" s="9">
        <v>3011.94</v>
      </c>
      <c r="N40" s="9">
        <v>3175.7</v>
      </c>
      <c r="O40" s="9">
        <v>3258.5</v>
      </c>
      <c r="P40" s="9">
        <v>12226.99</v>
      </c>
      <c r="Q40" s="9">
        <v>3440.68</v>
      </c>
      <c r="R40" s="9">
        <v>3418.05</v>
      </c>
      <c r="S40" s="9">
        <v>3612.08</v>
      </c>
      <c r="T40" s="9">
        <v>3652.95</v>
      </c>
      <c r="U40" s="9">
        <v>13760.16</v>
      </c>
      <c r="V40" s="9">
        <v>3889.42</v>
      </c>
      <c r="W40" s="9">
        <v>3875.68</v>
      </c>
      <c r="X40" s="9">
        <v>4105.6099999999997</v>
      </c>
      <c r="Y40" s="9">
        <v>4085.1</v>
      </c>
      <c r="Z40" s="9">
        <v>15902.68</v>
      </c>
      <c r="AA40" s="9">
        <v>4320.3500000000004</v>
      </c>
      <c r="AB40" s="9">
        <v>4353.97</v>
      </c>
      <c r="AC40" s="9">
        <v>4633.18</v>
      </c>
      <c r="AD40" s="9">
        <v>4557.9399999999996</v>
      </c>
      <c r="AE40" s="9">
        <v>17615.689999999999</v>
      </c>
    </row>
    <row r="41" spans="1:31" x14ac:dyDescent="0.25">
      <c r="A41" s="4" t="s">
        <v>65</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25">
      <c r="A42" s="3" t="s">
        <v>397</v>
      </c>
      <c r="B42" s="9">
        <v>387</v>
      </c>
      <c r="C42" s="9">
        <v>427</v>
      </c>
      <c r="D42" s="9">
        <v>607</v>
      </c>
      <c r="E42" s="9">
        <v>439</v>
      </c>
      <c r="F42" s="9">
        <v>1860</v>
      </c>
      <c r="G42" s="9">
        <v>392.29</v>
      </c>
      <c r="H42" s="9">
        <v>371.96</v>
      </c>
      <c r="I42" s="9">
        <v>380.55</v>
      </c>
      <c r="J42" s="9">
        <v>374.24</v>
      </c>
      <c r="K42" s="9">
        <v>1519.05</v>
      </c>
      <c r="L42" s="9">
        <v>333.3</v>
      </c>
      <c r="M42" s="9">
        <v>325.60000000000002</v>
      </c>
      <c r="N42" s="9">
        <v>334.39</v>
      </c>
      <c r="O42" s="9">
        <v>331.06</v>
      </c>
      <c r="P42" s="9">
        <v>1310.33</v>
      </c>
      <c r="Q42" s="9">
        <v>274.49</v>
      </c>
      <c r="R42" s="9">
        <v>259.32</v>
      </c>
      <c r="S42" s="9">
        <v>264.74</v>
      </c>
      <c r="T42" s="9">
        <v>257.14</v>
      </c>
      <c r="U42" s="9">
        <v>1095.6199999999999</v>
      </c>
      <c r="V42" s="9">
        <v>219.46</v>
      </c>
      <c r="W42" s="9">
        <v>201.59</v>
      </c>
      <c r="X42" s="9">
        <v>208.75</v>
      </c>
      <c r="Y42" s="9">
        <v>199.58</v>
      </c>
      <c r="Z42" s="9">
        <v>932.98</v>
      </c>
      <c r="AA42" s="9">
        <v>177.69</v>
      </c>
      <c r="AB42" s="9">
        <v>161.06</v>
      </c>
      <c r="AC42" s="9">
        <v>168.83</v>
      </c>
      <c r="AD42" s="9">
        <v>160.22999999999999</v>
      </c>
      <c r="AE42" s="9">
        <v>804.75</v>
      </c>
    </row>
    <row r="43" spans="1:31" x14ac:dyDescent="0.25">
      <c r="A43" s="3" t="s">
        <v>396</v>
      </c>
      <c r="B43" s="9">
        <v>453</v>
      </c>
      <c r="C43" s="9">
        <v>464.33</v>
      </c>
      <c r="D43" s="9">
        <v>838</v>
      </c>
      <c r="E43" s="9">
        <v>939</v>
      </c>
      <c r="F43" s="9">
        <v>2694.33</v>
      </c>
      <c r="G43" s="9">
        <v>443.11</v>
      </c>
      <c r="H43" s="9">
        <v>412.42</v>
      </c>
      <c r="I43" s="9">
        <v>492.39</v>
      </c>
      <c r="J43" s="9">
        <v>526.51</v>
      </c>
      <c r="K43" s="9">
        <v>1874.42</v>
      </c>
      <c r="L43" s="9">
        <v>345.44</v>
      </c>
      <c r="M43" s="9">
        <v>362.33</v>
      </c>
      <c r="N43" s="9">
        <v>448.3</v>
      </c>
      <c r="O43" s="9">
        <v>459.23</v>
      </c>
      <c r="P43" s="9">
        <v>1554.75</v>
      </c>
      <c r="Q43" s="9">
        <v>337.45</v>
      </c>
      <c r="R43" s="9">
        <v>356.7</v>
      </c>
      <c r="S43" s="9">
        <v>448.4</v>
      </c>
      <c r="T43" s="9">
        <v>461.21</v>
      </c>
      <c r="U43" s="9">
        <v>1503.77</v>
      </c>
      <c r="V43" s="9">
        <v>334.6</v>
      </c>
      <c r="W43" s="9">
        <v>356</v>
      </c>
      <c r="X43" s="9">
        <v>453.39</v>
      </c>
      <c r="Y43" s="9">
        <v>467.89</v>
      </c>
      <c r="Z43" s="9">
        <v>1478.2</v>
      </c>
      <c r="AA43" s="9">
        <v>335.94</v>
      </c>
      <c r="AB43" s="9">
        <v>359.33</v>
      </c>
      <c r="AC43" s="9">
        <v>462.46</v>
      </c>
      <c r="AD43" s="9">
        <v>478.5</v>
      </c>
      <c r="AE43" s="9">
        <v>1472.61</v>
      </c>
    </row>
    <row r="44" spans="1:31" x14ac:dyDescent="0.25">
      <c r="A44" s="4" t="s">
        <v>395</v>
      </c>
      <c r="B44" s="9">
        <v>842</v>
      </c>
      <c r="C44" s="9">
        <v>902</v>
      </c>
      <c r="D44" s="9">
        <v>1340</v>
      </c>
      <c r="E44" s="9">
        <v>1420</v>
      </c>
      <c r="F44" s="9">
        <v>4504</v>
      </c>
      <c r="G44" s="9">
        <v>843.56</v>
      </c>
      <c r="H44" s="9">
        <v>817.48</v>
      </c>
      <c r="I44" s="9">
        <v>971.1</v>
      </c>
      <c r="J44" s="9">
        <v>1082.43</v>
      </c>
      <c r="K44" s="9">
        <v>3714.58</v>
      </c>
      <c r="L44" s="9">
        <v>817.1</v>
      </c>
      <c r="M44" s="9">
        <v>832.18</v>
      </c>
      <c r="N44" s="9">
        <v>992.22</v>
      </c>
      <c r="O44" s="9">
        <v>1148.33</v>
      </c>
      <c r="P44" s="9">
        <v>3446.96</v>
      </c>
      <c r="Q44" s="9">
        <v>776.39</v>
      </c>
      <c r="R44" s="9">
        <v>783.45</v>
      </c>
      <c r="S44" s="9">
        <v>929.4</v>
      </c>
      <c r="T44" s="9">
        <v>1143.3499999999999</v>
      </c>
      <c r="U44" s="9">
        <v>3159.32</v>
      </c>
      <c r="V44" s="9">
        <v>703.68</v>
      </c>
      <c r="W44" s="9">
        <v>711.19</v>
      </c>
      <c r="X44" s="9">
        <v>885.89</v>
      </c>
      <c r="Y44" s="9">
        <v>1027.1300000000001</v>
      </c>
      <c r="Z44" s="9">
        <v>2947.12</v>
      </c>
      <c r="AA44" s="9">
        <v>762.05</v>
      </c>
      <c r="AB44" s="9">
        <v>782.25</v>
      </c>
      <c r="AC44" s="9">
        <v>815.24</v>
      </c>
      <c r="AD44" s="9">
        <v>948.9</v>
      </c>
      <c r="AE44" s="9">
        <v>2851.18</v>
      </c>
    </row>
    <row r="45" spans="1:31" x14ac:dyDescent="0.25">
      <c r="A45" s="4" t="s">
        <v>65</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25">
      <c r="A46" s="3" t="s">
        <v>394</v>
      </c>
      <c r="B46" s="9">
        <v>6854</v>
      </c>
      <c r="C46" s="9">
        <v>7308</v>
      </c>
      <c r="D46" s="9">
        <v>7955</v>
      </c>
      <c r="E46" s="9">
        <v>8450</v>
      </c>
      <c r="F46" s="9">
        <v>8450</v>
      </c>
      <c r="G46" s="9">
        <v>8881.5400000000009</v>
      </c>
      <c r="H46" s="9">
        <v>9294.06</v>
      </c>
      <c r="I46" s="9">
        <v>9709.7900000000009</v>
      </c>
      <c r="J46" s="9">
        <v>10124.35</v>
      </c>
      <c r="K46" s="9">
        <v>10112.73</v>
      </c>
      <c r="L46" s="9">
        <v>10458.219999999999</v>
      </c>
      <c r="M46" s="9">
        <v>10810.55</v>
      </c>
      <c r="N46" s="9">
        <v>11170.64</v>
      </c>
      <c r="O46" s="9">
        <v>11529.6</v>
      </c>
      <c r="P46" s="9">
        <v>11557.8</v>
      </c>
      <c r="Q46" s="9">
        <v>11679.62</v>
      </c>
      <c r="R46" s="9">
        <v>11952.89</v>
      </c>
      <c r="S46" s="9">
        <v>12232.36</v>
      </c>
      <c r="T46" s="9">
        <v>12507.65</v>
      </c>
      <c r="U46" s="9">
        <v>12720.55</v>
      </c>
      <c r="V46" s="9">
        <v>12757.54</v>
      </c>
      <c r="W46" s="9">
        <v>12939.63</v>
      </c>
      <c r="X46" s="9">
        <v>13129.41</v>
      </c>
      <c r="Y46" s="9">
        <v>13314.35</v>
      </c>
      <c r="Z46" s="9">
        <v>13600.45</v>
      </c>
      <c r="AA46" s="9">
        <v>13846.93</v>
      </c>
      <c r="AB46" s="9">
        <v>14031.98</v>
      </c>
      <c r="AC46" s="9">
        <v>14227.19</v>
      </c>
      <c r="AD46" s="9">
        <v>14416.83</v>
      </c>
      <c r="AE46" s="9">
        <v>14641.42</v>
      </c>
    </row>
    <row r="47" spans="1:31" x14ac:dyDescent="0.25">
      <c r="A47" s="3" t="s">
        <v>393</v>
      </c>
      <c r="B47" s="9">
        <v>19093</v>
      </c>
      <c r="C47" s="9">
        <v>19638</v>
      </c>
      <c r="D47" s="9">
        <v>21476</v>
      </c>
      <c r="E47" s="9">
        <v>22401</v>
      </c>
      <c r="F47" s="9">
        <v>22401</v>
      </c>
      <c r="G47" s="9">
        <v>22756.62</v>
      </c>
      <c r="H47" s="9">
        <v>23151.759999999998</v>
      </c>
      <c r="I47" s="9">
        <v>23710.47</v>
      </c>
      <c r="J47" s="9">
        <v>24376.99</v>
      </c>
      <c r="K47" s="9">
        <v>24331.09</v>
      </c>
      <c r="L47" s="9">
        <v>25021.759999999998</v>
      </c>
      <c r="M47" s="9">
        <v>25471.48</v>
      </c>
      <c r="N47" s="9">
        <v>26077.49</v>
      </c>
      <c r="O47" s="9">
        <v>26816.98</v>
      </c>
      <c r="P47" s="9">
        <v>26232.560000000001</v>
      </c>
      <c r="Q47" s="9">
        <v>27467.45</v>
      </c>
      <c r="R47" s="9">
        <v>27926.42</v>
      </c>
      <c r="S47" s="9">
        <v>28532.68</v>
      </c>
      <c r="T47" s="9">
        <v>29313.05</v>
      </c>
      <c r="U47" s="9">
        <v>28138.54</v>
      </c>
      <c r="V47" s="9">
        <v>29964.81</v>
      </c>
      <c r="W47" s="9">
        <v>30426.63</v>
      </c>
      <c r="X47" s="9">
        <v>31057.759999999998</v>
      </c>
      <c r="Y47" s="9">
        <v>31798.17</v>
      </c>
      <c r="Z47" s="9">
        <v>30533.15</v>
      </c>
      <c r="AA47" s="9">
        <v>31745.72</v>
      </c>
      <c r="AB47" s="9">
        <v>32221.200000000001</v>
      </c>
      <c r="AC47" s="9">
        <v>32755.32</v>
      </c>
      <c r="AD47" s="9">
        <v>33385.14</v>
      </c>
      <c r="AE47" s="9">
        <v>32116.83</v>
      </c>
    </row>
    <row r="48" spans="1:31" x14ac:dyDescent="0.25">
      <c r="A48" s="4" t="s">
        <v>392</v>
      </c>
      <c r="B48" s="9">
        <v>25947</v>
      </c>
      <c r="C48" s="9">
        <v>26946</v>
      </c>
      <c r="D48" s="9">
        <v>29431</v>
      </c>
      <c r="E48" s="9">
        <v>30851</v>
      </c>
      <c r="F48" s="9">
        <v>30851</v>
      </c>
      <c r="G48" s="9">
        <v>31634.01</v>
      </c>
      <c r="H48" s="9">
        <v>32437.83</v>
      </c>
      <c r="I48" s="9">
        <v>33400.639999999999</v>
      </c>
      <c r="J48" s="9">
        <v>34463.660000000003</v>
      </c>
      <c r="K48" s="9">
        <v>34412.089999999997</v>
      </c>
      <c r="L48" s="9">
        <v>35479.99</v>
      </c>
      <c r="M48" s="9">
        <v>36282.04</v>
      </c>
      <c r="N48" s="9">
        <v>37248.129999999997</v>
      </c>
      <c r="O48" s="9">
        <v>38346.58</v>
      </c>
      <c r="P48" s="9">
        <v>37761.56</v>
      </c>
      <c r="Q48" s="9">
        <v>39147.07</v>
      </c>
      <c r="R48" s="9">
        <v>39879.31</v>
      </c>
      <c r="S48" s="9">
        <v>40765.040000000001</v>
      </c>
      <c r="T48" s="9">
        <v>41820.699999999997</v>
      </c>
      <c r="U48" s="9">
        <v>40822.879999999997</v>
      </c>
      <c r="V48" s="9">
        <v>42722.35</v>
      </c>
      <c r="W48" s="9">
        <v>43366.25</v>
      </c>
      <c r="X48" s="9">
        <v>44187.17</v>
      </c>
      <c r="Y48" s="9">
        <v>45112.53</v>
      </c>
      <c r="Z48" s="9">
        <v>44051.49</v>
      </c>
      <c r="AA48" s="9">
        <v>45592.65</v>
      </c>
      <c r="AB48" s="9">
        <v>46253.18</v>
      </c>
      <c r="AC48" s="9">
        <v>46982.51</v>
      </c>
      <c r="AD48" s="9">
        <v>47801.98</v>
      </c>
      <c r="AE48" s="9">
        <v>46673.120000000003</v>
      </c>
    </row>
    <row r="49" spans="1:31" x14ac:dyDescent="0.25">
      <c r="A49" s="4" t="s">
        <v>65</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1:31" x14ac:dyDescent="0.25">
      <c r="A50" s="4" t="s">
        <v>391</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spans="1:31" x14ac:dyDescent="0.25">
      <c r="A51" s="3" t="s">
        <v>390</v>
      </c>
      <c r="B51" s="9">
        <v>104118</v>
      </c>
      <c r="C51" s="9">
        <v>105455</v>
      </c>
      <c r="D51" s="9">
        <v>107284</v>
      </c>
      <c r="E51" s="9">
        <v>114063</v>
      </c>
      <c r="F51" s="9">
        <v>104118</v>
      </c>
      <c r="G51" s="9">
        <v>116445</v>
      </c>
      <c r="H51" s="9">
        <v>117631.12</v>
      </c>
      <c r="I51" s="9">
        <v>119099.56</v>
      </c>
      <c r="J51" s="9">
        <v>120571.46</v>
      </c>
      <c r="K51" s="9">
        <v>116288.27</v>
      </c>
      <c r="L51" s="9">
        <v>122824.7</v>
      </c>
      <c r="M51" s="9">
        <v>124175</v>
      </c>
      <c r="N51" s="9">
        <v>125648.23</v>
      </c>
      <c r="O51" s="9">
        <v>126927.11</v>
      </c>
      <c r="P51" s="9">
        <v>122424.38</v>
      </c>
      <c r="Q51" s="9">
        <v>128845.55</v>
      </c>
      <c r="R51" s="9">
        <v>130161.77</v>
      </c>
      <c r="S51" s="9">
        <v>131493.88</v>
      </c>
      <c r="T51" s="9">
        <v>132435</v>
      </c>
      <c r="U51" s="9">
        <v>128009.92</v>
      </c>
      <c r="V51" s="9">
        <v>134483.97</v>
      </c>
      <c r="W51" s="9">
        <v>135772.44</v>
      </c>
      <c r="X51" s="9">
        <v>137028.54999999999</v>
      </c>
      <c r="Y51" s="9">
        <v>137720.49</v>
      </c>
      <c r="Z51" s="9">
        <v>133361.51</v>
      </c>
      <c r="AA51" s="9">
        <v>139419.44</v>
      </c>
      <c r="AB51" s="9">
        <v>140585.82999999999</v>
      </c>
      <c r="AC51" s="9">
        <v>141712.01</v>
      </c>
      <c r="AD51" s="9">
        <v>142265.22</v>
      </c>
      <c r="AE51" s="9">
        <v>138130.01</v>
      </c>
    </row>
    <row r="52" spans="1:31" x14ac:dyDescent="0.25">
      <c r="A52" s="3" t="s">
        <v>389</v>
      </c>
      <c r="B52" s="9">
        <v>4360.46</v>
      </c>
      <c r="C52" s="9">
        <v>4772.58</v>
      </c>
      <c r="D52" s="9">
        <v>5441.86</v>
      </c>
      <c r="E52" s="9">
        <v>5982.47</v>
      </c>
      <c r="F52" s="9">
        <v>20557.38</v>
      </c>
      <c r="G52" s="9">
        <v>4808.9799999999996</v>
      </c>
      <c r="H52" s="9">
        <v>4882.74</v>
      </c>
      <c r="I52" s="9">
        <v>5172.68</v>
      </c>
      <c r="J52" s="9">
        <v>5774.53</v>
      </c>
      <c r="K52" s="9">
        <v>20638.93</v>
      </c>
      <c r="L52" s="9">
        <v>4972.16</v>
      </c>
      <c r="M52" s="9">
        <v>5053.96</v>
      </c>
      <c r="N52" s="9">
        <v>5326.78</v>
      </c>
      <c r="O52" s="9">
        <v>5993.36</v>
      </c>
      <c r="P52" s="9">
        <v>21159.95</v>
      </c>
      <c r="Q52" s="9">
        <v>5307.46</v>
      </c>
      <c r="R52" s="9">
        <v>5317.08</v>
      </c>
      <c r="S52" s="9">
        <v>5694.43</v>
      </c>
      <c r="T52" s="9">
        <v>6319.89</v>
      </c>
      <c r="U52" s="9">
        <v>21563.74</v>
      </c>
      <c r="V52" s="9">
        <v>5360.72</v>
      </c>
      <c r="W52" s="9">
        <v>5354.48</v>
      </c>
      <c r="X52" s="9">
        <v>5723.26</v>
      </c>
      <c r="Y52" s="9">
        <v>6350.49</v>
      </c>
      <c r="Z52" s="9">
        <v>21830.28</v>
      </c>
      <c r="AA52" s="9">
        <v>5418.85</v>
      </c>
      <c r="AB52" s="9">
        <v>5400.58</v>
      </c>
      <c r="AC52" s="9">
        <v>5765.52</v>
      </c>
      <c r="AD52" s="9">
        <v>6399.3</v>
      </c>
      <c r="AE52" s="9">
        <v>22124.35</v>
      </c>
    </row>
    <row r="53" spans="1:31" x14ac:dyDescent="0.25">
      <c r="A53" s="3" t="s">
        <v>388</v>
      </c>
      <c r="B53" s="8" t="s">
        <v>359</v>
      </c>
      <c r="C53" s="8" t="s">
        <v>363</v>
      </c>
      <c r="D53" s="8" t="s">
        <v>387</v>
      </c>
      <c r="E53" s="8" t="s">
        <v>386</v>
      </c>
      <c r="F53" s="8" t="s">
        <v>354</v>
      </c>
      <c r="G53" s="8" t="s">
        <v>352</v>
      </c>
      <c r="H53" s="8" t="s">
        <v>384</v>
      </c>
      <c r="I53" s="8" t="s">
        <v>363</v>
      </c>
      <c r="J53" s="8" t="s">
        <v>385</v>
      </c>
      <c r="K53" s="8" t="s">
        <v>354</v>
      </c>
      <c r="L53" s="8" t="s">
        <v>361</v>
      </c>
      <c r="M53" s="8" t="s">
        <v>366</v>
      </c>
      <c r="N53" s="8" t="s">
        <v>384</v>
      </c>
      <c r="O53" s="8" t="s">
        <v>356</v>
      </c>
      <c r="P53" s="8" t="s">
        <v>359</v>
      </c>
      <c r="Q53" s="8" t="s">
        <v>383</v>
      </c>
      <c r="R53" s="8" t="s">
        <v>354</v>
      </c>
      <c r="S53" s="8" t="s">
        <v>382</v>
      </c>
      <c r="T53" s="8" t="s">
        <v>357</v>
      </c>
      <c r="U53" s="8" t="s">
        <v>352</v>
      </c>
      <c r="V53" s="8" t="s">
        <v>383</v>
      </c>
      <c r="W53" s="8" t="s">
        <v>354</v>
      </c>
      <c r="X53" s="8" t="s">
        <v>382</v>
      </c>
      <c r="Y53" s="8" t="s">
        <v>357</v>
      </c>
      <c r="Z53" s="8" t="s">
        <v>352</v>
      </c>
      <c r="AA53" s="8" t="s">
        <v>383</v>
      </c>
      <c r="AB53" s="8" t="s">
        <v>359</v>
      </c>
      <c r="AC53" s="8" t="s">
        <v>382</v>
      </c>
      <c r="AD53" s="8" t="s">
        <v>381</v>
      </c>
      <c r="AE53" s="8" t="s">
        <v>352</v>
      </c>
    </row>
    <row r="54" spans="1:31" x14ac:dyDescent="0.25">
      <c r="A54" s="3" t="s">
        <v>380</v>
      </c>
      <c r="B54" s="9">
        <v>3290.64</v>
      </c>
      <c r="C54" s="9">
        <v>3316.56</v>
      </c>
      <c r="D54" s="9">
        <v>3375.61</v>
      </c>
      <c r="E54" s="9">
        <v>3942.04</v>
      </c>
      <c r="F54" s="9">
        <v>13933</v>
      </c>
      <c r="G54" s="9">
        <v>3749.85</v>
      </c>
      <c r="H54" s="9">
        <v>3594.49</v>
      </c>
      <c r="I54" s="9">
        <v>3728.27</v>
      </c>
      <c r="J54" s="9">
        <v>4071.28</v>
      </c>
      <c r="K54" s="9">
        <v>15147.29</v>
      </c>
      <c r="L54" s="9">
        <v>3818.99</v>
      </c>
      <c r="M54" s="9">
        <v>3636.3</v>
      </c>
      <c r="N54" s="9">
        <v>3838.04</v>
      </c>
      <c r="O54" s="9">
        <v>4135.47</v>
      </c>
      <c r="P54" s="9">
        <v>15825.71</v>
      </c>
      <c r="Q54" s="9">
        <v>4304.92</v>
      </c>
      <c r="R54" s="9">
        <v>4138.53</v>
      </c>
      <c r="S54" s="9">
        <v>4368.38</v>
      </c>
      <c r="T54" s="9">
        <v>4650.8</v>
      </c>
      <c r="U54" s="9">
        <v>16767.259999999998</v>
      </c>
      <c r="V54" s="9">
        <v>4480.84</v>
      </c>
      <c r="W54" s="9">
        <v>4305.13</v>
      </c>
      <c r="X54" s="9">
        <v>4534.99</v>
      </c>
      <c r="Y54" s="9">
        <v>4818.33</v>
      </c>
      <c r="Z54" s="9">
        <v>17442.61</v>
      </c>
      <c r="AA54" s="9">
        <v>4638.63</v>
      </c>
      <c r="AB54" s="9">
        <v>4453.71</v>
      </c>
      <c r="AC54" s="9">
        <v>4683.63</v>
      </c>
      <c r="AD54" s="9">
        <v>4968.1499999999996</v>
      </c>
      <c r="AE54" s="9">
        <v>18062.689999999999</v>
      </c>
    </row>
    <row r="55" spans="1:31" x14ac:dyDescent="0.25">
      <c r="A55" s="4" t="s">
        <v>379</v>
      </c>
      <c r="B55" s="9">
        <v>1337</v>
      </c>
      <c r="C55" s="9">
        <v>1732</v>
      </c>
      <c r="D55" s="9">
        <v>2347</v>
      </c>
      <c r="E55" s="9">
        <v>2382</v>
      </c>
      <c r="F55" s="9">
        <v>7798</v>
      </c>
      <c r="G55" s="9">
        <v>1251.6400000000001</v>
      </c>
      <c r="H55" s="9">
        <v>1473.96</v>
      </c>
      <c r="I55" s="9">
        <v>1649.36</v>
      </c>
      <c r="J55" s="9">
        <v>1844.4</v>
      </c>
      <c r="K55" s="9">
        <v>6219.36</v>
      </c>
      <c r="L55" s="9">
        <v>1199.67</v>
      </c>
      <c r="M55" s="9">
        <v>1487.23</v>
      </c>
      <c r="N55" s="9">
        <v>1602.7</v>
      </c>
      <c r="O55" s="9">
        <v>1855.47</v>
      </c>
      <c r="P55" s="9">
        <v>5723.03</v>
      </c>
      <c r="Q55" s="9">
        <v>1156.8900000000001</v>
      </c>
      <c r="R55" s="9">
        <v>1351.14</v>
      </c>
      <c r="S55" s="9">
        <v>1465.6</v>
      </c>
      <c r="T55" s="9">
        <v>1741.93</v>
      </c>
      <c r="U55" s="9">
        <v>5206.6899999999996</v>
      </c>
      <c r="V55" s="9">
        <v>1115.33</v>
      </c>
      <c r="W55" s="9">
        <v>1310.18</v>
      </c>
      <c r="X55" s="9">
        <v>1374.88</v>
      </c>
      <c r="Y55" s="9">
        <v>1556.02</v>
      </c>
      <c r="Z55" s="9">
        <v>4878.09</v>
      </c>
      <c r="AA55" s="9">
        <v>1017.7</v>
      </c>
      <c r="AB55" s="9">
        <v>1205.94</v>
      </c>
      <c r="AC55" s="9">
        <v>1266.82</v>
      </c>
      <c r="AD55" s="9">
        <v>1450.54</v>
      </c>
      <c r="AE55" s="9">
        <v>4627.29</v>
      </c>
    </row>
    <row r="56" spans="1:31" x14ac:dyDescent="0.25">
      <c r="A56" s="3" t="s">
        <v>378</v>
      </c>
      <c r="B56" s="8" t="s">
        <v>54</v>
      </c>
      <c r="C56" s="9">
        <v>97</v>
      </c>
      <c r="D56" s="9">
        <v>4432</v>
      </c>
      <c r="E56" s="9">
        <v>35</v>
      </c>
      <c r="F56" s="9">
        <v>4529</v>
      </c>
      <c r="G56" s="10">
        <v>-61.15</v>
      </c>
      <c r="H56" s="10">
        <v>-16</v>
      </c>
      <c r="I56" s="8" t="s">
        <v>54</v>
      </c>
      <c r="J56" s="8" t="s">
        <v>54</v>
      </c>
      <c r="K56" s="10">
        <v>-77.150000000000006</v>
      </c>
      <c r="L56" s="8" t="s">
        <v>54</v>
      </c>
      <c r="M56" s="8" t="s">
        <v>54</v>
      </c>
      <c r="N56" s="8" t="s">
        <v>54</v>
      </c>
      <c r="O56" s="8" t="s">
        <v>54</v>
      </c>
      <c r="P56" s="8" t="s">
        <v>54</v>
      </c>
      <c r="Q56" s="8" t="s">
        <v>54</v>
      </c>
      <c r="R56" s="8" t="s">
        <v>54</v>
      </c>
      <c r="S56" s="8" t="s">
        <v>54</v>
      </c>
      <c r="T56" s="8" t="s">
        <v>54</v>
      </c>
      <c r="U56" s="8" t="s">
        <v>54</v>
      </c>
      <c r="V56" s="8" t="s">
        <v>54</v>
      </c>
      <c r="W56" s="8" t="s">
        <v>54</v>
      </c>
      <c r="X56" s="8" t="s">
        <v>54</v>
      </c>
      <c r="Y56" s="8" t="s">
        <v>54</v>
      </c>
      <c r="Z56" s="8" t="s">
        <v>54</v>
      </c>
      <c r="AA56" s="8" t="s">
        <v>54</v>
      </c>
      <c r="AB56" s="8" t="s">
        <v>54</v>
      </c>
      <c r="AC56" s="8" t="s">
        <v>54</v>
      </c>
      <c r="AD56" s="8" t="s">
        <v>54</v>
      </c>
      <c r="AE56" s="8" t="s">
        <v>54</v>
      </c>
    </row>
    <row r="57" spans="1:31" x14ac:dyDescent="0.25">
      <c r="A57" s="4" t="s">
        <v>377</v>
      </c>
      <c r="B57" s="9">
        <v>1337</v>
      </c>
      <c r="C57" s="9">
        <v>1829</v>
      </c>
      <c r="D57" s="9">
        <v>6779</v>
      </c>
      <c r="E57" s="9">
        <v>2382</v>
      </c>
      <c r="F57" s="9">
        <v>12327</v>
      </c>
      <c r="G57" s="9">
        <v>1354.04</v>
      </c>
      <c r="H57" s="9">
        <v>1468.44</v>
      </c>
      <c r="I57" s="9">
        <v>1471.9</v>
      </c>
      <c r="J57" s="9">
        <v>1887.16</v>
      </c>
      <c r="K57" s="9">
        <v>6136.1</v>
      </c>
      <c r="L57" s="9">
        <v>1350.3</v>
      </c>
      <c r="M57" s="9">
        <v>1473.23</v>
      </c>
      <c r="N57" s="9">
        <v>1278.8800000000001</v>
      </c>
      <c r="O57" s="9">
        <v>1920.38</v>
      </c>
      <c r="P57" s="9">
        <v>5637.75</v>
      </c>
      <c r="Q57" s="9">
        <v>1316.22</v>
      </c>
      <c r="R57" s="9">
        <v>1332.1</v>
      </c>
      <c r="S57" s="9">
        <v>941.12</v>
      </c>
      <c r="T57" s="9">
        <v>1848.66</v>
      </c>
      <c r="U57" s="9">
        <v>5129.1899999999996</v>
      </c>
      <c r="V57" s="9">
        <v>1288.47</v>
      </c>
      <c r="W57" s="9">
        <v>1256.1099999999999</v>
      </c>
      <c r="X57" s="9">
        <v>691.94</v>
      </c>
      <c r="Y57" s="9">
        <v>1698.95</v>
      </c>
      <c r="Z57" s="9">
        <v>4768.5</v>
      </c>
      <c r="AA57" s="9">
        <v>1166.3900000000001</v>
      </c>
      <c r="AB57" s="9">
        <v>1126.18</v>
      </c>
      <c r="AC57" s="9">
        <v>553.21</v>
      </c>
      <c r="AD57" s="9">
        <v>1569.89</v>
      </c>
      <c r="AE57" s="9">
        <v>4464.79</v>
      </c>
    </row>
    <row r="58" spans="1:31" x14ac:dyDescent="0.25">
      <c r="A58" s="4" t="s">
        <v>376</v>
      </c>
      <c r="B58" s="9">
        <v>105455</v>
      </c>
      <c r="C58" s="9">
        <v>107284</v>
      </c>
      <c r="D58" s="9">
        <v>114063</v>
      </c>
      <c r="E58" s="9">
        <v>116445</v>
      </c>
      <c r="F58" s="9">
        <v>116445</v>
      </c>
      <c r="G58" s="9">
        <v>117631.12</v>
      </c>
      <c r="H58" s="9">
        <v>119099.56</v>
      </c>
      <c r="I58" s="9">
        <v>120571.46</v>
      </c>
      <c r="J58" s="9">
        <v>122458.62</v>
      </c>
      <c r="K58" s="9">
        <v>122424.38</v>
      </c>
      <c r="L58" s="9">
        <v>124175</v>
      </c>
      <c r="M58" s="9">
        <v>125648.23</v>
      </c>
      <c r="N58" s="9">
        <v>126927.11</v>
      </c>
      <c r="O58" s="9">
        <v>128847.49</v>
      </c>
      <c r="P58" s="9">
        <v>128062.12</v>
      </c>
      <c r="Q58" s="9">
        <v>130161.77</v>
      </c>
      <c r="R58" s="9">
        <v>131493.88</v>
      </c>
      <c r="S58" s="9">
        <v>132435</v>
      </c>
      <c r="T58" s="9">
        <v>134283.66</v>
      </c>
      <c r="U58" s="9">
        <v>133139.10999999999</v>
      </c>
      <c r="V58" s="9">
        <v>135772.44</v>
      </c>
      <c r="W58" s="9">
        <v>137028.54999999999</v>
      </c>
      <c r="X58" s="9">
        <v>137720.49</v>
      </c>
      <c r="Y58" s="9">
        <v>139419.44</v>
      </c>
      <c r="Z58" s="9">
        <v>138130.01</v>
      </c>
      <c r="AA58" s="9">
        <v>140585.82999999999</v>
      </c>
      <c r="AB58" s="9">
        <v>141712.01</v>
      </c>
      <c r="AC58" s="9">
        <v>142265.22</v>
      </c>
      <c r="AD58" s="9">
        <v>143835.10999999999</v>
      </c>
      <c r="AE58" s="9">
        <v>142594.79999999999</v>
      </c>
    </row>
    <row r="59" spans="1:31" x14ac:dyDescent="0.25">
      <c r="A59" s="3" t="s">
        <v>375</v>
      </c>
      <c r="B59" s="9">
        <v>104786.5</v>
      </c>
      <c r="C59" s="9">
        <v>106369.5</v>
      </c>
      <c r="D59" s="9">
        <v>110673.5</v>
      </c>
      <c r="E59" s="9">
        <v>115254</v>
      </c>
      <c r="F59" s="9">
        <v>110281.5</v>
      </c>
      <c r="G59" s="9">
        <v>116954.1</v>
      </c>
      <c r="H59" s="9">
        <v>118365.34</v>
      </c>
      <c r="I59" s="9">
        <v>119835.51</v>
      </c>
      <c r="J59" s="9">
        <v>121515.04</v>
      </c>
      <c r="K59" s="9">
        <v>119346.07</v>
      </c>
      <c r="L59" s="9">
        <v>123499.85</v>
      </c>
      <c r="M59" s="9">
        <v>124911.62</v>
      </c>
      <c r="N59" s="9">
        <v>126287.67</v>
      </c>
      <c r="O59" s="9">
        <v>127887.3</v>
      </c>
      <c r="P59" s="9">
        <v>125258.83</v>
      </c>
      <c r="Q59" s="9">
        <v>129503.66</v>
      </c>
      <c r="R59" s="9">
        <v>130827.82</v>
      </c>
      <c r="S59" s="9">
        <v>131964.44</v>
      </c>
      <c r="T59" s="9">
        <v>133359.32999999999</v>
      </c>
      <c r="U59" s="9">
        <v>130560.44</v>
      </c>
      <c r="V59" s="9">
        <v>135128.21</v>
      </c>
      <c r="W59" s="9">
        <v>136400.49</v>
      </c>
      <c r="X59" s="9">
        <v>137374.51999999999</v>
      </c>
      <c r="Y59" s="9">
        <v>138569.96</v>
      </c>
      <c r="Z59" s="9">
        <v>135728.46</v>
      </c>
      <c r="AA59" s="9">
        <v>140002.63</v>
      </c>
      <c r="AB59" s="9">
        <v>141148.92000000001</v>
      </c>
      <c r="AC59" s="9">
        <v>141988.60999999999</v>
      </c>
      <c r="AD59" s="9">
        <v>143050.16</v>
      </c>
      <c r="AE59" s="9">
        <v>140345.09</v>
      </c>
    </row>
    <row r="60" spans="1:31" x14ac:dyDescent="0.25">
      <c r="A60" s="3" t="s">
        <v>374</v>
      </c>
      <c r="B60" s="9">
        <v>43.24</v>
      </c>
      <c r="C60" s="9">
        <v>44.12</v>
      </c>
      <c r="D60" s="9">
        <v>44.82</v>
      </c>
      <c r="E60" s="9">
        <v>44.48</v>
      </c>
      <c r="F60" s="9">
        <v>43.78</v>
      </c>
      <c r="G60" s="9">
        <v>44.53</v>
      </c>
      <c r="H60" s="9">
        <v>44.65</v>
      </c>
      <c r="I60" s="9">
        <v>44.79</v>
      </c>
      <c r="J60" s="9">
        <v>45</v>
      </c>
      <c r="K60" s="9">
        <v>44.65</v>
      </c>
      <c r="L60" s="9">
        <v>44.75</v>
      </c>
      <c r="M60" s="9">
        <v>44.75</v>
      </c>
      <c r="N60" s="9">
        <v>45.02</v>
      </c>
      <c r="O60" s="9">
        <v>45.2</v>
      </c>
      <c r="P60" s="9">
        <v>45.05</v>
      </c>
      <c r="Q60" s="9">
        <v>44.9</v>
      </c>
      <c r="R60" s="9">
        <v>44.86</v>
      </c>
      <c r="S60" s="9">
        <v>45.2</v>
      </c>
      <c r="T60" s="9">
        <v>45.31</v>
      </c>
      <c r="U60" s="9">
        <v>45.5</v>
      </c>
      <c r="V60" s="9">
        <v>45.28</v>
      </c>
      <c r="W60" s="9">
        <v>45.19</v>
      </c>
      <c r="X60" s="9">
        <v>45.65</v>
      </c>
      <c r="Y60" s="9">
        <v>45.69</v>
      </c>
      <c r="Z60" s="9">
        <v>46</v>
      </c>
      <c r="AA60" s="9">
        <v>45.63</v>
      </c>
      <c r="AB60" s="9">
        <v>45.54</v>
      </c>
      <c r="AC60" s="9">
        <v>46.02</v>
      </c>
      <c r="AD60" s="9">
        <v>46.05</v>
      </c>
      <c r="AE60" s="9">
        <v>46.45</v>
      </c>
    </row>
    <row r="61" spans="1:31" x14ac:dyDescent="0.25">
      <c r="A61" s="3" t="s">
        <v>373</v>
      </c>
      <c r="B61" s="9">
        <v>3.39</v>
      </c>
      <c r="C61" s="9">
        <v>3.41</v>
      </c>
      <c r="D61" s="9">
        <v>3.36</v>
      </c>
      <c r="E61" s="9">
        <v>3.4</v>
      </c>
      <c r="F61" s="9">
        <v>3.4</v>
      </c>
      <c r="G61" s="9">
        <v>3.42</v>
      </c>
      <c r="H61" s="9">
        <v>3.43</v>
      </c>
      <c r="I61" s="9">
        <v>3.44</v>
      </c>
      <c r="J61" s="9">
        <v>3.47</v>
      </c>
      <c r="K61" s="9">
        <v>3.46</v>
      </c>
      <c r="L61" s="9">
        <v>3.5</v>
      </c>
      <c r="M61" s="9">
        <v>3.52</v>
      </c>
      <c r="N61" s="9">
        <v>3.53</v>
      </c>
      <c r="O61" s="9">
        <v>3.56</v>
      </c>
      <c r="P61" s="9">
        <v>3.53</v>
      </c>
      <c r="Q61" s="9">
        <v>3.57</v>
      </c>
      <c r="R61" s="9">
        <v>3.59</v>
      </c>
      <c r="S61" s="9">
        <v>3.59</v>
      </c>
      <c r="T61" s="9">
        <v>3.62</v>
      </c>
      <c r="U61" s="9">
        <v>3.6</v>
      </c>
      <c r="V61" s="9">
        <v>3.63</v>
      </c>
      <c r="W61" s="9">
        <v>3.65</v>
      </c>
      <c r="X61" s="9">
        <v>3.64</v>
      </c>
      <c r="Y61" s="9">
        <v>3.68</v>
      </c>
      <c r="Z61" s="9">
        <v>3.66</v>
      </c>
      <c r="AA61" s="9">
        <v>3.69</v>
      </c>
      <c r="AB61" s="9">
        <v>3.72</v>
      </c>
      <c r="AC61" s="9">
        <v>3.69</v>
      </c>
      <c r="AD61" s="9">
        <v>3.74</v>
      </c>
      <c r="AE61" s="9">
        <v>3.72</v>
      </c>
    </row>
    <row r="62" spans="1:31" x14ac:dyDescent="0.25">
      <c r="A62" s="3" t="s">
        <v>346</v>
      </c>
      <c r="B62" s="9">
        <v>30996.5</v>
      </c>
      <c r="C62" s="9">
        <v>31300.5</v>
      </c>
      <c r="D62" s="9">
        <v>32740.5</v>
      </c>
      <c r="E62" s="9">
        <v>34109.5</v>
      </c>
      <c r="F62" s="9">
        <v>32567</v>
      </c>
      <c r="G62" s="9">
        <v>34339.5</v>
      </c>
      <c r="H62" s="9">
        <v>34569.5</v>
      </c>
      <c r="I62" s="9">
        <v>34821.4</v>
      </c>
      <c r="J62" s="9">
        <v>35086.14</v>
      </c>
      <c r="K62" s="9">
        <v>34706.75</v>
      </c>
      <c r="L62" s="9">
        <v>35320.1</v>
      </c>
      <c r="M62" s="9">
        <v>35548.19</v>
      </c>
      <c r="N62" s="9">
        <v>35812.160000000003</v>
      </c>
      <c r="O62" s="9">
        <v>36076.31</v>
      </c>
      <c r="P62" s="9">
        <v>35683.79</v>
      </c>
      <c r="Q62" s="9">
        <v>36290.04</v>
      </c>
      <c r="R62" s="9">
        <v>36495.72</v>
      </c>
      <c r="S62" s="9">
        <v>36750.71</v>
      </c>
      <c r="T62" s="9">
        <v>36984.379999999997</v>
      </c>
      <c r="U62" s="9">
        <v>36591.79</v>
      </c>
      <c r="V62" s="9">
        <v>37203.53</v>
      </c>
      <c r="W62" s="9">
        <v>37381.68</v>
      </c>
      <c r="X62" s="9">
        <v>37610.730000000003</v>
      </c>
      <c r="Y62" s="9">
        <v>37807.629999999997</v>
      </c>
      <c r="Z62" s="9">
        <v>37392.730000000003</v>
      </c>
      <c r="AA62" s="9">
        <v>37806.6</v>
      </c>
      <c r="AB62" s="9">
        <v>37937.74</v>
      </c>
      <c r="AC62" s="9">
        <v>38114.46</v>
      </c>
      <c r="AD62" s="9">
        <v>38254.85</v>
      </c>
      <c r="AE62" s="9">
        <v>38059.15</v>
      </c>
    </row>
    <row r="63" spans="1:31" x14ac:dyDescent="0.25">
      <c r="A63" s="3" t="s">
        <v>372</v>
      </c>
      <c r="B63" s="9">
        <v>146.22</v>
      </c>
      <c r="C63" s="9">
        <v>149.87</v>
      </c>
      <c r="D63" s="9">
        <v>149.44</v>
      </c>
      <c r="E63" s="9">
        <v>150.16999999999999</v>
      </c>
      <c r="F63" s="9">
        <v>148.93</v>
      </c>
      <c r="G63" s="9">
        <v>151.93</v>
      </c>
      <c r="H63" s="9">
        <v>152.91</v>
      </c>
      <c r="I63" s="9">
        <v>153.96</v>
      </c>
      <c r="J63" s="9">
        <v>155.51</v>
      </c>
      <c r="K63" s="9">
        <v>153.51</v>
      </c>
      <c r="L63" s="9">
        <v>156.41999999999999</v>
      </c>
      <c r="M63" s="9">
        <v>157.46</v>
      </c>
      <c r="N63" s="9">
        <v>158.74</v>
      </c>
      <c r="O63" s="9">
        <v>160.11000000000001</v>
      </c>
      <c r="P63" s="9">
        <v>158.16999999999999</v>
      </c>
      <c r="Q63" s="9">
        <v>160.63</v>
      </c>
      <c r="R63" s="9">
        <v>161.28</v>
      </c>
      <c r="S63" s="9">
        <v>162.63</v>
      </c>
      <c r="T63" s="9">
        <v>163.76</v>
      </c>
      <c r="U63" s="9">
        <v>162.63999999999999</v>
      </c>
      <c r="V63" s="9">
        <v>165.02</v>
      </c>
      <c r="W63" s="9">
        <v>165.55</v>
      </c>
      <c r="X63" s="9">
        <v>167.14</v>
      </c>
      <c r="Y63" s="9">
        <v>167.97</v>
      </c>
      <c r="Z63" s="9">
        <v>167.07</v>
      </c>
      <c r="AA63" s="9">
        <v>168.94</v>
      </c>
      <c r="AB63" s="9">
        <v>169.41</v>
      </c>
      <c r="AC63" s="9">
        <v>171.42</v>
      </c>
      <c r="AD63" s="9">
        <v>172.16</v>
      </c>
      <c r="AE63" s="9">
        <v>171.35</v>
      </c>
    </row>
    <row r="64" spans="1:31" x14ac:dyDescent="0.25">
      <c r="A64" s="4" t="s">
        <v>371</v>
      </c>
      <c r="B64" s="9">
        <v>13594</v>
      </c>
      <c r="C64" s="9">
        <v>14078</v>
      </c>
      <c r="D64" s="9">
        <v>14882</v>
      </c>
      <c r="E64" s="9">
        <v>15378</v>
      </c>
      <c r="F64" s="9">
        <v>57932</v>
      </c>
      <c r="G64" s="9">
        <v>15629</v>
      </c>
      <c r="H64" s="9">
        <v>15853</v>
      </c>
      <c r="I64" s="9">
        <v>16096.01</v>
      </c>
      <c r="J64" s="9">
        <v>16403.48</v>
      </c>
      <c r="K64" s="9">
        <v>63930.52</v>
      </c>
      <c r="L64" s="9">
        <v>16596.919999999998</v>
      </c>
      <c r="M64" s="9">
        <v>16812.97</v>
      </c>
      <c r="N64" s="9">
        <v>17069.830000000002</v>
      </c>
      <c r="O64" s="9">
        <v>17340.86</v>
      </c>
      <c r="P64" s="9">
        <v>67767.899999999994</v>
      </c>
      <c r="Q64" s="9">
        <v>17487.63</v>
      </c>
      <c r="R64" s="9">
        <v>17658.59</v>
      </c>
      <c r="S64" s="9">
        <v>17930.419999999998</v>
      </c>
      <c r="T64" s="9">
        <v>18169.87</v>
      </c>
      <c r="U64" s="9">
        <v>71428.58</v>
      </c>
      <c r="V64" s="9">
        <v>18418.68</v>
      </c>
      <c r="W64" s="9">
        <v>18566.419999999998</v>
      </c>
      <c r="X64" s="9">
        <v>18859.259999999998</v>
      </c>
      <c r="Y64" s="9">
        <v>19051.47</v>
      </c>
      <c r="Z64" s="9">
        <v>75190.17</v>
      </c>
      <c r="AA64" s="9">
        <v>19160.79</v>
      </c>
      <c r="AB64" s="9">
        <v>19282.62</v>
      </c>
      <c r="AC64" s="9">
        <v>19600.88</v>
      </c>
      <c r="AD64" s="9">
        <v>19757.8</v>
      </c>
      <c r="AE64" s="9">
        <v>78549.240000000005</v>
      </c>
    </row>
    <row r="65" spans="1:31" x14ac:dyDescent="0.25">
      <c r="A65" s="4" t="s">
        <v>65</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25">
      <c r="A66" s="3" t="s">
        <v>370</v>
      </c>
      <c r="B66" s="9">
        <v>1076.21</v>
      </c>
      <c r="C66" s="9">
        <v>1176.33</v>
      </c>
      <c r="D66" s="9">
        <v>1312.71</v>
      </c>
      <c r="E66" s="9">
        <v>1321.14</v>
      </c>
      <c r="F66" s="9">
        <v>4886.3999999999996</v>
      </c>
      <c r="G66" s="9">
        <v>1288.3900000000001</v>
      </c>
      <c r="H66" s="9">
        <v>1299.8399999999999</v>
      </c>
      <c r="I66" s="9">
        <v>1347.18</v>
      </c>
      <c r="J66" s="9">
        <v>1415.62</v>
      </c>
      <c r="K66" s="9">
        <v>5348.68</v>
      </c>
      <c r="L66" s="9">
        <v>1295.44</v>
      </c>
      <c r="M66" s="9">
        <v>1307.49</v>
      </c>
      <c r="N66" s="9">
        <v>1396.02</v>
      </c>
      <c r="O66" s="9">
        <v>1434.4</v>
      </c>
      <c r="P66" s="9">
        <v>5457.3</v>
      </c>
      <c r="Q66" s="9">
        <v>1306.95</v>
      </c>
      <c r="R66" s="9">
        <v>1266.48</v>
      </c>
      <c r="S66" s="9">
        <v>1460.38</v>
      </c>
      <c r="T66" s="9">
        <v>1366.62</v>
      </c>
      <c r="U66" s="9">
        <v>5431.05</v>
      </c>
      <c r="V66" s="9">
        <v>1435.92</v>
      </c>
      <c r="W66" s="9">
        <v>1148.57</v>
      </c>
      <c r="X66" s="9">
        <v>1609.62</v>
      </c>
      <c r="Y66" s="9">
        <v>1290.79</v>
      </c>
      <c r="Z66" s="9">
        <v>5498.12</v>
      </c>
      <c r="AA66" s="9">
        <v>1600.39</v>
      </c>
      <c r="AB66" s="9">
        <v>784.05</v>
      </c>
      <c r="AC66" s="9">
        <v>1763.67</v>
      </c>
      <c r="AD66" s="9">
        <v>954.8</v>
      </c>
      <c r="AE66" s="9">
        <v>5368.26</v>
      </c>
    </row>
    <row r="67" spans="1:31" x14ac:dyDescent="0.25">
      <c r="A67" s="3" t="s">
        <v>369</v>
      </c>
      <c r="B67" s="8" t="s">
        <v>368</v>
      </c>
      <c r="C67" s="8" t="s">
        <v>367</v>
      </c>
      <c r="D67" s="8" t="s">
        <v>366</v>
      </c>
      <c r="E67" s="8" t="s">
        <v>363</v>
      </c>
      <c r="F67" s="8" t="s">
        <v>362</v>
      </c>
      <c r="G67" s="8" t="s">
        <v>363</v>
      </c>
      <c r="H67" s="8" t="s">
        <v>365</v>
      </c>
      <c r="I67" s="8" t="s">
        <v>359</v>
      </c>
      <c r="J67" s="8" t="s">
        <v>356</v>
      </c>
      <c r="K67" s="8" t="s">
        <v>363</v>
      </c>
      <c r="L67" s="8" t="s">
        <v>363</v>
      </c>
      <c r="M67" s="8" t="s">
        <v>364</v>
      </c>
      <c r="N67" s="8" t="s">
        <v>361</v>
      </c>
      <c r="O67" s="8" t="s">
        <v>356</v>
      </c>
      <c r="P67" s="8" t="s">
        <v>363</v>
      </c>
      <c r="Q67" s="8" t="s">
        <v>363</v>
      </c>
      <c r="R67" s="8" t="s">
        <v>362</v>
      </c>
      <c r="S67" s="8" t="s">
        <v>361</v>
      </c>
      <c r="T67" s="8" t="s">
        <v>360</v>
      </c>
      <c r="U67" s="8" t="s">
        <v>359</v>
      </c>
      <c r="V67" s="8" t="s">
        <v>356</v>
      </c>
      <c r="W67" s="8" t="s">
        <v>358</v>
      </c>
      <c r="X67" s="8" t="s">
        <v>352</v>
      </c>
      <c r="Y67" s="8" t="s">
        <v>357</v>
      </c>
      <c r="Z67" s="8" t="s">
        <v>352</v>
      </c>
      <c r="AA67" s="8" t="s">
        <v>356</v>
      </c>
      <c r="AB67" s="8" t="s">
        <v>355</v>
      </c>
      <c r="AC67" s="8" t="s">
        <v>354</v>
      </c>
      <c r="AD67" s="8" t="s">
        <v>353</v>
      </c>
      <c r="AE67" s="8" t="s">
        <v>352</v>
      </c>
    </row>
    <row r="68" spans="1:31" x14ac:dyDescent="0.25">
      <c r="A68" s="3" t="s">
        <v>351</v>
      </c>
      <c r="B68" s="9">
        <v>874.1</v>
      </c>
      <c r="C68" s="9">
        <v>863.89</v>
      </c>
      <c r="D68" s="9">
        <v>952.75</v>
      </c>
      <c r="E68" s="9">
        <v>1064.22</v>
      </c>
      <c r="F68" s="9">
        <v>3754.96</v>
      </c>
      <c r="G68" s="9">
        <v>1071.3900000000001</v>
      </c>
      <c r="H68" s="9">
        <v>1026.71</v>
      </c>
      <c r="I68" s="9">
        <v>1095.99</v>
      </c>
      <c r="J68" s="9">
        <v>1138.26</v>
      </c>
      <c r="K68" s="9">
        <v>4326.5600000000004</v>
      </c>
      <c r="L68" s="9">
        <v>1095.18</v>
      </c>
      <c r="M68" s="9">
        <v>1045.8599999999999</v>
      </c>
      <c r="N68" s="9">
        <v>1106.07</v>
      </c>
      <c r="O68" s="9">
        <v>1167.08</v>
      </c>
      <c r="P68" s="9">
        <v>4444.1400000000003</v>
      </c>
      <c r="Q68" s="9">
        <v>1132.95</v>
      </c>
      <c r="R68" s="9">
        <v>1057</v>
      </c>
      <c r="S68" s="9">
        <v>1141.8900000000001</v>
      </c>
      <c r="T68" s="9">
        <v>1215.76</v>
      </c>
      <c r="U68" s="9">
        <v>4600.63</v>
      </c>
      <c r="V68" s="9">
        <v>1202.28</v>
      </c>
      <c r="W68" s="9">
        <v>1069.99</v>
      </c>
      <c r="X68" s="9">
        <v>1207.94</v>
      </c>
      <c r="Y68" s="9">
        <v>1311.92</v>
      </c>
      <c r="Z68" s="9">
        <v>4798.5200000000004</v>
      </c>
      <c r="AA68" s="9">
        <v>1224.01</v>
      </c>
      <c r="AB68" s="9">
        <v>1018.53</v>
      </c>
      <c r="AC68" s="9">
        <v>1203.95</v>
      </c>
      <c r="AD68" s="9">
        <v>1325.65</v>
      </c>
      <c r="AE68" s="9">
        <v>4859.34</v>
      </c>
    </row>
    <row r="69" spans="1:31" x14ac:dyDescent="0.25">
      <c r="A69" s="4" t="s">
        <v>350</v>
      </c>
      <c r="B69" s="9">
        <v>205</v>
      </c>
      <c r="C69" s="9">
        <v>318</v>
      </c>
      <c r="D69" s="9">
        <v>396</v>
      </c>
      <c r="E69" s="9">
        <v>261</v>
      </c>
      <c r="F69" s="9">
        <v>1180</v>
      </c>
      <c r="G69" s="9">
        <v>217</v>
      </c>
      <c r="H69" s="9">
        <v>277</v>
      </c>
      <c r="I69" s="9">
        <v>251.92</v>
      </c>
      <c r="J69" s="9">
        <v>277.12</v>
      </c>
      <c r="K69" s="9">
        <v>1018.14</v>
      </c>
      <c r="L69" s="9">
        <v>200.07</v>
      </c>
      <c r="M69" s="9">
        <v>256.12</v>
      </c>
      <c r="N69" s="9">
        <v>271.83</v>
      </c>
      <c r="O69" s="9">
        <v>256.45999999999998</v>
      </c>
      <c r="P69" s="9">
        <v>940.76</v>
      </c>
      <c r="Q69" s="9">
        <v>185.2</v>
      </c>
      <c r="R69" s="9">
        <v>226.18</v>
      </c>
      <c r="S69" s="9">
        <v>283.8</v>
      </c>
      <c r="T69" s="9">
        <v>183.54</v>
      </c>
      <c r="U69" s="9">
        <v>873.66</v>
      </c>
      <c r="V69" s="9">
        <v>214.59</v>
      </c>
      <c r="W69" s="9">
        <v>141.71</v>
      </c>
      <c r="X69" s="9">
        <v>316.39999999999998</v>
      </c>
      <c r="Y69" s="9">
        <v>77.38</v>
      </c>
      <c r="Z69" s="9">
        <v>762.04</v>
      </c>
      <c r="AA69" s="9">
        <v>271.95999999999998</v>
      </c>
      <c r="AB69" s="10">
        <v>-9.68</v>
      </c>
      <c r="AC69" s="9">
        <v>363.12</v>
      </c>
      <c r="AD69" s="10">
        <v>-82.33</v>
      </c>
      <c r="AE69" s="9">
        <v>661.24</v>
      </c>
    </row>
    <row r="70" spans="1:31" x14ac:dyDescent="0.25">
      <c r="A70" s="3" t="s">
        <v>349</v>
      </c>
      <c r="B70" s="8" t="s">
        <v>54</v>
      </c>
      <c r="C70" s="9">
        <v>85</v>
      </c>
      <c r="D70" s="9">
        <v>2081</v>
      </c>
      <c r="E70" s="9">
        <v>2166</v>
      </c>
      <c r="F70" s="9">
        <v>2166</v>
      </c>
      <c r="G70" s="10">
        <v>-18</v>
      </c>
      <c r="H70" s="10">
        <v>-16</v>
      </c>
      <c r="I70" s="8" t="s">
        <v>54</v>
      </c>
      <c r="J70" s="8" t="s">
        <v>54</v>
      </c>
      <c r="K70" s="10">
        <v>-32.799999999999997</v>
      </c>
      <c r="L70" s="8" t="s">
        <v>54</v>
      </c>
      <c r="M70" s="8" t="s">
        <v>54</v>
      </c>
      <c r="N70" s="8" t="s">
        <v>54</v>
      </c>
      <c r="O70" s="8" t="s">
        <v>54</v>
      </c>
      <c r="P70" s="8" t="s">
        <v>54</v>
      </c>
      <c r="Q70" s="8" t="s">
        <v>54</v>
      </c>
      <c r="R70" s="8" t="s">
        <v>54</v>
      </c>
      <c r="S70" s="8" t="s">
        <v>54</v>
      </c>
      <c r="T70" s="8" t="s">
        <v>54</v>
      </c>
      <c r="U70" s="8" t="s">
        <v>54</v>
      </c>
      <c r="V70" s="8" t="s">
        <v>54</v>
      </c>
      <c r="W70" s="8" t="s">
        <v>54</v>
      </c>
      <c r="X70" s="8" t="s">
        <v>54</v>
      </c>
      <c r="Y70" s="8" t="s">
        <v>54</v>
      </c>
      <c r="Z70" s="8" t="s">
        <v>54</v>
      </c>
      <c r="AA70" s="8" t="s">
        <v>54</v>
      </c>
      <c r="AB70" s="8" t="s">
        <v>54</v>
      </c>
      <c r="AC70" s="8" t="s">
        <v>54</v>
      </c>
      <c r="AD70" s="8" t="s">
        <v>54</v>
      </c>
      <c r="AE70" s="8" t="s">
        <v>54</v>
      </c>
    </row>
    <row r="71" spans="1:31" x14ac:dyDescent="0.25">
      <c r="A71" s="4" t="s">
        <v>348</v>
      </c>
      <c r="B71" s="9">
        <v>205</v>
      </c>
      <c r="C71" s="9">
        <v>318</v>
      </c>
      <c r="D71" s="9">
        <v>396</v>
      </c>
      <c r="E71" s="9">
        <v>261</v>
      </c>
      <c r="F71" s="9">
        <v>3346</v>
      </c>
      <c r="G71" s="9">
        <v>199</v>
      </c>
      <c r="H71" s="9">
        <v>261</v>
      </c>
      <c r="I71" s="9">
        <v>251.92</v>
      </c>
      <c r="J71" s="9">
        <v>277.12</v>
      </c>
      <c r="K71" s="9">
        <v>994.77</v>
      </c>
      <c r="L71" s="9">
        <v>200.07</v>
      </c>
      <c r="M71" s="9">
        <v>256.12</v>
      </c>
      <c r="N71" s="9">
        <v>271.83</v>
      </c>
      <c r="O71" s="9">
        <v>256.45999999999998</v>
      </c>
      <c r="P71" s="9">
        <v>940.76</v>
      </c>
      <c r="Q71" s="9">
        <v>185.2</v>
      </c>
      <c r="R71" s="9">
        <v>226.18</v>
      </c>
      <c r="S71" s="9">
        <v>283.8</v>
      </c>
      <c r="T71" s="9">
        <v>183.54</v>
      </c>
      <c r="U71" s="9">
        <v>873.66</v>
      </c>
      <c r="V71" s="9">
        <v>214.59</v>
      </c>
      <c r="W71" s="9">
        <v>141.71</v>
      </c>
      <c r="X71" s="9">
        <v>316.39999999999998</v>
      </c>
      <c r="Y71" s="9">
        <v>77.38</v>
      </c>
      <c r="Z71" s="9">
        <v>762.04</v>
      </c>
      <c r="AA71" s="9">
        <v>271.95999999999998</v>
      </c>
      <c r="AB71" s="10">
        <v>-9.68</v>
      </c>
      <c r="AC71" s="9">
        <v>363.12</v>
      </c>
      <c r="AD71" s="10">
        <v>-82.33</v>
      </c>
      <c r="AE71" s="9">
        <v>661.24</v>
      </c>
    </row>
    <row r="72" spans="1:31" x14ac:dyDescent="0.25">
      <c r="A72" s="3" t="s">
        <v>347</v>
      </c>
      <c r="B72" s="9">
        <v>31099</v>
      </c>
      <c r="C72" s="9">
        <v>31502</v>
      </c>
      <c r="D72" s="9">
        <v>33979</v>
      </c>
      <c r="E72" s="9">
        <v>34240</v>
      </c>
      <c r="F72" s="9">
        <v>34240</v>
      </c>
      <c r="G72" s="9">
        <v>34439</v>
      </c>
      <c r="H72" s="9">
        <v>34700</v>
      </c>
      <c r="I72" s="9">
        <v>34946.82</v>
      </c>
      <c r="J72" s="9">
        <v>35223.94</v>
      </c>
      <c r="K72" s="9">
        <v>35225.94</v>
      </c>
      <c r="L72" s="9">
        <v>35420.129999999997</v>
      </c>
      <c r="M72" s="9">
        <v>35676.25</v>
      </c>
      <c r="N72" s="9">
        <v>35948.080000000002</v>
      </c>
      <c r="O72" s="9">
        <v>36204.54</v>
      </c>
      <c r="P72" s="9">
        <v>36166.69</v>
      </c>
      <c r="Q72" s="9">
        <v>36382.639999999999</v>
      </c>
      <c r="R72" s="9">
        <v>36608.81</v>
      </c>
      <c r="S72" s="9">
        <v>36892.61</v>
      </c>
      <c r="T72" s="9">
        <v>37076.15</v>
      </c>
      <c r="U72" s="9">
        <v>37021.300000000003</v>
      </c>
      <c r="V72" s="9">
        <v>37310.82</v>
      </c>
      <c r="W72" s="9">
        <v>37452.53</v>
      </c>
      <c r="X72" s="9">
        <v>37768.93</v>
      </c>
      <c r="Y72" s="9">
        <v>37846.32</v>
      </c>
      <c r="Z72" s="9">
        <v>37794.81</v>
      </c>
      <c r="AA72" s="9">
        <v>37942.58</v>
      </c>
      <c r="AB72" s="9">
        <v>37932.9</v>
      </c>
      <c r="AC72" s="9">
        <v>38296.019999999997</v>
      </c>
      <c r="AD72" s="9">
        <v>38213.69</v>
      </c>
      <c r="AE72" s="9">
        <v>38393.18</v>
      </c>
    </row>
    <row r="73" spans="1:31" x14ac:dyDescent="0.25">
      <c r="A73" s="3" t="s">
        <v>346</v>
      </c>
      <c r="B73" s="9">
        <v>30996.5</v>
      </c>
      <c r="C73" s="9">
        <v>31300.5</v>
      </c>
      <c r="D73" s="9">
        <v>32740.5</v>
      </c>
      <c r="E73" s="9">
        <v>34109.5</v>
      </c>
      <c r="F73" s="9">
        <v>32567</v>
      </c>
      <c r="G73" s="9">
        <v>34339.5</v>
      </c>
      <c r="H73" s="9">
        <v>34569.5</v>
      </c>
      <c r="I73" s="9">
        <v>34821.4</v>
      </c>
      <c r="J73" s="9">
        <v>35086.14</v>
      </c>
      <c r="K73" s="9">
        <v>34706.75</v>
      </c>
      <c r="L73" s="9">
        <v>35320.1</v>
      </c>
      <c r="M73" s="9">
        <v>35548.19</v>
      </c>
      <c r="N73" s="9">
        <v>35812.160000000003</v>
      </c>
      <c r="O73" s="9">
        <v>36076.31</v>
      </c>
      <c r="P73" s="9">
        <v>35683.79</v>
      </c>
      <c r="Q73" s="9">
        <v>36290.04</v>
      </c>
      <c r="R73" s="9">
        <v>36495.72</v>
      </c>
      <c r="S73" s="9">
        <v>36750.71</v>
      </c>
      <c r="T73" s="9">
        <v>36984.379999999997</v>
      </c>
      <c r="U73" s="9">
        <v>36591.79</v>
      </c>
      <c r="V73" s="9">
        <v>37203.53</v>
      </c>
      <c r="W73" s="9">
        <v>37381.68</v>
      </c>
      <c r="X73" s="9">
        <v>37610.730000000003</v>
      </c>
      <c r="Y73" s="9">
        <v>37807.629999999997</v>
      </c>
      <c r="Z73" s="9">
        <v>37392.730000000003</v>
      </c>
      <c r="AA73" s="9">
        <v>37806.6</v>
      </c>
      <c r="AB73" s="9">
        <v>37937.74</v>
      </c>
      <c r="AC73" s="9">
        <v>38114.46</v>
      </c>
      <c r="AD73" s="9">
        <v>38254.85</v>
      </c>
      <c r="AE73" s="9">
        <v>38059.15</v>
      </c>
    </row>
    <row r="74" spans="1:31" x14ac:dyDescent="0.25">
      <c r="A74" s="3" t="s">
        <v>345</v>
      </c>
      <c r="B74" s="9">
        <v>54.54</v>
      </c>
      <c r="C74" s="9">
        <v>55.27</v>
      </c>
      <c r="D74" s="9">
        <v>56.18</v>
      </c>
      <c r="E74" s="9">
        <v>56.24</v>
      </c>
      <c r="F74" s="9">
        <v>55.07</v>
      </c>
      <c r="G74" s="9">
        <v>54.37</v>
      </c>
      <c r="H74" s="9">
        <v>53.98</v>
      </c>
      <c r="I74" s="9">
        <v>52.56</v>
      </c>
      <c r="J74" s="9">
        <v>52.75</v>
      </c>
      <c r="K74" s="9">
        <v>53.46</v>
      </c>
      <c r="L74" s="9">
        <v>50.9</v>
      </c>
      <c r="M74" s="9">
        <v>51.3</v>
      </c>
      <c r="N74" s="9">
        <v>51.66</v>
      </c>
      <c r="O74" s="9">
        <v>52.12</v>
      </c>
      <c r="P74" s="9">
        <v>52.36</v>
      </c>
      <c r="Q74" s="8" t="s">
        <v>54</v>
      </c>
      <c r="R74" s="8" t="s">
        <v>54</v>
      </c>
      <c r="S74" s="8" t="s">
        <v>54</v>
      </c>
      <c r="T74" s="8" t="s">
        <v>54</v>
      </c>
      <c r="U74" s="9">
        <v>53.07</v>
      </c>
      <c r="V74" s="8" t="s">
        <v>54</v>
      </c>
      <c r="W74" s="8" t="s">
        <v>54</v>
      </c>
      <c r="X74" s="8" t="s">
        <v>54</v>
      </c>
      <c r="Y74" s="8" t="s">
        <v>54</v>
      </c>
      <c r="Z74" s="9">
        <v>54.51</v>
      </c>
      <c r="AA74" s="8" t="s">
        <v>54</v>
      </c>
      <c r="AB74" s="8" t="s">
        <v>54</v>
      </c>
      <c r="AC74" s="8" t="s">
        <v>54</v>
      </c>
      <c r="AD74" s="8" t="s">
        <v>54</v>
      </c>
      <c r="AE74" s="9">
        <v>55.23</v>
      </c>
    </row>
    <row r="75" spans="1:31" x14ac:dyDescent="0.25">
      <c r="A75" s="3" t="s">
        <v>344</v>
      </c>
      <c r="B75" s="9">
        <v>184.39</v>
      </c>
      <c r="C75" s="9">
        <v>187.82</v>
      </c>
      <c r="D75" s="9">
        <v>189.9</v>
      </c>
      <c r="E75" s="9">
        <v>190.04</v>
      </c>
      <c r="F75" s="9">
        <v>186.49</v>
      </c>
      <c r="G75" s="9">
        <v>192.17</v>
      </c>
      <c r="H75" s="9">
        <v>192.7</v>
      </c>
      <c r="I75" s="9">
        <v>181.24</v>
      </c>
      <c r="J75" s="9">
        <v>183.26</v>
      </c>
      <c r="K75" s="9">
        <v>184.63</v>
      </c>
      <c r="L75" s="9">
        <v>177.87</v>
      </c>
      <c r="M75" s="9">
        <v>180.17</v>
      </c>
      <c r="N75" s="9">
        <v>182.43</v>
      </c>
      <c r="O75" s="9">
        <v>185.28</v>
      </c>
      <c r="P75" s="9">
        <v>184.72</v>
      </c>
      <c r="Q75" s="8" t="s">
        <v>54</v>
      </c>
      <c r="R75" s="8" t="s">
        <v>54</v>
      </c>
      <c r="S75" s="8" t="s">
        <v>54</v>
      </c>
      <c r="T75" s="8" t="s">
        <v>54</v>
      </c>
      <c r="U75" s="9">
        <v>190.67</v>
      </c>
      <c r="V75" s="8" t="s">
        <v>54</v>
      </c>
      <c r="W75" s="8" t="s">
        <v>54</v>
      </c>
      <c r="X75" s="8" t="s">
        <v>54</v>
      </c>
      <c r="Y75" s="8" t="s">
        <v>54</v>
      </c>
      <c r="Z75" s="9">
        <v>200.3</v>
      </c>
      <c r="AA75" s="8" t="s">
        <v>54</v>
      </c>
      <c r="AB75" s="8" t="s">
        <v>54</v>
      </c>
      <c r="AC75" s="8" t="s">
        <v>54</v>
      </c>
      <c r="AD75" s="8" t="s">
        <v>54</v>
      </c>
      <c r="AE75" s="9">
        <v>206.51</v>
      </c>
    </row>
    <row r="76" spans="1:31" x14ac:dyDescent="0.25">
      <c r="A76" s="4" t="s">
        <v>221</v>
      </c>
      <c r="B76" s="9">
        <v>17146</v>
      </c>
      <c r="C76" s="9">
        <v>17637</v>
      </c>
      <c r="D76" s="9">
        <v>18652</v>
      </c>
      <c r="E76" s="9">
        <v>19446</v>
      </c>
      <c r="F76" s="9">
        <v>72881</v>
      </c>
      <c r="G76" s="9">
        <v>19797</v>
      </c>
      <c r="H76" s="9">
        <v>19985</v>
      </c>
      <c r="I76" s="9">
        <v>18936.05</v>
      </c>
      <c r="J76" s="9">
        <v>19291.84</v>
      </c>
      <c r="K76" s="9">
        <v>76703.5</v>
      </c>
      <c r="L76" s="9">
        <v>18839.02</v>
      </c>
      <c r="M76" s="9">
        <v>19184.66</v>
      </c>
      <c r="N76" s="9">
        <v>19553.52</v>
      </c>
      <c r="O76" s="9">
        <v>19989.32</v>
      </c>
      <c r="P76" s="9">
        <v>78912.89</v>
      </c>
      <c r="Q76" s="8" t="s">
        <v>54</v>
      </c>
      <c r="R76" s="8" t="s">
        <v>54</v>
      </c>
      <c r="S76" s="8" t="s">
        <v>54</v>
      </c>
      <c r="T76" s="8" t="s">
        <v>54</v>
      </c>
      <c r="U76" s="9">
        <v>83420.800000000003</v>
      </c>
      <c r="V76" s="8" t="s">
        <v>54</v>
      </c>
      <c r="W76" s="8" t="s">
        <v>54</v>
      </c>
      <c r="X76" s="8" t="s">
        <v>54</v>
      </c>
      <c r="Y76" s="8" t="s">
        <v>54</v>
      </c>
      <c r="Z76" s="9">
        <v>89612.91</v>
      </c>
      <c r="AA76" s="8" t="s">
        <v>54</v>
      </c>
      <c r="AB76" s="8" t="s">
        <v>54</v>
      </c>
      <c r="AC76" s="8" t="s">
        <v>54</v>
      </c>
      <c r="AD76" s="8" t="s">
        <v>54</v>
      </c>
      <c r="AE76" s="9">
        <v>94128.97</v>
      </c>
    </row>
    <row r="77" spans="1:31" x14ac:dyDescent="0.25">
      <c r="A77" s="4" t="s">
        <v>65</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spans="1:31" x14ac:dyDescent="0.25">
      <c r="A78" s="4" t="s">
        <v>343</v>
      </c>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spans="1:31" x14ac:dyDescent="0.25">
      <c r="A79" s="3" t="s">
        <v>342</v>
      </c>
      <c r="B79" s="9">
        <v>25410</v>
      </c>
      <c r="C79" s="9">
        <v>25455</v>
      </c>
      <c r="D79" s="9">
        <v>25494</v>
      </c>
      <c r="E79" s="9">
        <v>25886</v>
      </c>
      <c r="F79" s="9">
        <v>25410</v>
      </c>
      <c r="G79" s="9">
        <v>25943</v>
      </c>
      <c r="H79" s="9">
        <v>25949.86</v>
      </c>
      <c r="I79" s="9">
        <v>25982.16</v>
      </c>
      <c r="J79" s="9">
        <v>26013.17</v>
      </c>
      <c r="K79" s="9">
        <v>25921.19</v>
      </c>
      <c r="L79" s="9">
        <v>26068.07</v>
      </c>
      <c r="M79" s="9">
        <v>26098.61</v>
      </c>
      <c r="N79" s="9">
        <v>26129.74</v>
      </c>
      <c r="O79" s="9">
        <v>26155.53</v>
      </c>
      <c r="P79" s="9">
        <v>26061.72</v>
      </c>
      <c r="Q79" s="9">
        <v>26181.91</v>
      </c>
      <c r="R79" s="9">
        <v>26203.84</v>
      </c>
      <c r="S79" s="9">
        <v>26234.01</v>
      </c>
      <c r="T79" s="9">
        <v>26258.12</v>
      </c>
      <c r="U79" s="9">
        <v>26194.51</v>
      </c>
      <c r="V79" s="9">
        <v>26287.48</v>
      </c>
      <c r="W79" s="9">
        <v>26305.33</v>
      </c>
      <c r="X79" s="9">
        <v>26329.96</v>
      </c>
      <c r="Y79" s="9">
        <v>26348.5</v>
      </c>
      <c r="Z79" s="9">
        <v>26265.25</v>
      </c>
      <c r="AA79" s="9">
        <v>26215.74</v>
      </c>
      <c r="AB79" s="9">
        <v>26190.3</v>
      </c>
      <c r="AC79" s="9">
        <v>26188.5</v>
      </c>
      <c r="AD79" s="9">
        <v>26174.78</v>
      </c>
      <c r="AE79" s="9">
        <v>26303.46</v>
      </c>
    </row>
    <row r="80" spans="1:31" x14ac:dyDescent="0.25">
      <c r="A80" s="3" t="s">
        <v>341</v>
      </c>
      <c r="B80" s="9">
        <v>2089.77</v>
      </c>
      <c r="C80" s="9">
        <v>2064.2199999999998</v>
      </c>
      <c r="D80" s="9">
        <v>2177.84</v>
      </c>
      <c r="E80" s="9">
        <v>2202.7199999999998</v>
      </c>
      <c r="F80" s="9">
        <v>8534.56</v>
      </c>
      <c r="G80" s="9">
        <v>2111.9</v>
      </c>
      <c r="H80" s="9">
        <v>2091.12</v>
      </c>
      <c r="I80" s="9">
        <v>2167.6</v>
      </c>
      <c r="J80" s="9">
        <v>2190.35</v>
      </c>
      <c r="K80" s="9">
        <v>8551.74</v>
      </c>
      <c r="L80" s="9">
        <v>2118.27</v>
      </c>
      <c r="M80" s="9">
        <v>2090.16</v>
      </c>
      <c r="N80" s="9">
        <v>2170.6799999999998</v>
      </c>
      <c r="O80" s="9">
        <v>2187.5300000000002</v>
      </c>
      <c r="P80" s="9">
        <v>7903.69</v>
      </c>
      <c r="Q80" s="9">
        <v>2126.5700000000002</v>
      </c>
      <c r="R80" s="9">
        <v>2121.7399999999998</v>
      </c>
      <c r="S80" s="9">
        <v>2183.02</v>
      </c>
      <c r="T80" s="9">
        <v>2199.1799999999998</v>
      </c>
      <c r="U80" s="9">
        <v>7797.04</v>
      </c>
      <c r="V80" s="9">
        <v>2135.6</v>
      </c>
      <c r="W80" s="9">
        <v>2131.94</v>
      </c>
      <c r="X80" s="9">
        <v>2185.3000000000002</v>
      </c>
      <c r="Y80" s="9">
        <v>2195.0700000000002</v>
      </c>
      <c r="Z80" s="9">
        <v>7692.01</v>
      </c>
      <c r="AA80" s="9">
        <v>2116.4699999999998</v>
      </c>
      <c r="AB80" s="9">
        <v>2136.8000000000002</v>
      </c>
      <c r="AC80" s="9">
        <v>2167.6</v>
      </c>
      <c r="AD80" s="9">
        <v>2172.31</v>
      </c>
      <c r="AE80" s="9">
        <v>7546.78</v>
      </c>
    </row>
    <row r="81" spans="1:31" x14ac:dyDescent="0.25">
      <c r="A81" s="3" t="s">
        <v>340</v>
      </c>
      <c r="B81" s="8" t="s">
        <v>332</v>
      </c>
      <c r="C81" s="8" t="s">
        <v>335</v>
      </c>
      <c r="D81" s="8" t="s">
        <v>287</v>
      </c>
      <c r="E81" s="8" t="s">
        <v>338</v>
      </c>
      <c r="F81" s="8" t="s">
        <v>334</v>
      </c>
      <c r="G81" s="8" t="s">
        <v>332</v>
      </c>
      <c r="H81" s="8" t="s">
        <v>335</v>
      </c>
      <c r="I81" s="8" t="s">
        <v>339</v>
      </c>
      <c r="J81" s="8" t="s">
        <v>338</v>
      </c>
      <c r="K81" s="8" t="s">
        <v>337</v>
      </c>
      <c r="L81" s="8" t="s">
        <v>336</v>
      </c>
      <c r="M81" s="8" t="s">
        <v>330</v>
      </c>
      <c r="N81" s="8" t="s">
        <v>331</v>
      </c>
      <c r="O81" s="8" t="s">
        <v>331</v>
      </c>
      <c r="P81" s="8" t="s">
        <v>273</v>
      </c>
      <c r="Q81" s="8" t="s">
        <v>332</v>
      </c>
      <c r="R81" s="8" t="s">
        <v>278</v>
      </c>
      <c r="S81" s="8" t="s">
        <v>331</v>
      </c>
      <c r="T81" s="8" t="s">
        <v>268</v>
      </c>
      <c r="U81" s="8" t="s">
        <v>278</v>
      </c>
      <c r="V81" s="8" t="s">
        <v>336</v>
      </c>
      <c r="W81" s="8" t="s">
        <v>335</v>
      </c>
      <c r="X81" s="8" t="s">
        <v>334</v>
      </c>
      <c r="Y81" s="8" t="s">
        <v>334</v>
      </c>
      <c r="Z81" s="8" t="s">
        <v>333</v>
      </c>
      <c r="AA81" s="8" t="s">
        <v>292</v>
      </c>
      <c r="AB81" s="8" t="s">
        <v>332</v>
      </c>
      <c r="AC81" s="8" t="s">
        <v>331</v>
      </c>
      <c r="AD81" s="8" t="s">
        <v>268</v>
      </c>
      <c r="AE81" s="8" t="s">
        <v>330</v>
      </c>
    </row>
    <row r="82" spans="1:31" x14ac:dyDescent="0.25">
      <c r="A82" s="3" t="s">
        <v>329</v>
      </c>
      <c r="B82" s="9">
        <v>2044.77</v>
      </c>
      <c r="C82" s="9">
        <v>2025.22</v>
      </c>
      <c r="D82" s="9">
        <v>2134.84</v>
      </c>
      <c r="E82" s="9">
        <v>2145.7199999999998</v>
      </c>
      <c r="F82" s="9">
        <v>8350.56</v>
      </c>
      <c r="G82" s="9">
        <v>2085.85</v>
      </c>
      <c r="H82" s="9">
        <v>2063.1999999999998</v>
      </c>
      <c r="I82" s="9">
        <v>2140.23</v>
      </c>
      <c r="J82" s="9">
        <v>2150.41</v>
      </c>
      <c r="K82" s="9">
        <v>8436.25</v>
      </c>
      <c r="L82" s="9">
        <v>2089.21</v>
      </c>
      <c r="M82" s="9">
        <v>2061.4699999999998</v>
      </c>
      <c r="N82" s="9">
        <v>2146.5</v>
      </c>
      <c r="O82" s="9">
        <v>2149.5700000000002</v>
      </c>
      <c r="P82" s="9">
        <v>8422.1299999999992</v>
      </c>
      <c r="Q82" s="9">
        <v>2102.69</v>
      </c>
      <c r="R82" s="9">
        <v>2089.63</v>
      </c>
      <c r="S82" s="9">
        <v>2155.8000000000002</v>
      </c>
      <c r="T82" s="9">
        <v>2153.25</v>
      </c>
      <c r="U82" s="9">
        <v>8374.1</v>
      </c>
      <c r="V82" s="9">
        <v>2107</v>
      </c>
      <c r="W82" s="9">
        <v>2095.87</v>
      </c>
      <c r="X82" s="9">
        <v>2154.61</v>
      </c>
      <c r="Y82" s="9">
        <v>2152.92</v>
      </c>
      <c r="Z82" s="9">
        <v>8333.61</v>
      </c>
      <c r="AA82" s="9">
        <v>2124.63</v>
      </c>
      <c r="AB82" s="9">
        <v>2114.77</v>
      </c>
      <c r="AC82" s="9">
        <v>2158.4499999999998</v>
      </c>
      <c r="AD82" s="9">
        <v>2156.25</v>
      </c>
      <c r="AE82" s="9">
        <v>8297.7099999999991</v>
      </c>
    </row>
    <row r="83" spans="1:31" x14ac:dyDescent="0.25">
      <c r="A83" s="4" t="s">
        <v>328</v>
      </c>
      <c r="B83" s="9">
        <v>45</v>
      </c>
      <c r="C83" s="9">
        <v>39</v>
      </c>
      <c r="D83" s="9">
        <v>43</v>
      </c>
      <c r="E83" s="9">
        <v>57</v>
      </c>
      <c r="F83" s="9">
        <v>184</v>
      </c>
      <c r="G83" s="9">
        <v>29.56</v>
      </c>
      <c r="H83" s="9">
        <v>31.61</v>
      </c>
      <c r="I83" s="9">
        <v>33.24</v>
      </c>
      <c r="J83" s="9">
        <v>45.83</v>
      </c>
      <c r="K83" s="9">
        <v>141.88</v>
      </c>
      <c r="L83" s="9">
        <v>34.97</v>
      </c>
      <c r="M83" s="9">
        <v>30.78</v>
      </c>
      <c r="N83" s="9">
        <v>25.89</v>
      </c>
      <c r="O83" s="9">
        <v>34.11</v>
      </c>
      <c r="P83" s="9">
        <v>139.80000000000001</v>
      </c>
      <c r="Q83" s="9">
        <v>25.86</v>
      </c>
      <c r="R83" s="9">
        <v>34.94</v>
      </c>
      <c r="S83" s="9">
        <v>29.48</v>
      </c>
      <c r="T83" s="9">
        <v>39.270000000000003</v>
      </c>
      <c r="U83" s="9">
        <v>132.55000000000001</v>
      </c>
      <c r="V83" s="9">
        <v>28.6</v>
      </c>
      <c r="W83" s="9">
        <v>36.07</v>
      </c>
      <c r="X83" s="9">
        <v>30.7</v>
      </c>
      <c r="Y83" s="9">
        <v>42.15</v>
      </c>
      <c r="Z83" s="9">
        <v>116.32</v>
      </c>
      <c r="AA83" s="10">
        <v>-8.15</v>
      </c>
      <c r="AB83" s="9">
        <v>22.03</v>
      </c>
      <c r="AC83" s="9">
        <v>9.14</v>
      </c>
      <c r="AD83" s="9">
        <v>16.059999999999999</v>
      </c>
      <c r="AE83" s="9">
        <v>79.14</v>
      </c>
    </row>
    <row r="84" spans="1:31" x14ac:dyDescent="0.25">
      <c r="A84" s="3" t="s">
        <v>327</v>
      </c>
      <c r="B84" s="9">
        <v>3504</v>
      </c>
      <c r="C84" s="10">
        <v>-211</v>
      </c>
      <c r="D84" s="9">
        <v>349</v>
      </c>
      <c r="E84" s="8" t="s">
        <v>54</v>
      </c>
      <c r="F84" s="9">
        <v>349</v>
      </c>
      <c r="G84" s="8" t="s">
        <v>54</v>
      </c>
      <c r="H84" s="8" t="s">
        <v>54</v>
      </c>
      <c r="I84" s="8" t="s">
        <v>54</v>
      </c>
      <c r="J84" s="8" t="s">
        <v>54</v>
      </c>
      <c r="K84" s="8" t="s">
        <v>54</v>
      </c>
      <c r="L84" s="8" t="s">
        <v>54</v>
      </c>
      <c r="M84" s="8" t="s">
        <v>54</v>
      </c>
      <c r="N84" s="8" t="s">
        <v>54</v>
      </c>
      <c r="O84" s="8" t="s">
        <v>54</v>
      </c>
      <c r="P84" s="8" t="s">
        <v>54</v>
      </c>
      <c r="Q84" s="8" t="s">
        <v>54</v>
      </c>
      <c r="R84" s="8" t="s">
        <v>54</v>
      </c>
      <c r="S84" s="8" t="s">
        <v>54</v>
      </c>
      <c r="T84" s="8" t="s">
        <v>54</v>
      </c>
      <c r="U84" s="8" t="s">
        <v>54</v>
      </c>
      <c r="V84" s="8" t="s">
        <v>54</v>
      </c>
      <c r="W84" s="8" t="s">
        <v>54</v>
      </c>
      <c r="X84" s="8" t="s">
        <v>54</v>
      </c>
      <c r="Y84" s="8" t="s">
        <v>54</v>
      </c>
      <c r="Z84" s="8" t="s">
        <v>54</v>
      </c>
      <c r="AA84" s="8" t="s">
        <v>54</v>
      </c>
      <c r="AB84" s="8" t="s">
        <v>54</v>
      </c>
      <c r="AC84" s="8" t="s">
        <v>54</v>
      </c>
      <c r="AD84" s="8" t="s">
        <v>54</v>
      </c>
      <c r="AE84" s="8" t="s">
        <v>54</v>
      </c>
    </row>
    <row r="85" spans="1:31" x14ac:dyDescent="0.25">
      <c r="A85" s="4" t="s">
        <v>326</v>
      </c>
      <c r="B85" s="9">
        <v>45</v>
      </c>
      <c r="C85" s="9">
        <v>39</v>
      </c>
      <c r="D85" s="9">
        <v>392</v>
      </c>
      <c r="E85" s="9">
        <v>57</v>
      </c>
      <c r="F85" s="9">
        <v>533</v>
      </c>
      <c r="G85" s="9">
        <v>30.12</v>
      </c>
      <c r="H85" s="9">
        <v>32.299999999999997</v>
      </c>
      <c r="I85" s="9">
        <v>33.22</v>
      </c>
      <c r="J85" s="9">
        <v>44.69</v>
      </c>
      <c r="K85" s="9">
        <v>149.9</v>
      </c>
      <c r="L85" s="9">
        <v>34.35</v>
      </c>
      <c r="M85" s="9">
        <v>31.14</v>
      </c>
      <c r="N85" s="9">
        <v>25.79</v>
      </c>
      <c r="O85" s="9">
        <v>32.880000000000003</v>
      </c>
      <c r="P85" s="9">
        <v>145.58000000000001</v>
      </c>
      <c r="Q85" s="9">
        <v>21.93</v>
      </c>
      <c r="R85" s="9">
        <v>30.17</v>
      </c>
      <c r="S85" s="9">
        <v>24.12</v>
      </c>
      <c r="T85" s="9">
        <v>31.94</v>
      </c>
      <c r="U85" s="9">
        <v>132.29</v>
      </c>
      <c r="V85" s="9">
        <v>17.86</v>
      </c>
      <c r="W85" s="9">
        <v>24.63</v>
      </c>
      <c r="X85" s="9">
        <v>18.53</v>
      </c>
      <c r="Y85" s="9">
        <v>27.3</v>
      </c>
      <c r="Z85" s="9">
        <v>97.59</v>
      </c>
      <c r="AA85" s="10">
        <v>-25.44</v>
      </c>
      <c r="AB85" s="10">
        <v>-1.8</v>
      </c>
      <c r="AC85" s="10">
        <v>-13.72</v>
      </c>
      <c r="AD85" s="10">
        <v>-9.0399999999999991</v>
      </c>
      <c r="AE85" s="9">
        <v>43.1</v>
      </c>
    </row>
    <row r="86" spans="1:31" x14ac:dyDescent="0.25">
      <c r="A86" s="4" t="s">
        <v>325</v>
      </c>
      <c r="B86" s="9">
        <v>25455</v>
      </c>
      <c r="C86" s="9">
        <v>25494</v>
      </c>
      <c r="D86" s="9">
        <v>25886</v>
      </c>
      <c r="E86" s="9">
        <v>25943</v>
      </c>
      <c r="F86" s="9">
        <v>25943</v>
      </c>
      <c r="G86" s="9">
        <v>25949.86</v>
      </c>
      <c r="H86" s="9">
        <v>25982.16</v>
      </c>
      <c r="I86" s="9">
        <v>26013.17</v>
      </c>
      <c r="J86" s="9">
        <v>26052.3</v>
      </c>
      <c r="K86" s="9">
        <v>26061.72</v>
      </c>
      <c r="L86" s="9">
        <v>26098.61</v>
      </c>
      <c r="M86" s="9">
        <v>26129.74</v>
      </c>
      <c r="N86" s="9">
        <v>26155.53</v>
      </c>
      <c r="O86" s="9">
        <v>26188.41</v>
      </c>
      <c r="P86" s="9">
        <v>26207.29</v>
      </c>
      <c r="Q86" s="9">
        <v>26203.84</v>
      </c>
      <c r="R86" s="9">
        <v>26234.01</v>
      </c>
      <c r="S86" s="9">
        <v>26258.12</v>
      </c>
      <c r="T86" s="9">
        <v>26290.06</v>
      </c>
      <c r="U86" s="9">
        <v>26326.799999999999</v>
      </c>
      <c r="V86" s="9">
        <v>26305.33</v>
      </c>
      <c r="W86" s="9">
        <v>26329.96</v>
      </c>
      <c r="X86" s="9">
        <v>26348.5</v>
      </c>
      <c r="Y86" s="9">
        <v>26375.79</v>
      </c>
      <c r="Z86" s="9">
        <v>26362.84</v>
      </c>
      <c r="AA86" s="9">
        <v>26190.3</v>
      </c>
      <c r="AB86" s="9">
        <v>26188.5</v>
      </c>
      <c r="AC86" s="9">
        <v>26174.78</v>
      </c>
      <c r="AD86" s="9">
        <v>26165.74</v>
      </c>
      <c r="AE86" s="9">
        <v>26346.57</v>
      </c>
    </row>
    <row r="87" spans="1:31" x14ac:dyDescent="0.25">
      <c r="A87" s="3" t="s">
        <v>324</v>
      </c>
      <c r="B87" s="9">
        <v>25432.5</v>
      </c>
      <c r="C87" s="9">
        <v>25474.5</v>
      </c>
      <c r="D87" s="9">
        <v>25690</v>
      </c>
      <c r="E87" s="9">
        <v>25914.5</v>
      </c>
      <c r="F87" s="9">
        <v>25676.5</v>
      </c>
      <c r="G87" s="9">
        <v>25934.79</v>
      </c>
      <c r="H87" s="9">
        <v>25966.01</v>
      </c>
      <c r="I87" s="9">
        <v>25997.66</v>
      </c>
      <c r="J87" s="9">
        <v>26032.73</v>
      </c>
      <c r="K87" s="9">
        <v>25993.1</v>
      </c>
      <c r="L87" s="9">
        <v>26083.34</v>
      </c>
      <c r="M87" s="9">
        <v>26114.18</v>
      </c>
      <c r="N87" s="9">
        <v>26142.639999999999</v>
      </c>
      <c r="O87" s="9">
        <v>26171.97</v>
      </c>
      <c r="P87" s="9">
        <v>26136.42</v>
      </c>
      <c r="Q87" s="9">
        <v>26192.87</v>
      </c>
      <c r="R87" s="9">
        <v>26218.92</v>
      </c>
      <c r="S87" s="9">
        <v>26246.07</v>
      </c>
      <c r="T87" s="9">
        <v>26274.09</v>
      </c>
      <c r="U87" s="9">
        <v>26260.54</v>
      </c>
      <c r="V87" s="9">
        <v>26296.41</v>
      </c>
      <c r="W87" s="9">
        <v>26317.65</v>
      </c>
      <c r="X87" s="9">
        <v>26339.23</v>
      </c>
      <c r="Y87" s="9">
        <v>26362.14</v>
      </c>
      <c r="Z87" s="9">
        <v>26313.98</v>
      </c>
      <c r="AA87" s="9">
        <v>26203.02</v>
      </c>
      <c r="AB87" s="9">
        <v>26189.4</v>
      </c>
      <c r="AC87" s="9">
        <v>26181.64</v>
      </c>
      <c r="AD87" s="9">
        <v>26170.26</v>
      </c>
      <c r="AE87" s="9">
        <v>26324.720000000001</v>
      </c>
    </row>
    <row r="88" spans="1:31" x14ac:dyDescent="0.25">
      <c r="A88" s="3" t="s">
        <v>323</v>
      </c>
      <c r="B88" s="9">
        <v>34.64</v>
      </c>
      <c r="C88" s="9">
        <v>34.58</v>
      </c>
      <c r="D88" s="9">
        <v>33.93</v>
      </c>
      <c r="E88" s="9">
        <v>33.33</v>
      </c>
      <c r="F88" s="9">
        <v>34.14</v>
      </c>
      <c r="G88" s="9">
        <v>32.31</v>
      </c>
      <c r="H88" s="9">
        <v>32.049999999999997</v>
      </c>
      <c r="I88" s="9">
        <v>32.32</v>
      </c>
      <c r="J88" s="9">
        <v>32.24</v>
      </c>
      <c r="K88" s="9">
        <v>32.090000000000003</v>
      </c>
      <c r="L88" s="9">
        <v>32.549999999999997</v>
      </c>
      <c r="M88" s="9">
        <v>32.25</v>
      </c>
      <c r="N88" s="9">
        <v>32.26</v>
      </c>
      <c r="O88" s="9">
        <v>32.200000000000003</v>
      </c>
      <c r="P88" s="9">
        <v>32.03</v>
      </c>
      <c r="Q88" s="9">
        <v>32.67</v>
      </c>
      <c r="R88" s="9">
        <v>32.17</v>
      </c>
      <c r="S88" s="9">
        <v>32.29</v>
      </c>
      <c r="T88" s="9">
        <v>32.03</v>
      </c>
      <c r="U88" s="9">
        <v>31.74</v>
      </c>
      <c r="V88" s="9">
        <v>32.68</v>
      </c>
      <c r="W88" s="9">
        <v>32.200000000000003</v>
      </c>
      <c r="X88" s="9">
        <v>32.020000000000003</v>
      </c>
      <c r="Y88" s="9">
        <v>31.48</v>
      </c>
      <c r="Z88" s="9">
        <v>31.51</v>
      </c>
      <c r="AA88" s="9">
        <v>32.31</v>
      </c>
      <c r="AB88" s="9">
        <v>32.17</v>
      </c>
      <c r="AC88" s="9">
        <v>31.66</v>
      </c>
      <c r="AD88" s="9">
        <v>31.07</v>
      </c>
      <c r="AE88" s="9">
        <v>31.21</v>
      </c>
    </row>
    <row r="89" spans="1:31" x14ac:dyDescent="0.25">
      <c r="A89" s="4" t="s">
        <v>322</v>
      </c>
      <c r="B89" s="9">
        <v>2643</v>
      </c>
      <c r="C89" s="9">
        <v>2643</v>
      </c>
      <c r="D89" s="9">
        <v>2625</v>
      </c>
      <c r="E89" s="9">
        <v>2586</v>
      </c>
      <c r="F89" s="9">
        <v>10497</v>
      </c>
      <c r="G89" s="9">
        <v>2517</v>
      </c>
      <c r="H89" s="9">
        <v>2473</v>
      </c>
      <c r="I89" s="9">
        <v>2481.39</v>
      </c>
      <c r="J89" s="9">
        <v>2482.4899999999998</v>
      </c>
      <c r="K89" s="9">
        <v>9967.2099999999991</v>
      </c>
      <c r="L89" s="9">
        <v>2469.5</v>
      </c>
      <c r="M89" s="9">
        <v>2443.48</v>
      </c>
      <c r="N89" s="9">
        <v>2447.14</v>
      </c>
      <c r="O89" s="9">
        <v>2441.1999999999998</v>
      </c>
      <c r="P89" s="9">
        <v>9886.9</v>
      </c>
      <c r="Q89" s="9">
        <v>2519.36</v>
      </c>
      <c r="R89" s="9">
        <v>2476.79</v>
      </c>
      <c r="S89" s="9">
        <v>2490.96</v>
      </c>
      <c r="T89" s="9">
        <v>2479.85</v>
      </c>
      <c r="U89" s="9">
        <v>9914.01</v>
      </c>
      <c r="V89" s="9">
        <v>2503.4</v>
      </c>
      <c r="W89" s="9">
        <v>2461.09</v>
      </c>
      <c r="X89" s="9">
        <v>2452.4899999999998</v>
      </c>
      <c r="Y89" s="9">
        <v>2420.4499999999998</v>
      </c>
      <c r="Z89" s="9">
        <v>9835.1299999999992</v>
      </c>
      <c r="AA89" s="9">
        <v>2427.69</v>
      </c>
      <c r="AB89" s="9">
        <v>2408.96</v>
      </c>
      <c r="AC89" s="9">
        <v>2373.86</v>
      </c>
      <c r="AD89" s="9">
        <v>2338.09</v>
      </c>
      <c r="AE89" s="9">
        <v>9735.64</v>
      </c>
    </row>
    <row r="90" spans="1:31" x14ac:dyDescent="0.25">
      <c r="A90" s="4" t="s">
        <v>65</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spans="1:31" x14ac:dyDescent="0.25">
      <c r="A91" s="4" t="s">
        <v>321</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spans="1:31" x14ac:dyDescent="0.25">
      <c r="A92" s="3" t="s">
        <v>320</v>
      </c>
      <c r="B92" s="9">
        <v>129528</v>
      </c>
      <c r="C92" s="9">
        <v>130910</v>
      </c>
      <c r="D92" s="9">
        <v>132778</v>
      </c>
      <c r="E92" s="9">
        <v>139949</v>
      </c>
      <c r="F92" s="9">
        <v>129528</v>
      </c>
      <c r="G92" s="9">
        <v>142388</v>
      </c>
      <c r="H92" s="9">
        <v>143578.15</v>
      </c>
      <c r="I92" s="9">
        <v>145081.15</v>
      </c>
      <c r="J92" s="9">
        <v>146584.92000000001</v>
      </c>
      <c r="K92" s="9">
        <v>142208.01</v>
      </c>
      <c r="L92" s="9">
        <v>148894.09</v>
      </c>
      <c r="M92" s="9">
        <v>150268.67000000001</v>
      </c>
      <c r="N92" s="9">
        <v>151772.95000000001</v>
      </c>
      <c r="O92" s="9">
        <v>153074.84</v>
      </c>
      <c r="P92" s="9">
        <v>148486.37</v>
      </c>
      <c r="Q92" s="9">
        <v>155005.09</v>
      </c>
      <c r="R92" s="9">
        <v>156326.44</v>
      </c>
      <c r="S92" s="9">
        <v>157683.73000000001</v>
      </c>
      <c r="T92" s="9">
        <v>158639.87</v>
      </c>
      <c r="U92" s="9">
        <v>154197.34</v>
      </c>
      <c r="V92" s="9">
        <v>160688.20000000001</v>
      </c>
      <c r="W92" s="9">
        <v>161967.65</v>
      </c>
      <c r="X92" s="9">
        <v>163236.35999999999</v>
      </c>
      <c r="Y92" s="9">
        <v>163929.99</v>
      </c>
      <c r="Z92" s="9">
        <v>159594.47</v>
      </c>
      <c r="AA92" s="9">
        <v>165635.18</v>
      </c>
      <c r="AB92" s="9">
        <v>166776.13</v>
      </c>
      <c r="AC92" s="9">
        <v>167900.51</v>
      </c>
      <c r="AD92" s="9">
        <v>168439.99</v>
      </c>
      <c r="AE92" s="9">
        <v>164433.47</v>
      </c>
    </row>
    <row r="93" spans="1:31" x14ac:dyDescent="0.25">
      <c r="A93" s="3" t="s">
        <v>319</v>
      </c>
      <c r="B93" s="9">
        <v>6504.1</v>
      </c>
      <c r="C93" s="9">
        <v>6896.71</v>
      </c>
      <c r="D93" s="9">
        <v>7716.88</v>
      </c>
      <c r="E93" s="9">
        <v>8270.15</v>
      </c>
      <c r="F93" s="9">
        <v>29387.84</v>
      </c>
      <c r="G93" s="9">
        <v>7003</v>
      </c>
      <c r="H93" s="9">
        <v>7083.93</v>
      </c>
      <c r="I93" s="9">
        <v>7394.7</v>
      </c>
      <c r="J93" s="9">
        <v>8032.23</v>
      </c>
      <c r="K93" s="9">
        <v>29513.86</v>
      </c>
      <c r="L93" s="9">
        <v>7074.35</v>
      </c>
      <c r="M93" s="9">
        <v>7138.73</v>
      </c>
      <c r="N93" s="9">
        <v>7475</v>
      </c>
      <c r="O93" s="9">
        <v>8156.03</v>
      </c>
      <c r="P93" s="9">
        <v>29877.79</v>
      </c>
      <c r="Q93" s="9">
        <v>7421.61</v>
      </c>
      <c r="R93" s="9">
        <v>7477.26</v>
      </c>
      <c r="S93" s="9">
        <v>7853.45</v>
      </c>
      <c r="T93" s="9">
        <v>8490.5300000000007</v>
      </c>
      <c r="U93" s="9">
        <v>30102.42</v>
      </c>
      <c r="V93" s="9">
        <v>7470.67</v>
      </c>
      <c r="W93" s="9">
        <v>7502.84</v>
      </c>
      <c r="X93" s="9">
        <v>7873.33</v>
      </c>
      <c r="Y93" s="9">
        <v>8510.82</v>
      </c>
      <c r="Z93" s="9">
        <v>30266.01</v>
      </c>
      <c r="AA93" s="9">
        <v>7518.18</v>
      </c>
      <c r="AB93" s="9">
        <v>7541.63</v>
      </c>
      <c r="AC93" s="9">
        <v>7905.68</v>
      </c>
      <c r="AD93" s="9">
        <v>8549.98</v>
      </c>
      <c r="AE93" s="9">
        <v>30429.42</v>
      </c>
    </row>
    <row r="94" spans="1:31" x14ac:dyDescent="0.25">
      <c r="A94" s="3" t="s">
        <v>318</v>
      </c>
      <c r="B94" s="8" t="s">
        <v>308</v>
      </c>
      <c r="C94" s="8" t="s">
        <v>317</v>
      </c>
      <c r="D94" s="8" t="s">
        <v>317</v>
      </c>
      <c r="E94" s="8" t="s">
        <v>312</v>
      </c>
      <c r="F94" s="8" t="s">
        <v>308</v>
      </c>
      <c r="G94" s="8" t="s">
        <v>308</v>
      </c>
      <c r="H94" s="8" t="s">
        <v>315</v>
      </c>
      <c r="I94" s="8" t="s">
        <v>314</v>
      </c>
      <c r="J94" s="8" t="s">
        <v>307</v>
      </c>
      <c r="K94" s="8" t="s">
        <v>317</v>
      </c>
      <c r="L94" s="8" t="s">
        <v>306</v>
      </c>
      <c r="M94" s="8" t="s">
        <v>316</v>
      </c>
      <c r="N94" s="8" t="s">
        <v>315</v>
      </c>
      <c r="O94" s="8" t="s">
        <v>308</v>
      </c>
      <c r="P94" s="8" t="s">
        <v>309</v>
      </c>
      <c r="Q94" s="8" t="s">
        <v>313</v>
      </c>
      <c r="R94" s="8" t="s">
        <v>314</v>
      </c>
      <c r="S94" s="8" t="s">
        <v>313</v>
      </c>
      <c r="T94" s="8" t="s">
        <v>312</v>
      </c>
      <c r="U94" s="8" t="s">
        <v>309</v>
      </c>
      <c r="V94" s="8" t="s">
        <v>311</v>
      </c>
      <c r="W94" s="8" t="s">
        <v>309</v>
      </c>
      <c r="X94" s="8" t="s">
        <v>311</v>
      </c>
      <c r="Y94" s="8" t="s">
        <v>310</v>
      </c>
      <c r="Z94" s="8" t="s">
        <v>309</v>
      </c>
      <c r="AA94" s="8" t="s">
        <v>308</v>
      </c>
      <c r="AB94" s="8" t="s">
        <v>306</v>
      </c>
      <c r="AC94" s="8" t="s">
        <v>308</v>
      </c>
      <c r="AD94" s="8" t="s">
        <v>307</v>
      </c>
      <c r="AE94" s="8" t="s">
        <v>306</v>
      </c>
    </row>
    <row r="95" spans="1:31" x14ac:dyDescent="0.25">
      <c r="A95" s="3" t="s">
        <v>305</v>
      </c>
      <c r="B95" s="9">
        <v>5313.45</v>
      </c>
      <c r="C95" s="9">
        <v>5322.21</v>
      </c>
      <c r="D95" s="9">
        <v>5506.19</v>
      </c>
      <c r="E95" s="9">
        <v>6049.11</v>
      </c>
      <c r="F95" s="9">
        <v>22191.52</v>
      </c>
      <c r="G95" s="9">
        <v>5833.75</v>
      </c>
      <c r="H95" s="9">
        <v>5646.99</v>
      </c>
      <c r="I95" s="9">
        <v>5864.05</v>
      </c>
      <c r="J95" s="9">
        <v>6223.56</v>
      </c>
      <c r="K95" s="9">
        <v>23573.63</v>
      </c>
      <c r="L95" s="9">
        <v>5915.39</v>
      </c>
      <c r="M95" s="9">
        <v>5692.65</v>
      </c>
      <c r="N95" s="9">
        <v>5982.49</v>
      </c>
      <c r="O95" s="9">
        <v>6289.51</v>
      </c>
      <c r="P95" s="9">
        <v>24236.81</v>
      </c>
      <c r="Q95" s="9">
        <v>6461.86</v>
      </c>
      <c r="R95" s="9">
        <v>6283.04</v>
      </c>
      <c r="S95" s="9">
        <v>6561.19</v>
      </c>
      <c r="T95" s="9">
        <v>6844.76</v>
      </c>
      <c r="U95" s="9">
        <v>25104.04</v>
      </c>
      <c r="V95" s="9">
        <v>6647.33</v>
      </c>
      <c r="W95" s="9">
        <v>6458.51</v>
      </c>
      <c r="X95" s="9">
        <v>6735.97</v>
      </c>
      <c r="Y95" s="9">
        <v>7020.29</v>
      </c>
      <c r="Z95" s="9">
        <v>25737.48</v>
      </c>
      <c r="AA95" s="9">
        <v>6812.94</v>
      </c>
      <c r="AB95" s="9">
        <v>6614.17</v>
      </c>
      <c r="AC95" s="9">
        <v>6891.22</v>
      </c>
      <c r="AD95" s="9">
        <v>7176.73</v>
      </c>
      <c r="AE95" s="9">
        <v>26315.62</v>
      </c>
    </row>
    <row r="96" spans="1:31" x14ac:dyDescent="0.25">
      <c r="A96" s="4" t="s">
        <v>304</v>
      </c>
      <c r="B96" s="9">
        <v>1382</v>
      </c>
      <c r="C96" s="9">
        <v>1771</v>
      </c>
      <c r="D96" s="9">
        <v>2390</v>
      </c>
      <c r="E96" s="9">
        <v>2439</v>
      </c>
      <c r="F96" s="9">
        <v>7982</v>
      </c>
      <c r="G96" s="9">
        <v>1254.45</v>
      </c>
      <c r="H96" s="9">
        <v>1510.59</v>
      </c>
      <c r="I96" s="9">
        <v>1715.44</v>
      </c>
      <c r="J96" s="9">
        <v>1970.97</v>
      </c>
      <c r="K96" s="9">
        <v>6451.45</v>
      </c>
      <c r="L96" s="9">
        <v>1092.9000000000001</v>
      </c>
      <c r="M96" s="9">
        <v>1447.87</v>
      </c>
      <c r="N96" s="9">
        <v>1662.15</v>
      </c>
      <c r="O96" s="9">
        <v>1953.26</v>
      </c>
      <c r="P96" s="9">
        <v>5812.44</v>
      </c>
      <c r="Q96" s="9">
        <v>1038.1400000000001</v>
      </c>
      <c r="R96" s="9">
        <v>1285.07</v>
      </c>
      <c r="S96" s="9">
        <v>1612</v>
      </c>
      <c r="T96" s="9">
        <v>1919.27</v>
      </c>
      <c r="U96" s="9">
        <v>5446.16</v>
      </c>
      <c r="V96" s="9">
        <v>1032.05</v>
      </c>
      <c r="W96" s="9">
        <v>1321.02</v>
      </c>
      <c r="X96" s="9">
        <v>1732.61</v>
      </c>
      <c r="Y96" s="9">
        <v>1785.29</v>
      </c>
      <c r="Z96" s="9">
        <v>5252.76</v>
      </c>
      <c r="AA96" s="9">
        <v>914.57</v>
      </c>
      <c r="AB96" s="9">
        <v>1200.08</v>
      </c>
      <c r="AC96" s="9">
        <v>1602.28</v>
      </c>
      <c r="AD96" s="9">
        <v>1657.6</v>
      </c>
      <c r="AE96" s="9">
        <v>5093.13</v>
      </c>
    </row>
    <row r="97" spans="1:31" x14ac:dyDescent="0.25">
      <c r="A97" s="3" t="s">
        <v>303</v>
      </c>
      <c r="B97" s="9">
        <v>3504</v>
      </c>
      <c r="C97" s="9">
        <v>97</v>
      </c>
      <c r="D97" s="9">
        <v>4781</v>
      </c>
      <c r="E97" s="9">
        <v>35</v>
      </c>
      <c r="F97" s="9">
        <v>4878</v>
      </c>
      <c r="G97" s="8" t="s">
        <v>54</v>
      </c>
      <c r="H97" s="8" t="s">
        <v>54</v>
      </c>
      <c r="I97" s="8" t="s">
        <v>54</v>
      </c>
      <c r="J97" s="8" t="s">
        <v>54</v>
      </c>
      <c r="K97" s="8" t="s">
        <v>54</v>
      </c>
      <c r="L97" s="8" t="s">
        <v>54</v>
      </c>
      <c r="M97" s="8" t="s">
        <v>54</v>
      </c>
      <c r="N97" s="8" t="s">
        <v>54</v>
      </c>
      <c r="O97" s="8" t="s">
        <v>54</v>
      </c>
      <c r="P97" s="8" t="s">
        <v>54</v>
      </c>
      <c r="Q97" s="8" t="s">
        <v>54</v>
      </c>
      <c r="R97" s="8" t="s">
        <v>54</v>
      </c>
      <c r="S97" s="8" t="s">
        <v>54</v>
      </c>
      <c r="T97" s="8" t="s">
        <v>54</v>
      </c>
      <c r="U97" s="8" t="s">
        <v>54</v>
      </c>
      <c r="V97" s="8" t="s">
        <v>54</v>
      </c>
      <c r="W97" s="8" t="s">
        <v>54</v>
      </c>
      <c r="X97" s="8" t="s">
        <v>54</v>
      </c>
      <c r="Y97" s="8" t="s">
        <v>54</v>
      </c>
      <c r="Z97" s="8" t="s">
        <v>54</v>
      </c>
      <c r="AA97" s="8" t="s">
        <v>54</v>
      </c>
      <c r="AB97" s="8" t="s">
        <v>54</v>
      </c>
      <c r="AC97" s="8" t="s">
        <v>54</v>
      </c>
      <c r="AD97" s="8" t="s">
        <v>54</v>
      </c>
      <c r="AE97" s="8" t="s">
        <v>54</v>
      </c>
    </row>
    <row r="98" spans="1:31" x14ac:dyDescent="0.25">
      <c r="A98" s="4" t="s">
        <v>302</v>
      </c>
      <c r="B98" s="9">
        <v>1382</v>
      </c>
      <c r="C98" s="9">
        <v>1868</v>
      </c>
      <c r="D98" s="9">
        <v>7171</v>
      </c>
      <c r="E98" s="9">
        <v>2439</v>
      </c>
      <c r="F98" s="9">
        <v>12860</v>
      </c>
      <c r="G98" s="9">
        <v>1383</v>
      </c>
      <c r="H98" s="9">
        <v>1503</v>
      </c>
      <c r="I98" s="9">
        <v>1503.77</v>
      </c>
      <c r="J98" s="9">
        <v>1925.62</v>
      </c>
      <c r="K98" s="9">
        <v>6278.36</v>
      </c>
      <c r="L98" s="9">
        <v>1374.59</v>
      </c>
      <c r="M98" s="9">
        <v>1504.27</v>
      </c>
      <c r="N98" s="9">
        <v>1301.8900000000001</v>
      </c>
      <c r="O98" s="9">
        <v>1947.89</v>
      </c>
      <c r="P98" s="9">
        <v>5777.29</v>
      </c>
      <c r="Q98" s="9">
        <v>1321.35</v>
      </c>
      <c r="R98" s="9">
        <v>1357.3</v>
      </c>
      <c r="S98" s="9">
        <v>956.13</v>
      </c>
      <c r="T98" s="9">
        <v>1867.77</v>
      </c>
      <c r="U98" s="9">
        <v>5247.59</v>
      </c>
      <c r="V98" s="9">
        <v>1279.45</v>
      </c>
      <c r="W98" s="9">
        <v>1268.71</v>
      </c>
      <c r="X98" s="9">
        <v>693.63</v>
      </c>
      <c r="Y98" s="9">
        <v>1705.19</v>
      </c>
      <c r="Z98" s="9">
        <v>4839</v>
      </c>
      <c r="AA98" s="9">
        <v>1140.95</v>
      </c>
      <c r="AB98" s="9">
        <v>1124.3800000000001</v>
      </c>
      <c r="AC98" s="9">
        <v>539.49</v>
      </c>
      <c r="AD98" s="9">
        <v>1560.86</v>
      </c>
      <c r="AE98" s="9">
        <v>4507.8900000000003</v>
      </c>
    </row>
    <row r="99" spans="1:31" x14ac:dyDescent="0.25">
      <c r="A99" s="4" t="s">
        <v>206</v>
      </c>
      <c r="B99" s="9">
        <v>130910</v>
      </c>
      <c r="C99" s="9">
        <v>132778</v>
      </c>
      <c r="D99" s="9">
        <v>139949</v>
      </c>
      <c r="E99" s="9">
        <v>142388</v>
      </c>
      <c r="F99" s="9">
        <v>142388</v>
      </c>
      <c r="G99" s="9">
        <v>143578.15</v>
      </c>
      <c r="H99" s="9">
        <v>145081.15</v>
      </c>
      <c r="I99" s="9">
        <v>146584.92000000001</v>
      </c>
      <c r="J99" s="9">
        <v>148510.54</v>
      </c>
      <c r="K99" s="9">
        <v>148486.37</v>
      </c>
      <c r="L99" s="9">
        <v>150268.67000000001</v>
      </c>
      <c r="M99" s="9">
        <v>151772.95000000001</v>
      </c>
      <c r="N99" s="9">
        <v>153074.84</v>
      </c>
      <c r="O99" s="9">
        <v>155022.73000000001</v>
      </c>
      <c r="P99" s="9">
        <v>154263.65</v>
      </c>
      <c r="Q99" s="9">
        <v>156326.44</v>
      </c>
      <c r="R99" s="9">
        <v>157683.73000000001</v>
      </c>
      <c r="S99" s="9">
        <v>158639.87</v>
      </c>
      <c r="T99" s="9">
        <v>160507.64000000001</v>
      </c>
      <c r="U99" s="9">
        <v>159444.93</v>
      </c>
      <c r="V99" s="9">
        <v>161967.65</v>
      </c>
      <c r="W99" s="9">
        <v>163236.35999999999</v>
      </c>
      <c r="X99" s="9">
        <v>163929.99</v>
      </c>
      <c r="Y99" s="9">
        <v>165635.18</v>
      </c>
      <c r="Z99" s="9">
        <v>164433.47</v>
      </c>
      <c r="AA99" s="9">
        <v>166776.13</v>
      </c>
      <c r="AB99" s="9">
        <v>167900.51</v>
      </c>
      <c r="AC99" s="9">
        <v>168439.99</v>
      </c>
      <c r="AD99" s="9">
        <v>170000.85</v>
      </c>
      <c r="AE99" s="9">
        <v>168941.36</v>
      </c>
    </row>
    <row r="100" spans="1:31" x14ac:dyDescent="0.25">
      <c r="A100" s="3" t="s">
        <v>301</v>
      </c>
      <c r="B100" s="9">
        <v>130219</v>
      </c>
      <c r="C100" s="9">
        <v>131844</v>
      </c>
      <c r="D100" s="9">
        <v>136363.5</v>
      </c>
      <c r="E100" s="9">
        <v>141168.5</v>
      </c>
      <c r="F100" s="9">
        <v>135958</v>
      </c>
      <c r="G100" s="9">
        <v>142886.65</v>
      </c>
      <c r="H100" s="9">
        <v>144272.99</v>
      </c>
      <c r="I100" s="9">
        <v>145833.03</v>
      </c>
      <c r="J100" s="9">
        <v>147547.73000000001</v>
      </c>
      <c r="K100" s="9">
        <v>145377.79</v>
      </c>
      <c r="L100" s="9">
        <v>149581.38</v>
      </c>
      <c r="M100" s="9">
        <v>151020.81</v>
      </c>
      <c r="N100" s="9">
        <v>152423.89000000001</v>
      </c>
      <c r="O100" s="9">
        <v>154048.78</v>
      </c>
      <c r="P100" s="9">
        <v>151415.06</v>
      </c>
      <c r="Q100" s="9">
        <v>155665.76</v>
      </c>
      <c r="R100" s="9">
        <v>157005.07999999999</v>
      </c>
      <c r="S100" s="9">
        <v>158161.79999999999</v>
      </c>
      <c r="T100" s="9">
        <v>159573.75</v>
      </c>
      <c r="U100" s="9">
        <v>156829.10999999999</v>
      </c>
      <c r="V100" s="9">
        <v>161327.93</v>
      </c>
      <c r="W100" s="9">
        <v>162602.01</v>
      </c>
      <c r="X100" s="9">
        <v>163583.18</v>
      </c>
      <c r="Y100" s="9">
        <v>164782.59</v>
      </c>
      <c r="Z100" s="9">
        <v>162020.15</v>
      </c>
      <c r="AA100" s="9">
        <v>166205.66</v>
      </c>
      <c r="AB100" s="9">
        <v>167338.32</v>
      </c>
      <c r="AC100" s="9">
        <v>168170.25</v>
      </c>
      <c r="AD100" s="9">
        <v>169220.42</v>
      </c>
      <c r="AE100" s="9">
        <v>166688.44</v>
      </c>
    </row>
    <row r="101" spans="1:31" x14ac:dyDescent="0.25">
      <c r="A101" s="3" t="s">
        <v>300</v>
      </c>
      <c r="B101" s="9">
        <v>41.56</v>
      </c>
      <c r="C101" s="9">
        <v>42.27</v>
      </c>
      <c r="D101" s="9">
        <v>42.79</v>
      </c>
      <c r="E101" s="9">
        <v>42.42</v>
      </c>
      <c r="F101" s="9">
        <v>41.94</v>
      </c>
      <c r="G101" s="9">
        <v>42.34</v>
      </c>
      <c r="H101" s="9">
        <v>42.35</v>
      </c>
      <c r="I101" s="9">
        <v>42.45</v>
      </c>
      <c r="J101" s="9">
        <v>42.69</v>
      </c>
      <c r="K101" s="9">
        <v>42.36</v>
      </c>
      <c r="L101" s="9">
        <v>42.49</v>
      </c>
      <c r="M101" s="9">
        <v>42.52</v>
      </c>
      <c r="N101" s="9">
        <v>42.7</v>
      </c>
      <c r="O101" s="9">
        <v>42.87</v>
      </c>
      <c r="P101" s="9">
        <v>42.74</v>
      </c>
      <c r="Q101" s="9">
        <v>42.68</v>
      </c>
      <c r="R101" s="9">
        <v>42.61</v>
      </c>
      <c r="S101" s="9">
        <v>42.89</v>
      </c>
      <c r="T101" s="9">
        <v>42.98</v>
      </c>
      <c r="U101" s="9">
        <v>43.17</v>
      </c>
      <c r="V101" s="9">
        <v>42.97</v>
      </c>
      <c r="W101" s="9">
        <v>42.87</v>
      </c>
      <c r="X101" s="9">
        <v>43.2</v>
      </c>
      <c r="Y101" s="9">
        <v>43.18</v>
      </c>
      <c r="Z101" s="9">
        <v>43.64</v>
      </c>
      <c r="AA101" s="9">
        <v>43.3</v>
      </c>
      <c r="AB101" s="9">
        <v>43.2</v>
      </c>
      <c r="AC101" s="9">
        <v>43.56</v>
      </c>
      <c r="AD101" s="9">
        <v>43.53</v>
      </c>
      <c r="AE101" s="9">
        <v>44.1</v>
      </c>
    </row>
    <row r="102" spans="1:31" x14ac:dyDescent="0.25">
      <c r="A102" s="4" t="s">
        <v>299</v>
      </c>
      <c r="B102" s="9">
        <v>16237</v>
      </c>
      <c r="C102" s="9">
        <v>16721</v>
      </c>
      <c r="D102" s="9">
        <v>17507</v>
      </c>
      <c r="E102" s="9">
        <v>17964</v>
      </c>
      <c r="F102" s="9">
        <v>68429</v>
      </c>
      <c r="G102" s="9">
        <v>18146</v>
      </c>
      <c r="H102" s="9">
        <v>18326</v>
      </c>
      <c r="I102" s="9">
        <v>18577.400000000001</v>
      </c>
      <c r="J102" s="9">
        <v>18885.98</v>
      </c>
      <c r="K102" s="9">
        <v>73897.73</v>
      </c>
      <c r="L102" s="9">
        <v>19066.419999999998</v>
      </c>
      <c r="M102" s="9">
        <v>19256.45</v>
      </c>
      <c r="N102" s="9">
        <v>19516.97</v>
      </c>
      <c r="O102" s="9">
        <v>19782.060000000001</v>
      </c>
      <c r="P102" s="9">
        <v>77654.8</v>
      </c>
      <c r="Q102" s="9">
        <v>20006.990000000002</v>
      </c>
      <c r="R102" s="9">
        <v>20135.38</v>
      </c>
      <c r="S102" s="9">
        <v>20421.38</v>
      </c>
      <c r="T102" s="9">
        <v>20649.72</v>
      </c>
      <c r="U102" s="9">
        <v>81342.59</v>
      </c>
      <c r="V102" s="9">
        <v>20922.09</v>
      </c>
      <c r="W102" s="9">
        <v>21027.51</v>
      </c>
      <c r="X102" s="9">
        <v>21311.75</v>
      </c>
      <c r="Y102" s="9">
        <v>21471.919999999998</v>
      </c>
      <c r="Z102" s="9">
        <v>85025.3</v>
      </c>
      <c r="AA102" s="9">
        <v>21588.47</v>
      </c>
      <c r="AB102" s="9">
        <v>21691.58</v>
      </c>
      <c r="AC102" s="9">
        <v>21974.74</v>
      </c>
      <c r="AD102" s="9">
        <v>22095.89</v>
      </c>
      <c r="AE102" s="9">
        <v>88284.88</v>
      </c>
    </row>
    <row r="103" spans="1:31" x14ac:dyDescent="0.25">
      <c r="A103" s="4" t="s">
        <v>65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spans="1:31" x14ac:dyDescent="0.25">
      <c r="A104" s="4" t="s">
        <v>298</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spans="1:31" x14ac:dyDescent="0.25">
      <c r="A105" s="4" t="s">
        <v>297</v>
      </c>
      <c r="B105" s="9">
        <v>2451</v>
      </c>
      <c r="C105" s="9">
        <v>2396</v>
      </c>
      <c r="D105" s="9">
        <v>2639</v>
      </c>
      <c r="E105" s="9">
        <v>2469</v>
      </c>
      <c r="F105" s="9">
        <v>9955</v>
      </c>
      <c r="G105" s="9">
        <v>2623</v>
      </c>
      <c r="H105" s="9">
        <v>2703</v>
      </c>
      <c r="I105" s="9">
        <v>2421.25</v>
      </c>
      <c r="J105" s="9">
        <v>2342.15</v>
      </c>
      <c r="K105" s="9">
        <v>10082.31</v>
      </c>
      <c r="L105" s="9">
        <v>2455.9</v>
      </c>
      <c r="M105" s="9">
        <v>2512.9299999999998</v>
      </c>
      <c r="N105" s="9">
        <v>2428.23</v>
      </c>
      <c r="O105" s="9">
        <v>2399.77</v>
      </c>
      <c r="P105" s="9">
        <v>9877.93</v>
      </c>
      <c r="Q105" s="9">
        <v>2529.8000000000002</v>
      </c>
      <c r="R105" s="9">
        <v>2587.52</v>
      </c>
      <c r="S105" s="9">
        <v>2422.58</v>
      </c>
      <c r="T105" s="9">
        <v>2357.25</v>
      </c>
      <c r="U105" s="9">
        <v>10091.19</v>
      </c>
      <c r="V105" s="9">
        <v>2598.15</v>
      </c>
      <c r="W105" s="9">
        <v>2627.42</v>
      </c>
      <c r="X105" s="9">
        <v>2439.7199999999998</v>
      </c>
      <c r="Y105" s="9">
        <v>2436.36</v>
      </c>
      <c r="Z105" s="9">
        <v>10424.93</v>
      </c>
      <c r="AA105" s="9">
        <v>2644.12</v>
      </c>
      <c r="AB105" s="9">
        <v>2663.14</v>
      </c>
      <c r="AC105" s="9">
        <v>2496.64</v>
      </c>
      <c r="AD105" s="9">
        <v>2555.87</v>
      </c>
      <c r="AE105" s="9">
        <v>10913.15</v>
      </c>
    </row>
    <row r="106" spans="1:31" x14ac:dyDescent="0.25">
      <c r="A106" s="4" t="s">
        <v>65</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spans="1:31" x14ac:dyDescent="0.25">
      <c r="A107" s="4" t="s">
        <v>296</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spans="1:31" x14ac:dyDescent="0.25">
      <c r="A108" s="4" t="s">
        <v>295</v>
      </c>
      <c r="B108" s="9">
        <v>79013</v>
      </c>
      <c r="C108" s="9">
        <v>79508</v>
      </c>
      <c r="D108" s="9">
        <v>80338</v>
      </c>
      <c r="E108" s="9">
        <v>84632</v>
      </c>
      <c r="F108" s="9">
        <v>79013</v>
      </c>
      <c r="G108" s="9">
        <v>85594</v>
      </c>
      <c r="H108" s="9">
        <v>85882.28</v>
      </c>
      <c r="I108" s="9">
        <v>86535.63</v>
      </c>
      <c r="J108" s="9">
        <v>87252.4</v>
      </c>
      <c r="K108" s="9">
        <v>85485.82</v>
      </c>
      <c r="L108" s="9">
        <v>88143.33</v>
      </c>
      <c r="M108" s="9">
        <v>88512.62</v>
      </c>
      <c r="N108" s="9">
        <v>89135.84</v>
      </c>
      <c r="O108" s="9">
        <v>89811.76</v>
      </c>
      <c r="P108" s="9">
        <v>88053.8</v>
      </c>
      <c r="Q108" s="9">
        <v>90439.98</v>
      </c>
      <c r="R108" s="9">
        <v>90737.08</v>
      </c>
      <c r="S108" s="9">
        <v>91258.98</v>
      </c>
      <c r="T108" s="9">
        <v>91894.31</v>
      </c>
      <c r="U108" s="9">
        <v>90384.87</v>
      </c>
      <c r="V108" s="9">
        <v>92459.839999999997</v>
      </c>
      <c r="W108" s="9">
        <v>92693.93</v>
      </c>
      <c r="X108" s="9">
        <v>93165.3</v>
      </c>
      <c r="Y108" s="9">
        <v>93739.28</v>
      </c>
      <c r="Z108" s="9">
        <v>92457.91</v>
      </c>
      <c r="AA108" s="9">
        <v>94316.88</v>
      </c>
      <c r="AB108" s="9">
        <v>94536.12</v>
      </c>
      <c r="AC108" s="9">
        <v>94965.13</v>
      </c>
      <c r="AD108" s="9">
        <v>95459.31</v>
      </c>
      <c r="AE108" s="9">
        <v>94397.64</v>
      </c>
    </row>
    <row r="109" spans="1:31" x14ac:dyDescent="0.25">
      <c r="A109" s="4" t="s">
        <v>294</v>
      </c>
      <c r="B109" s="8" t="s">
        <v>289</v>
      </c>
      <c r="C109" s="8" t="s">
        <v>293</v>
      </c>
      <c r="D109" s="8" t="s">
        <v>292</v>
      </c>
      <c r="E109" s="8" t="s">
        <v>291</v>
      </c>
      <c r="F109" s="8" t="s">
        <v>290</v>
      </c>
      <c r="G109" s="8" t="s">
        <v>289</v>
      </c>
      <c r="H109" s="8" t="s">
        <v>288</v>
      </c>
      <c r="I109" s="8" t="s">
        <v>287</v>
      </c>
      <c r="J109" s="8" t="s">
        <v>286</v>
      </c>
      <c r="K109" s="8" t="s">
        <v>285</v>
      </c>
      <c r="L109" s="8" t="s">
        <v>284</v>
      </c>
      <c r="M109" s="8" t="s">
        <v>283</v>
      </c>
      <c r="N109" s="8" t="s">
        <v>282</v>
      </c>
      <c r="O109" s="8" t="s">
        <v>281</v>
      </c>
      <c r="P109" s="8" t="s">
        <v>280</v>
      </c>
      <c r="Q109" s="8" t="s">
        <v>279</v>
      </c>
      <c r="R109" s="8" t="s">
        <v>278</v>
      </c>
      <c r="S109" s="8" t="s">
        <v>277</v>
      </c>
      <c r="T109" s="8" t="s">
        <v>276</v>
      </c>
      <c r="U109" s="8" t="s">
        <v>275</v>
      </c>
      <c r="V109" s="8" t="s">
        <v>274</v>
      </c>
      <c r="W109" s="8" t="s">
        <v>273</v>
      </c>
      <c r="X109" s="8" t="s">
        <v>272</v>
      </c>
      <c r="Y109" s="8" t="s">
        <v>271</v>
      </c>
      <c r="Z109" s="8" t="s">
        <v>270</v>
      </c>
      <c r="AA109" s="8" t="s">
        <v>269</v>
      </c>
      <c r="AB109" s="8" t="s">
        <v>268</v>
      </c>
      <c r="AC109" s="8" t="s">
        <v>267</v>
      </c>
      <c r="AD109" s="8" t="s">
        <v>266</v>
      </c>
      <c r="AE109" s="8" t="s">
        <v>265</v>
      </c>
    </row>
    <row r="110" spans="1:31" x14ac:dyDescent="0.25">
      <c r="A110" s="4" t="s">
        <v>264</v>
      </c>
      <c r="B110" s="9">
        <v>2212.36</v>
      </c>
      <c r="C110" s="9">
        <v>1987.7</v>
      </c>
      <c r="D110" s="9">
        <v>2169.13</v>
      </c>
      <c r="E110" s="9">
        <v>3216.02</v>
      </c>
      <c r="F110" s="9">
        <v>9323.5300000000007</v>
      </c>
      <c r="G110" s="9">
        <v>2396.63</v>
      </c>
      <c r="H110" s="9">
        <v>2232.56</v>
      </c>
      <c r="I110" s="9">
        <v>2391.7199999999998</v>
      </c>
      <c r="J110" s="9">
        <v>3382.28</v>
      </c>
      <c r="K110" s="9">
        <v>10592.18</v>
      </c>
      <c r="L110" s="9">
        <v>2461.9</v>
      </c>
      <c r="M110" s="9">
        <v>2310.5100000000002</v>
      </c>
      <c r="N110" s="9">
        <v>2475.31</v>
      </c>
      <c r="O110" s="9">
        <v>3468.49</v>
      </c>
      <c r="P110" s="9">
        <v>10955.77</v>
      </c>
      <c r="Q110" s="9">
        <v>2589.23</v>
      </c>
      <c r="R110" s="9">
        <v>2417.37</v>
      </c>
      <c r="S110" s="9">
        <v>2578.61</v>
      </c>
      <c r="T110" s="9">
        <v>3609.99</v>
      </c>
      <c r="U110" s="9">
        <v>11368.15</v>
      </c>
      <c r="V110" s="9">
        <v>2673.82</v>
      </c>
      <c r="W110" s="9">
        <v>2496.35</v>
      </c>
      <c r="X110" s="9">
        <v>2650.48</v>
      </c>
      <c r="Y110" s="9">
        <v>3701.48</v>
      </c>
      <c r="Z110" s="9">
        <v>11409.12</v>
      </c>
      <c r="AA110" s="9">
        <v>2773.23</v>
      </c>
      <c r="AB110" s="9">
        <v>2590.73</v>
      </c>
      <c r="AC110" s="9">
        <v>2761.94</v>
      </c>
      <c r="AD110" s="9">
        <v>3830.58</v>
      </c>
      <c r="AE110" s="9">
        <v>11699.59</v>
      </c>
    </row>
  </sheetData>
  <mergeCells count="1">
    <mergeCell ref="A1:D1"/>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B0BF-0C4A-4660-AA16-456F23BF5D99}">
  <dimension ref="A1:AE29"/>
  <sheetViews>
    <sheetView workbookViewId="0">
      <selection sqref="A1:D1"/>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20.5703125" customWidth="1"/>
    <col min="12" max="15" width="18" customWidth="1"/>
    <col min="16" max="16" width="20.5703125" customWidth="1"/>
    <col min="17" max="20" width="18" customWidth="1"/>
    <col min="21" max="21" width="20.5703125" customWidth="1"/>
    <col min="22" max="25" width="18" customWidth="1"/>
    <col min="26" max="26" width="20.5703125" customWidth="1"/>
    <col min="27" max="30" width="18" customWidth="1"/>
    <col min="31" max="31" width="20.5703125" customWidth="1"/>
  </cols>
  <sheetData>
    <row r="1" spans="1:31" ht="39.950000000000003" customHeight="1" x14ac:dyDescent="0.25">
      <c r="A1" s="45"/>
      <c r="B1" s="45"/>
      <c r="C1" s="45"/>
      <c r="D1" s="45"/>
    </row>
    <row r="2" spans="1:31" ht="30" customHeight="1" x14ac:dyDescent="0.3">
      <c r="A2" s="1" t="s">
        <v>262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4" t="s">
        <v>261</v>
      </c>
      <c r="B16" s="9">
        <v>19222</v>
      </c>
      <c r="C16" s="9">
        <v>18472</v>
      </c>
      <c r="D16" s="9">
        <v>17722</v>
      </c>
      <c r="E16" s="9">
        <v>16972</v>
      </c>
      <c r="F16" s="9">
        <v>19222</v>
      </c>
      <c r="G16" s="9">
        <v>16222</v>
      </c>
      <c r="H16" s="9">
        <v>15972</v>
      </c>
      <c r="I16" s="9">
        <v>15722</v>
      </c>
      <c r="J16" s="9">
        <v>15472</v>
      </c>
      <c r="K16" s="9">
        <v>16222</v>
      </c>
      <c r="L16" s="8" t="s">
        <v>54</v>
      </c>
      <c r="M16" s="8" t="s">
        <v>54</v>
      </c>
      <c r="N16" s="8" t="s">
        <v>54</v>
      </c>
      <c r="O16" s="8" t="s">
        <v>54</v>
      </c>
      <c r="P16" s="9">
        <v>15222</v>
      </c>
      <c r="Q16" s="8" t="s">
        <v>54</v>
      </c>
      <c r="R16" s="8" t="s">
        <v>54</v>
      </c>
      <c r="S16" s="8" t="s">
        <v>54</v>
      </c>
      <c r="T16" s="8" t="s">
        <v>54</v>
      </c>
      <c r="U16" s="9">
        <v>14222</v>
      </c>
      <c r="V16" s="8" t="s">
        <v>54</v>
      </c>
      <c r="W16" s="8" t="s">
        <v>54</v>
      </c>
      <c r="X16" s="8" t="s">
        <v>54</v>
      </c>
      <c r="Y16" s="8" t="s">
        <v>54</v>
      </c>
      <c r="Z16" s="9">
        <v>14222</v>
      </c>
      <c r="AA16" s="8" t="s">
        <v>54</v>
      </c>
      <c r="AB16" s="8" t="s">
        <v>54</v>
      </c>
      <c r="AC16" s="8" t="s">
        <v>54</v>
      </c>
      <c r="AD16" s="8" t="s">
        <v>54</v>
      </c>
      <c r="AE16" s="9">
        <v>14222</v>
      </c>
    </row>
    <row r="17" spans="1:31" x14ac:dyDescent="0.25">
      <c r="A17" s="3" t="s">
        <v>260</v>
      </c>
      <c r="B17" s="9">
        <v>2359.7600000000002</v>
      </c>
      <c r="C17" s="9">
        <v>2236.0100000000002</v>
      </c>
      <c r="D17" s="9">
        <v>2112.2600000000002</v>
      </c>
      <c r="E17" s="9">
        <v>1988.51</v>
      </c>
      <c r="F17" s="9">
        <v>8696.52</v>
      </c>
      <c r="G17" s="9">
        <v>2406.0100000000002</v>
      </c>
      <c r="H17" s="9">
        <v>2364.7600000000002</v>
      </c>
      <c r="I17" s="9">
        <v>2323.5100000000002</v>
      </c>
      <c r="J17" s="9">
        <v>2282.2600000000002</v>
      </c>
      <c r="K17" s="9">
        <v>9376.52</v>
      </c>
      <c r="L17" s="8" t="s">
        <v>54</v>
      </c>
      <c r="M17" s="8" t="s">
        <v>54</v>
      </c>
      <c r="N17" s="8" t="s">
        <v>54</v>
      </c>
      <c r="O17" s="8" t="s">
        <v>54</v>
      </c>
      <c r="P17" s="9">
        <v>8716.52</v>
      </c>
      <c r="Q17" s="8" t="s">
        <v>54</v>
      </c>
      <c r="R17" s="8" t="s">
        <v>54</v>
      </c>
      <c r="S17" s="8" t="s">
        <v>54</v>
      </c>
      <c r="T17" s="8" t="s">
        <v>54</v>
      </c>
      <c r="U17" s="9">
        <v>9386.52</v>
      </c>
      <c r="V17" s="8" t="s">
        <v>54</v>
      </c>
      <c r="W17" s="8" t="s">
        <v>54</v>
      </c>
      <c r="X17" s="8" t="s">
        <v>54</v>
      </c>
      <c r="Y17" s="8" t="s">
        <v>54</v>
      </c>
      <c r="Z17" s="9">
        <v>9386.52</v>
      </c>
      <c r="AA17" s="8" t="s">
        <v>54</v>
      </c>
      <c r="AB17" s="8" t="s">
        <v>54</v>
      </c>
      <c r="AC17" s="8" t="s">
        <v>54</v>
      </c>
      <c r="AD17" s="8" t="s">
        <v>54</v>
      </c>
      <c r="AE17" s="9">
        <v>9386.52</v>
      </c>
    </row>
    <row r="18" spans="1:31" x14ac:dyDescent="0.25">
      <c r="A18" s="3" t="s">
        <v>259</v>
      </c>
      <c r="B18" s="10">
        <v>-750</v>
      </c>
      <c r="C18" s="10">
        <v>-750</v>
      </c>
      <c r="D18" s="10">
        <v>-750</v>
      </c>
      <c r="E18" s="10">
        <v>-750</v>
      </c>
      <c r="F18" s="10">
        <v>-3000</v>
      </c>
      <c r="G18" s="10">
        <v>-250</v>
      </c>
      <c r="H18" s="10">
        <v>-250</v>
      </c>
      <c r="I18" s="10">
        <v>-250</v>
      </c>
      <c r="J18" s="10">
        <v>-250</v>
      </c>
      <c r="K18" s="10">
        <v>-1000</v>
      </c>
      <c r="L18" s="8" t="s">
        <v>54</v>
      </c>
      <c r="M18" s="8" t="s">
        <v>54</v>
      </c>
      <c r="N18" s="8" t="s">
        <v>54</v>
      </c>
      <c r="O18" s="8" t="s">
        <v>54</v>
      </c>
      <c r="P18" s="10">
        <v>-1000</v>
      </c>
      <c r="Q18" s="8" t="s">
        <v>54</v>
      </c>
      <c r="R18" s="8" t="s">
        <v>54</v>
      </c>
      <c r="S18" s="8" t="s">
        <v>54</v>
      </c>
      <c r="T18" s="8" t="s">
        <v>54</v>
      </c>
      <c r="U18" s="8" t="s">
        <v>54</v>
      </c>
      <c r="V18" s="8" t="s">
        <v>54</v>
      </c>
      <c r="W18" s="8" t="s">
        <v>54</v>
      </c>
      <c r="X18" s="8" t="s">
        <v>54</v>
      </c>
      <c r="Y18" s="8" t="s">
        <v>54</v>
      </c>
      <c r="Z18" s="8" t="s">
        <v>54</v>
      </c>
      <c r="AA18" s="8" t="s">
        <v>54</v>
      </c>
      <c r="AB18" s="8" t="s">
        <v>54</v>
      </c>
      <c r="AC18" s="8" t="s">
        <v>54</v>
      </c>
      <c r="AD18" s="8" t="s">
        <v>54</v>
      </c>
      <c r="AE18" s="8" t="s">
        <v>54</v>
      </c>
    </row>
    <row r="19" spans="1:31" x14ac:dyDescent="0.25">
      <c r="A19" s="4" t="s">
        <v>258</v>
      </c>
      <c r="B19" s="9">
        <v>18472</v>
      </c>
      <c r="C19" s="9">
        <v>17722</v>
      </c>
      <c r="D19" s="9">
        <v>16972</v>
      </c>
      <c r="E19" s="9">
        <v>16222</v>
      </c>
      <c r="F19" s="9">
        <v>16222</v>
      </c>
      <c r="G19" s="9">
        <v>15972</v>
      </c>
      <c r="H19" s="9">
        <v>15722</v>
      </c>
      <c r="I19" s="9">
        <v>15472</v>
      </c>
      <c r="J19" s="9">
        <v>15222</v>
      </c>
      <c r="K19" s="9">
        <v>15222</v>
      </c>
      <c r="L19" s="8" t="s">
        <v>54</v>
      </c>
      <c r="M19" s="8" t="s">
        <v>54</v>
      </c>
      <c r="N19" s="8" t="s">
        <v>54</v>
      </c>
      <c r="O19" s="8" t="s">
        <v>54</v>
      </c>
      <c r="P19" s="9">
        <v>14222</v>
      </c>
      <c r="Q19" s="8" t="s">
        <v>54</v>
      </c>
      <c r="R19" s="8" t="s">
        <v>54</v>
      </c>
      <c r="S19" s="8" t="s">
        <v>54</v>
      </c>
      <c r="T19" s="8" t="s">
        <v>54</v>
      </c>
      <c r="U19" s="9">
        <v>14222</v>
      </c>
      <c r="V19" s="8" t="s">
        <v>54</v>
      </c>
      <c r="W19" s="8" t="s">
        <v>54</v>
      </c>
      <c r="X19" s="8" t="s">
        <v>54</v>
      </c>
      <c r="Y19" s="8" t="s">
        <v>54</v>
      </c>
      <c r="Z19" s="9">
        <v>14222</v>
      </c>
      <c r="AA19" s="8" t="s">
        <v>54</v>
      </c>
      <c r="AB19" s="8" t="s">
        <v>54</v>
      </c>
      <c r="AC19" s="8" t="s">
        <v>54</v>
      </c>
      <c r="AD19" s="8" t="s">
        <v>54</v>
      </c>
      <c r="AE19" s="9">
        <v>14222</v>
      </c>
    </row>
    <row r="20" spans="1:31" x14ac:dyDescent="0.25">
      <c r="A20" s="4" t="s">
        <v>257</v>
      </c>
      <c r="B20" s="9">
        <v>18847</v>
      </c>
      <c r="C20" s="9">
        <v>18097</v>
      </c>
      <c r="D20" s="9">
        <v>17347</v>
      </c>
      <c r="E20" s="9">
        <v>16597</v>
      </c>
      <c r="F20" s="9">
        <v>17722</v>
      </c>
      <c r="G20" s="9">
        <v>16097</v>
      </c>
      <c r="H20" s="9">
        <v>15847</v>
      </c>
      <c r="I20" s="9">
        <v>15597</v>
      </c>
      <c r="J20" s="9">
        <v>15347</v>
      </c>
      <c r="K20" s="9">
        <v>15722</v>
      </c>
      <c r="L20" s="8" t="s">
        <v>54</v>
      </c>
      <c r="M20" s="8" t="s">
        <v>54</v>
      </c>
      <c r="N20" s="8" t="s">
        <v>54</v>
      </c>
      <c r="O20" s="8" t="s">
        <v>54</v>
      </c>
      <c r="P20" s="9">
        <v>14722</v>
      </c>
      <c r="Q20" s="8" t="s">
        <v>54</v>
      </c>
      <c r="R20" s="8" t="s">
        <v>54</v>
      </c>
      <c r="S20" s="8" t="s">
        <v>54</v>
      </c>
      <c r="T20" s="8" t="s">
        <v>54</v>
      </c>
      <c r="U20" s="9">
        <v>14222</v>
      </c>
      <c r="V20" s="8" t="s">
        <v>54</v>
      </c>
      <c r="W20" s="8" t="s">
        <v>54</v>
      </c>
      <c r="X20" s="8" t="s">
        <v>54</v>
      </c>
      <c r="Y20" s="8" t="s">
        <v>54</v>
      </c>
      <c r="Z20" s="9">
        <v>14222</v>
      </c>
      <c r="AA20" s="8" t="s">
        <v>54</v>
      </c>
      <c r="AB20" s="8" t="s">
        <v>54</v>
      </c>
      <c r="AC20" s="8" t="s">
        <v>54</v>
      </c>
      <c r="AD20" s="8" t="s">
        <v>54</v>
      </c>
      <c r="AE20" s="9">
        <v>14222</v>
      </c>
    </row>
    <row r="21" spans="1:31" x14ac:dyDescent="0.25">
      <c r="A21" s="4" t="s">
        <v>256</v>
      </c>
      <c r="B21" s="9">
        <v>4.1500000000000004</v>
      </c>
      <c r="C21" s="9">
        <v>3.78</v>
      </c>
      <c r="D21" s="9">
        <v>4.01</v>
      </c>
      <c r="E21" s="9">
        <v>5.28</v>
      </c>
      <c r="F21" s="9">
        <v>4.95</v>
      </c>
      <c r="G21" s="9">
        <v>4.3499999999999996</v>
      </c>
      <c r="H21" s="9">
        <v>3.83</v>
      </c>
      <c r="I21" s="9">
        <v>5.08</v>
      </c>
      <c r="J21" s="9">
        <v>5.49</v>
      </c>
      <c r="K21" s="9">
        <v>4.68</v>
      </c>
      <c r="L21" s="8" t="s">
        <v>54</v>
      </c>
      <c r="M21" s="8" t="s">
        <v>54</v>
      </c>
      <c r="N21" s="8" t="s">
        <v>54</v>
      </c>
      <c r="O21" s="8" t="s">
        <v>54</v>
      </c>
      <c r="P21" s="9">
        <v>4.91</v>
      </c>
      <c r="Q21" s="8" t="s">
        <v>54</v>
      </c>
      <c r="R21" s="8" t="s">
        <v>54</v>
      </c>
      <c r="S21" s="8" t="s">
        <v>54</v>
      </c>
      <c r="T21" s="8" t="s">
        <v>54</v>
      </c>
      <c r="U21" s="9">
        <v>5.16</v>
      </c>
      <c r="V21" s="8" t="s">
        <v>54</v>
      </c>
      <c r="W21" s="8" t="s">
        <v>54</v>
      </c>
      <c r="X21" s="8" t="s">
        <v>54</v>
      </c>
      <c r="Y21" s="8" t="s">
        <v>54</v>
      </c>
      <c r="Z21" s="9">
        <v>5.41</v>
      </c>
      <c r="AA21" s="8" t="s">
        <v>54</v>
      </c>
      <c r="AB21" s="8" t="s">
        <v>54</v>
      </c>
      <c r="AC21" s="8" t="s">
        <v>54</v>
      </c>
      <c r="AD21" s="8" t="s">
        <v>54</v>
      </c>
      <c r="AE21" s="9">
        <v>5.69</v>
      </c>
    </row>
    <row r="22" spans="1:31" x14ac:dyDescent="0.25">
      <c r="A22" s="4" t="s">
        <v>65</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25">
      <c r="A23" s="3" t="s">
        <v>255</v>
      </c>
      <c r="B23" s="8" t="s">
        <v>54</v>
      </c>
      <c r="C23" s="8" t="s">
        <v>54</v>
      </c>
      <c r="D23" s="8" t="s">
        <v>54</v>
      </c>
      <c r="E23" s="8" t="s">
        <v>54</v>
      </c>
      <c r="F23" s="8" t="s">
        <v>54</v>
      </c>
      <c r="G23" s="8" t="s">
        <v>54</v>
      </c>
      <c r="H23" s="8" t="s">
        <v>54</v>
      </c>
      <c r="I23" s="8" t="s">
        <v>54</v>
      </c>
      <c r="J23" s="8" t="s">
        <v>54</v>
      </c>
      <c r="K23" s="8" t="s">
        <v>54</v>
      </c>
      <c r="L23" s="8" t="s">
        <v>54</v>
      </c>
      <c r="M23" s="8" t="s">
        <v>54</v>
      </c>
      <c r="N23" s="8" t="s">
        <v>54</v>
      </c>
      <c r="O23" s="8" t="s">
        <v>54</v>
      </c>
      <c r="P23" s="8" t="s">
        <v>54</v>
      </c>
      <c r="Q23" s="8" t="s">
        <v>54</v>
      </c>
      <c r="R23" s="8" t="s">
        <v>54</v>
      </c>
      <c r="S23" s="8" t="s">
        <v>54</v>
      </c>
      <c r="T23" s="8" t="s">
        <v>54</v>
      </c>
      <c r="U23" s="8" t="s">
        <v>54</v>
      </c>
      <c r="V23" s="8" t="s">
        <v>54</v>
      </c>
      <c r="W23" s="8" t="s">
        <v>54</v>
      </c>
      <c r="X23" s="8" t="s">
        <v>54</v>
      </c>
      <c r="Y23" s="8" t="s">
        <v>54</v>
      </c>
      <c r="Z23" s="8" t="s">
        <v>54</v>
      </c>
      <c r="AA23" s="8" t="s">
        <v>54</v>
      </c>
      <c r="AB23" s="8" t="s">
        <v>54</v>
      </c>
      <c r="AC23" s="8" t="s">
        <v>54</v>
      </c>
      <c r="AD23" s="8" t="s">
        <v>54</v>
      </c>
      <c r="AE23" s="8" t="s">
        <v>54</v>
      </c>
    </row>
    <row r="24" spans="1:31" x14ac:dyDescent="0.25">
      <c r="A24" s="3" t="s">
        <v>254</v>
      </c>
      <c r="B24" s="8" t="s">
        <v>54</v>
      </c>
      <c r="C24" s="8" t="s">
        <v>54</v>
      </c>
      <c r="D24" s="8" t="s">
        <v>54</v>
      </c>
      <c r="E24" s="8" t="s">
        <v>54</v>
      </c>
      <c r="F24" s="8" t="s">
        <v>54</v>
      </c>
      <c r="G24" s="8" t="s">
        <v>54</v>
      </c>
      <c r="H24" s="8" t="s">
        <v>54</v>
      </c>
      <c r="I24" s="8" t="s">
        <v>54</v>
      </c>
      <c r="J24" s="8" t="s">
        <v>54</v>
      </c>
      <c r="K24" s="8" t="s">
        <v>54</v>
      </c>
      <c r="L24" s="8" t="s">
        <v>54</v>
      </c>
      <c r="M24" s="8" t="s">
        <v>54</v>
      </c>
      <c r="N24" s="8" t="s">
        <v>54</v>
      </c>
      <c r="O24" s="8" t="s">
        <v>54</v>
      </c>
      <c r="P24" s="8" t="s">
        <v>54</v>
      </c>
      <c r="Q24" s="8" t="s">
        <v>54</v>
      </c>
      <c r="R24" s="8" t="s">
        <v>54</v>
      </c>
      <c r="S24" s="8" t="s">
        <v>54</v>
      </c>
      <c r="T24" s="8" t="s">
        <v>54</v>
      </c>
      <c r="U24" s="8" t="s">
        <v>54</v>
      </c>
      <c r="V24" s="8" t="s">
        <v>54</v>
      </c>
      <c r="W24" s="8" t="s">
        <v>54</v>
      </c>
      <c r="X24" s="8" t="s">
        <v>54</v>
      </c>
      <c r="Y24" s="8" t="s">
        <v>54</v>
      </c>
      <c r="Z24" s="8" t="s">
        <v>54</v>
      </c>
      <c r="AA24" s="8" t="s">
        <v>54</v>
      </c>
      <c r="AB24" s="8" t="s">
        <v>54</v>
      </c>
      <c r="AC24" s="8" t="s">
        <v>54</v>
      </c>
      <c r="AD24" s="8" t="s">
        <v>54</v>
      </c>
      <c r="AE24" s="8" t="s">
        <v>54</v>
      </c>
    </row>
    <row r="25" spans="1:31" x14ac:dyDescent="0.25">
      <c r="A25" s="3" t="s">
        <v>253</v>
      </c>
      <c r="B25" s="9">
        <v>202.22</v>
      </c>
      <c r="C25" s="9">
        <v>180.24</v>
      </c>
      <c r="D25" s="9">
        <v>21.59</v>
      </c>
      <c r="E25" s="9">
        <v>204.26</v>
      </c>
      <c r="F25" s="9">
        <v>608.32000000000005</v>
      </c>
      <c r="G25" s="9">
        <v>182</v>
      </c>
      <c r="H25" s="9">
        <v>162.22</v>
      </c>
      <c r="I25" s="9">
        <v>19.43</v>
      </c>
      <c r="J25" s="9">
        <v>183.83</v>
      </c>
      <c r="K25" s="9">
        <v>547.48</v>
      </c>
      <c r="L25" s="9">
        <v>182</v>
      </c>
      <c r="M25" s="9">
        <v>162.22</v>
      </c>
      <c r="N25" s="9">
        <v>19.43</v>
      </c>
      <c r="O25" s="9">
        <v>183.83</v>
      </c>
      <c r="P25" s="9">
        <v>547.48</v>
      </c>
      <c r="Q25" s="9">
        <v>182</v>
      </c>
      <c r="R25" s="9">
        <v>162.22</v>
      </c>
      <c r="S25" s="9">
        <v>19.43</v>
      </c>
      <c r="T25" s="9">
        <v>183.83</v>
      </c>
      <c r="U25" s="9">
        <v>547.48</v>
      </c>
      <c r="V25" s="9">
        <v>182</v>
      </c>
      <c r="W25" s="9">
        <v>162.22</v>
      </c>
      <c r="X25" s="9">
        <v>19.43</v>
      </c>
      <c r="Y25" s="9">
        <v>183.83</v>
      </c>
      <c r="Z25" s="9">
        <v>547.48</v>
      </c>
      <c r="AA25" s="9">
        <v>182</v>
      </c>
      <c r="AB25" s="9">
        <v>162.22</v>
      </c>
      <c r="AC25" s="9">
        <v>19.43</v>
      </c>
      <c r="AD25" s="9">
        <v>183.83</v>
      </c>
      <c r="AE25" s="9">
        <v>547.48</v>
      </c>
    </row>
    <row r="26" spans="1:31" x14ac:dyDescent="0.25">
      <c r="A26" s="4" t="s">
        <v>205</v>
      </c>
      <c r="B26" s="9">
        <v>35051.32</v>
      </c>
      <c r="C26" s="9">
        <v>35231.57</v>
      </c>
      <c r="D26" s="9">
        <v>35253.160000000003</v>
      </c>
      <c r="E26" s="9">
        <v>35457.42</v>
      </c>
      <c r="F26" s="9">
        <v>35457.42</v>
      </c>
      <c r="G26" s="9">
        <v>35639.42</v>
      </c>
      <c r="H26" s="9">
        <v>35801.64</v>
      </c>
      <c r="I26" s="9">
        <v>35821.07</v>
      </c>
      <c r="J26" s="9">
        <v>36004.9</v>
      </c>
      <c r="K26" s="9">
        <v>36004.9</v>
      </c>
      <c r="L26" s="9">
        <v>36186.9</v>
      </c>
      <c r="M26" s="9">
        <v>36349.120000000003</v>
      </c>
      <c r="N26" s="9">
        <v>36368.550000000003</v>
      </c>
      <c r="O26" s="9">
        <v>36552.39</v>
      </c>
      <c r="P26" s="9">
        <v>36552.39</v>
      </c>
      <c r="Q26" s="9">
        <v>36734.39</v>
      </c>
      <c r="R26" s="9">
        <v>36896.61</v>
      </c>
      <c r="S26" s="9">
        <v>36916.04</v>
      </c>
      <c r="T26" s="9">
        <v>37099.870000000003</v>
      </c>
      <c r="U26" s="9">
        <v>37099.870000000003</v>
      </c>
      <c r="V26" s="9">
        <v>37281.870000000003</v>
      </c>
      <c r="W26" s="9">
        <v>37444.089999999997</v>
      </c>
      <c r="X26" s="9">
        <v>37463.519999999997</v>
      </c>
      <c r="Y26" s="9">
        <v>37647.35</v>
      </c>
      <c r="Z26" s="9">
        <v>37647.35</v>
      </c>
      <c r="AA26" s="9">
        <v>37829.360000000001</v>
      </c>
      <c r="AB26" s="9">
        <v>37991.57</v>
      </c>
      <c r="AC26" s="9">
        <v>38011.01</v>
      </c>
      <c r="AD26" s="9">
        <v>38194.839999999997</v>
      </c>
      <c r="AE26" s="9">
        <v>38194.839999999997</v>
      </c>
    </row>
    <row r="27" spans="1:31" x14ac:dyDescent="0.25">
      <c r="A27" s="3" t="s">
        <v>252</v>
      </c>
      <c r="B27" s="9">
        <v>34950.21</v>
      </c>
      <c r="C27" s="9">
        <v>35141.440000000002</v>
      </c>
      <c r="D27" s="9">
        <v>35242.36</v>
      </c>
      <c r="E27" s="9">
        <v>35355.29</v>
      </c>
      <c r="F27" s="9">
        <v>35248.370000000003</v>
      </c>
      <c r="G27" s="9">
        <v>35548.42</v>
      </c>
      <c r="H27" s="9">
        <v>35720.53</v>
      </c>
      <c r="I27" s="9">
        <v>35811.35</v>
      </c>
      <c r="J27" s="9">
        <v>35912.980000000003</v>
      </c>
      <c r="K27" s="9">
        <v>35816.76</v>
      </c>
      <c r="L27" s="9">
        <v>36095.9</v>
      </c>
      <c r="M27" s="9">
        <v>36268.01</v>
      </c>
      <c r="N27" s="9">
        <v>36358.839999999997</v>
      </c>
      <c r="O27" s="9">
        <v>36460.47</v>
      </c>
      <c r="P27" s="9">
        <v>36364.239999999998</v>
      </c>
      <c r="Q27" s="9">
        <v>36643.39</v>
      </c>
      <c r="R27" s="9">
        <v>36815.5</v>
      </c>
      <c r="S27" s="9">
        <v>36906.32</v>
      </c>
      <c r="T27" s="9">
        <v>37007.949999999997</v>
      </c>
      <c r="U27" s="9">
        <v>36911.730000000003</v>
      </c>
      <c r="V27" s="9">
        <v>37190.870000000003</v>
      </c>
      <c r="W27" s="9">
        <v>37362.980000000003</v>
      </c>
      <c r="X27" s="9">
        <v>37453.81</v>
      </c>
      <c r="Y27" s="9">
        <v>37555.440000000002</v>
      </c>
      <c r="Z27" s="9">
        <v>37459.21</v>
      </c>
      <c r="AA27" s="9">
        <v>37738.35</v>
      </c>
      <c r="AB27" s="9">
        <v>37910.47</v>
      </c>
      <c r="AC27" s="9">
        <v>38001.29</v>
      </c>
      <c r="AD27" s="9">
        <v>38102.92</v>
      </c>
      <c r="AE27" s="9">
        <v>38006.69</v>
      </c>
    </row>
    <row r="28" spans="1:31" x14ac:dyDescent="0.25">
      <c r="A28" s="3" t="s">
        <v>251</v>
      </c>
      <c r="B28" s="9">
        <v>2.89</v>
      </c>
      <c r="C28" s="9">
        <v>2.71</v>
      </c>
      <c r="D28" s="9">
        <v>2.54</v>
      </c>
      <c r="E28" s="9">
        <v>2.36</v>
      </c>
      <c r="F28" s="9">
        <v>2.62</v>
      </c>
      <c r="G28" s="9">
        <v>2.35</v>
      </c>
      <c r="H28" s="9">
        <v>2.34</v>
      </c>
      <c r="I28" s="9">
        <v>2.5299999999999998</v>
      </c>
      <c r="J28" s="9">
        <v>2.44</v>
      </c>
      <c r="K28" s="9">
        <v>2.41</v>
      </c>
      <c r="L28" s="9">
        <v>2.4300000000000002</v>
      </c>
      <c r="M28" s="9">
        <v>2.42</v>
      </c>
      <c r="N28" s="9">
        <v>2.81</v>
      </c>
      <c r="O28" s="9">
        <v>3.63</v>
      </c>
      <c r="P28" s="9">
        <v>2.82</v>
      </c>
      <c r="Q28" s="9">
        <v>2.59</v>
      </c>
      <c r="R28" s="9">
        <v>2.57</v>
      </c>
      <c r="S28" s="9">
        <v>2.99</v>
      </c>
      <c r="T28" s="9">
        <v>3.87</v>
      </c>
      <c r="U28" s="9">
        <v>3</v>
      </c>
      <c r="V28" s="9">
        <v>2.7</v>
      </c>
      <c r="W28" s="9">
        <v>2.69</v>
      </c>
      <c r="X28" s="9">
        <v>3.13</v>
      </c>
      <c r="Y28" s="9">
        <v>4.04</v>
      </c>
      <c r="Z28" s="9">
        <v>3.13</v>
      </c>
      <c r="AA28" s="9">
        <v>2.77</v>
      </c>
      <c r="AB28" s="9">
        <v>2.76</v>
      </c>
      <c r="AC28" s="9">
        <v>3.2</v>
      </c>
      <c r="AD28" s="9">
        <v>4.1399999999999997</v>
      </c>
      <c r="AE28" s="9">
        <v>3.21</v>
      </c>
    </row>
    <row r="29" spans="1:31" x14ac:dyDescent="0.25">
      <c r="A29" s="4" t="s">
        <v>250</v>
      </c>
      <c r="B29" s="9">
        <v>354.99</v>
      </c>
      <c r="C29" s="9">
        <v>355.35</v>
      </c>
      <c r="D29" s="9">
        <v>371.11</v>
      </c>
      <c r="E29" s="9">
        <v>365.54</v>
      </c>
      <c r="F29" s="9">
        <v>1446.99</v>
      </c>
      <c r="G29" s="9">
        <v>337.17</v>
      </c>
      <c r="H29" s="9">
        <v>311.19</v>
      </c>
      <c r="I29" s="9">
        <v>363.99</v>
      </c>
      <c r="J29" s="9">
        <v>388.77</v>
      </c>
      <c r="K29" s="9">
        <v>1401.13</v>
      </c>
      <c r="L29" s="9">
        <v>351.05</v>
      </c>
      <c r="M29" s="9">
        <v>348.73</v>
      </c>
      <c r="N29" s="9">
        <v>374.01</v>
      </c>
      <c r="O29" s="9">
        <v>420.77</v>
      </c>
      <c r="P29" s="9">
        <v>1392.14</v>
      </c>
      <c r="Q29" s="9">
        <v>365.97</v>
      </c>
      <c r="R29" s="9">
        <v>363.6</v>
      </c>
      <c r="S29" s="9">
        <v>390.69</v>
      </c>
      <c r="T29" s="9">
        <v>441.11</v>
      </c>
      <c r="U29" s="9">
        <v>1377.43</v>
      </c>
      <c r="V29" s="9">
        <v>374.5</v>
      </c>
      <c r="W29" s="9">
        <v>372.13</v>
      </c>
      <c r="X29" s="9">
        <v>400.63</v>
      </c>
      <c r="Y29" s="9">
        <v>453.99</v>
      </c>
      <c r="Z29" s="9">
        <v>1293.51</v>
      </c>
      <c r="AA29" s="9">
        <v>380.53</v>
      </c>
      <c r="AB29" s="9">
        <v>378.16</v>
      </c>
      <c r="AC29" s="9">
        <v>407.65</v>
      </c>
      <c r="AD29" s="9">
        <v>463.09</v>
      </c>
      <c r="AE29" s="9">
        <v>1307.8900000000001</v>
      </c>
    </row>
  </sheetData>
  <mergeCells count="1">
    <mergeCell ref="A1:D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53A2-5E64-442A-8769-DC4645A94EB2}">
  <dimension ref="A1:AE76"/>
  <sheetViews>
    <sheetView topLeftCell="A52" workbookViewId="0">
      <selection sqref="A1:D1"/>
    </sheetView>
  </sheetViews>
  <sheetFormatPr defaultRowHeight="15" x14ac:dyDescent="0.25"/>
  <cols>
    <col min="1" max="1" width="48.5703125" customWidth="1"/>
    <col min="2" max="5" width="18.42578125" customWidth="1"/>
    <col min="6" max="6" width="17.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5"/>
      <c r="B1" s="45"/>
      <c r="C1" s="45"/>
      <c r="D1" s="45"/>
    </row>
    <row r="2" spans="1:31" ht="30" customHeight="1" x14ac:dyDescent="0.3">
      <c r="A2" s="1" t="s">
        <v>249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4" t="s">
        <v>248</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247</v>
      </c>
      <c r="B17" s="9">
        <v>11741.65</v>
      </c>
      <c r="C17" s="9">
        <v>12137.11</v>
      </c>
      <c r="D17" s="9">
        <v>12548.44</v>
      </c>
      <c r="E17" s="9">
        <v>12948.24</v>
      </c>
      <c r="F17" s="9">
        <v>49375.44</v>
      </c>
      <c r="G17" s="9">
        <v>12965.46</v>
      </c>
      <c r="H17" s="9">
        <v>13210.99</v>
      </c>
      <c r="I17" s="9">
        <v>13348.32</v>
      </c>
      <c r="J17" s="9">
        <v>13544.35</v>
      </c>
      <c r="K17" s="9">
        <v>53153.760000000002</v>
      </c>
      <c r="L17" s="9">
        <v>13526.59</v>
      </c>
      <c r="M17" s="9">
        <v>13802.02</v>
      </c>
      <c r="N17" s="9">
        <v>13903.09</v>
      </c>
      <c r="O17" s="9">
        <v>14091.55</v>
      </c>
      <c r="P17" s="9">
        <v>55423.6</v>
      </c>
      <c r="Q17" s="9">
        <v>13964.73</v>
      </c>
      <c r="R17" s="9">
        <v>14270.18</v>
      </c>
      <c r="S17" s="9">
        <v>14342.04</v>
      </c>
      <c r="T17" s="9">
        <v>14519.31</v>
      </c>
      <c r="U17" s="9">
        <v>57484.97</v>
      </c>
      <c r="V17" s="9">
        <v>14442.14</v>
      </c>
      <c r="W17" s="9">
        <v>14742.81</v>
      </c>
      <c r="X17" s="9">
        <v>14797.68</v>
      </c>
      <c r="Y17" s="9">
        <v>14983.23</v>
      </c>
      <c r="Z17" s="9">
        <v>59022.21</v>
      </c>
      <c r="AA17" s="9">
        <v>14746.02</v>
      </c>
      <c r="AB17" s="9">
        <v>15016.36</v>
      </c>
      <c r="AC17" s="9">
        <v>15046.88</v>
      </c>
      <c r="AD17" s="9">
        <v>15245.42</v>
      </c>
      <c r="AE17" s="9">
        <v>60502.33</v>
      </c>
    </row>
    <row r="18" spans="1:31" x14ac:dyDescent="0.25">
      <c r="A18" s="3" t="s">
        <v>246</v>
      </c>
      <c r="B18" s="9">
        <v>871.7</v>
      </c>
      <c r="C18" s="9">
        <v>933.26</v>
      </c>
      <c r="D18" s="9">
        <v>1019.66</v>
      </c>
      <c r="E18" s="9">
        <v>1091.77</v>
      </c>
      <c r="F18" s="9">
        <v>3916.39</v>
      </c>
      <c r="G18" s="9">
        <v>1172.48</v>
      </c>
      <c r="H18" s="9">
        <v>1224.29</v>
      </c>
      <c r="I18" s="9">
        <v>1294.77</v>
      </c>
      <c r="J18" s="9">
        <v>1350.15</v>
      </c>
      <c r="K18" s="9">
        <v>5041.6899999999996</v>
      </c>
      <c r="L18" s="9">
        <v>1476.98</v>
      </c>
      <c r="M18" s="9">
        <v>1512.02</v>
      </c>
      <c r="N18" s="9">
        <v>1578.2</v>
      </c>
      <c r="O18" s="9">
        <v>1616.54</v>
      </c>
      <c r="P18" s="9">
        <v>5984.87</v>
      </c>
      <c r="Q18" s="9">
        <v>1472.45</v>
      </c>
      <c r="R18" s="9">
        <v>1510.21</v>
      </c>
      <c r="S18" s="9">
        <v>1582.4</v>
      </c>
      <c r="T18" s="9">
        <v>1592.43</v>
      </c>
      <c r="U18" s="9">
        <v>6783.17</v>
      </c>
      <c r="V18" s="9">
        <v>1635.88</v>
      </c>
      <c r="W18" s="9">
        <v>1666.5</v>
      </c>
      <c r="X18" s="9">
        <v>1735.52</v>
      </c>
      <c r="Y18" s="9">
        <v>1736.86</v>
      </c>
      <c r="Z18" s="9">
        <v>7516.8</v>
      </c>
      <c r="AA18" s="9">
        <v>1775.29</v>
      </c>
      <c r="AB18" s="9">
        <v>1800.25</v>
      </c>
      <c r="AC18" s="9">
        <v>1866.96</v>
      </c>
      <c r="AD18" s="9">
        <v>1861.26</v>
      </c>
      <c r="AE18" s="9">
        <v>8209.64</v>
      </c>
    </row>
    <row r="19" spans="1:31" x14ac:dyDescent="0.25">
      <c r="A19" s="3" t="s">
        <v>245</v>
      </c>
      <c r="B19" s="9">
        <v>102.09</v>
      </c>
      <c r="C19" s="9">
        <v>106.71</v>
      </c>
      <c r="D19" s="9">
        <v>111.55</v>
      </c>
      <c r="E19" s="9">
        <v>118.49</v>
      </c>
      <c r="F19" s="9">
        <v>438.85</v>
      </c>
      <c r="G19" s="9">
        <v>126.01</v>
      </c>
      <c r="H19" s="9">
        <v>131.07</v>
      </c>
      <c r="I19" s="9">
        <v>135.77000000000001</v>
      </c>
      <c r="J19" s="9">
        <v>140.38</v>
      </c>
      <c r="K19" s="9">
        <v>533.23</v>
      </c>
      <c r="L19" s="9">
        <v>146.03</v>
      </c>
      <c r="M19" s="9">
        <v>149.35</v>
      </c>
      <c r="N19" s="9">
        <v>152.53</v>
      </c>
      <c r="O19" s="9">
        <v>155.49</v>
      </c>
      <c r="P19" s="9">
        <v>599.4</v>
      </c>
      <c r="Q19" s="9">
        <v>157.72999999999999</v>
      </c>
      <c r="R19" s="9">
        <v>161.56</v>
      </c>
      <c r="S19" s="9">
        <v>165.17</v>
      </c>
      <c r="T19" s="9">
        <v>168.57</v>
      </c>
      <c r="U19" s="9">
        <v>653.12</v>
      </c>
      <c r="V19" s="9">
        <v>171.76</v>
      </c>
      <c r="W19" s="9">
        <v>174.75</v>
      </c>
      <c r="X19" s="9">
        <v>177.57</v>
      </c>
      <c r="Y19" s="9">
        <v>180.22</v>
      </c>
      <c r="Z19" s="9">
        <v>702.04</v>
      </c>
      <c r="AA19" s="9">
        <v>182.71</v>
      </c>
      <c r="AB19" s="9">
        <v>185.05</v>
      </c>
      <c r="AC19" s="9">
        <v>187.25</v>
      </c>
      <c r="AD19" s="9">
        <v>189.32</v>
      </c>
      <c r="AE19" s="9">
        <v>747.21</v>
      </c>
    </row>
    <row r="20" spans="1:31" x14ac:dyDescent="0.25">
      <c r="A20" s="4" t="s">
        <v>244</v>
      </c>
      <c r="B20" s="9">
        <v>976.56</v>
      </c>
      <c r="C20" s="9">
        <v>1045.6600000000001</v>
      </c>
      <c r="D20" s="9">
        <v>1131.45</v>
      </c>
      <c r="E20" s="9">
        <v>1213.26</v>
      </c>
      <c r="F20" s="9">
        <v>4388.58</v>
      </c>
      <c r="G20" s="9">
        <v>1299.3499999999999</v>
      </c>
      <c r="H20" s="9">
        <v>1361.46</v>
      </c>
      <c r="I20" s="9">
        <v>1424.25</v>
      </c>
      <c r="J20" s="9">
        <v>1484.65</v>
      </c>
      <c r="K20" s="9">
        <v>5586.15</v>
      </c>
      <c r="L20" s="9">
        <v>1601.41</v>
      </c>
      <c r="M20" s="9">
        <v>1652.45</v>
      </c>
      <c r="N20" s="9">
        <v>1711.91</v>
      </c>
      <c r="O20" s="9">
        <v>1760.32</v>
      </c>
      <c r="P20" s="9">
        <v>6622.18</v>
      </c>
      <c r="Q20" s="9">
        <v>1736.63</v>
      </c>
      <c r="R20" s="9">
        <v>1775.09</v>
      </c>
      <c r="S20" s="9">
        <v>1824.81</v>
      </c>
      <c r="T20" s="9">
        <v>1854.03</v>
      </c>
      <c r="U20" s="9">
        <v>7434.29</v>
      </c>
      <c r="V20" s="9">
        <v>1846.32</v>
      </c>
      <c r="W20" s="9">
        <v>1878.66</v>
      </c>
      <c r="X20" s="9">
        <v>1929.87</v>
      </c>
      <c r="Y20" s="9">
        <v>1947.62</v>
      </c>
      <c r="Z20" s="9">
        <v>8116.54</v>
      </c>
      <c r="AA20" s="9">
        <v>1981.24</v>
      </c>
      <c r="AB20" s="9">
        <v>2004.79</v>
      </c>
      <c r="AC20" s="9">
        <v>2048.92</v>
      </c>
      <c r="AD20" s="9">
        <v>2057.23</v>
      </c>
      <c r="AE20" s="9">
        <v>8762.67</v>
      </c>
    </row>
    <row r="21" spans="1:31" x14ac:dyDescent="0.25">
      <c r="A21" s="3" t="s">
        <v>243</v>
      </c>
      <c r="B21" s="9">
        <v>2.0499999999999998</v>
      </c>
      <c r="C21" s="9">
        <v>14.2</v>
      </c>
      <c r="D21" s="9">
        <v>102.89</v>
      </c>
      <c r="E21" s="9">
        <v>188.27</v>
      </c>
      <c r="F21" s="9">
        <v>296.2</v>
      </c>
      <c r="G21" s="9">
        <v>200.78</v>
      </c>
      <c r="H21" s="9">
        <v>213.26</v>
      </c>
      <c r="I21" s="9">
        <v>228.43</v>
      </c>
      <c r="J21" s="9">
        <v>246</v>
      </c>
      <c r="K21" s="9">
        <v>888.48</v>
      </c>
      <c r="L21" s="9">
        <v>280.43</v>
      </c>
      <c r="M21" s="9">
        <v>311.45999999999998</v>
      </c>
      <c r="N21" s="9">
        <v>335.55</v>
      </c>
      <c r="O21" s="9">
        <v>360.79</v>
      </c>
      <c r="P21" s="9">
        <v>1282.9000000000001</v>
      </c>
      <c r="Q21" s="9">
        <v>435.09</v>
      </c>
      <c r="R21" s="9">
        <v>464.71</v>
      </c>
      <c r="S21" s="9">
        <v>496.34</v>
      </c>
      <c r="T21" s="9">
        <v>528.94000000000005</v>
      </c>
      <c r="U21" s="9">
        <v>1762.59</v>
      </c>
      <c r="V21" s="9">
        <v>615.21</v>
      </c>
      <c r="W21" s="9">
        <v>656.82</v>
      </c>
      <c r="X21" s="9">
        <v>699.53</v>
      </c>
      <c r="Y21" s="9">
        <v>743.36</v>
      </c>
      <c r="Z21" s="9">
        <v>2321.5300000000002</v>
      </c>
      <c r="AA21" s="9">
        <v>803.15</v>
      </c>
      <c r="AB21" s="9">
        <v>848.26</v>
      </c>
      <c r="AC21" s="9">
        <v>894.43</v>
      </c>
      <c r="AD21" s="9">
        <v>941.68</v>
      </c>
      <c r="AE21" s="9">
        <v>2978.35</v>
      </c>
    </row>
    <row r="22" spans="1:31" x14ac:dyDescent="0.25">
      <c r="A22" s="3" t="s">
        <v>242</v>
      </c>
      <c r="B22" s="9">
        <v>872.29</v>
      </c>
      <c r="C22" s="9">
        <v>899.55</v>
      </c>
      <c r="D22" s="9">
        <v>1117.98</v>
      </c>
      <c r="E22" s="9">
        <v>1118.3</v>
      </c>
      <c r="F22" s="9">
        <v>4008.13</v>
      </c>
      <c r="G22" s="9">
        <v>1326.82</v>
      </c>
      <c r="H22" s="9">
        <v>1173.95</v>
      </c>
      <c r="I22" s="9">
        <v>1229.03</v>
      </c>
      <c r="J22" s="9">
        <v>1241.1400000000001</v>
      </c>
      <c r="K22" s="9">
        <v>4970.9399999999996</v>
      </c>
      <c r="L22" s="8" t="s">
        <v>54</v>
      </c>
      <c r="M22" s="8" t="s">
        <v>54</v>
      </c>
      <c r="N22" s="8" t="s">
        <v>54</v>
      </c>
      <c r="O22" s="8" t="s">
        <v>54</v>
      </c>
      <c r="P22" s="9">
        <v>5359.85</v>
      </c>
      <c r="Q22" s="8" t="s">
        <v>54</v>
      </c>
      <c r="R22" s="8" t="s">
        <v>54</v>
      </c>
      <c r="S22" s="8" t="s">
        <v>54</v>
      </c>
      <c r="T22" s="8" t="s">
        <v>54</v>
      </c>
      <c r="U22" s="9">
        <v>5701.97</v>
      </c>
      <c r="V22" s="8" t="s">
        <v>54</v>
      </c>
      <c r="W22" s="8" t="s">
        <v>54</v>
      </c>
      <c r="X22" s="8" t="s">
        <v>54</v>
      </c>
      <c r="Y22" s="8" t="s">
        <v>54</v>
      </c>
      <c r="Z22" s="9">
        <v>6017.11</v>
      </c>
      <c r="AA22" s="8" t="s">
        <v>54</v>
      </c>
      <c r="AB22" s="8" t="s">
        <v>54</v>
      </c>
      <c r="AC22" s="8" t="s">
        <v>54</v>
      </c>
      <c r="AD22" s="8" t="s">
        <v>54</v>
      </c>
      <c r="AE22" s="9">
        <v>6306.97</v>
      </c>
    </row>
    <row r="23" spans="1:31" x14ac:dyDescent="0.25">
      <c r="A23" s="4" t="s">
        <v>241</v>
      </c>
      <c r="B23" s="9">
        <v>907.3</v>
      </c>
      <c r="C23" s="9">
        <v>929.52</v>
      </c>
      <c r="D23" s="9">
        <v>1165.25</v>
      </c>
      <c r="E23" s="9">
        <v>1205.4000000000001</v>
      </c>
      <c r="F23" s="9">
        <v>4188.53</v>
      </c>
      <c r="G23" s="9">
        <v>1326.36</v>
      </c>
      <c r="H23" s="9">
        <v>1267.92</v>
      </c>
      <c r="I23" s="9">
        <v>1296.9000000000001</v>
      </c>
      <c r="J23" s="9">
        <v>1303.79</v>
      </c>
      <c r="K23" s="9">
        <v>5180.58</v>
      </c>
      <c r="L23" s="9">
        <v>1387.81</v>
      </c>
      <c r="M23" s="9">
        <v>1341.08</v>
      </c>
      <c r="N23" s="9">
        <v>1440.15</v>
      </c>
      <c r="O23" s="9">
        <v>1437.29</v>
      </c>
      <c r="P23" s="9">
        <v>5761.62</v>
      </c>
      <c r="Q23" s="9">
        <v>1597.63</v>
      </c>
      <c r="R23" s="9">
        <v>1548.36</v>
      </c>
      <c r="S23" s="9">
        <v>1675.31</v>
      </c>
      <c r="T23" s="9">
        <v>1655.88</v>
      </c>
      <c r="U23" s="9">
        <v>6537.09</v>
      </c>
      <c r="V23" s="9">
        <v>1847.03</v>
      </c>
      <c r="W23" s="9">
        <v>1837.62</v>
      </c>
      <c r="X23" s="9">
        <v>2025.47</v>
      </c>
      <c r="Y23" s="9">
        <v>1912.44</v>
      </c>
      <c r="Z23" s="9">
        <v>7491.1</v>
      </c>
      <c r="AA23" s="9">
        <v>2070.81</v>
      </c>
      <c r="AB23" s="9">
        <v>2059.37</v>
      </c>
      <c r="AC23" s="9">
        <v>2260.64</v>
      </c>
      <c r="AD23" s="9">
        <v>2135.38</v>
      </c>
      <c r="AE23" s="9">
        <v>8361.48</v>
      </c>
    </row>
    <row r="24" spans="1:31" x14ac:dyDescent="0.25">
      <c r="A24" s="4" t="s">
        <v>240</v>
      </c>
      <c r="B24" s="9">
        <v>1852.35</v>
      </c>
      <c r="C24" s="9">
        <v>1940.89</v>
      </c>
      <c r="D24" s="9">
        <v>2333.56</v>
      </c>
      <c r="E24" s="9">
        <v>2429.7600000000002</v>
      </c>
      <c r="F24" s="9">
        <v>8556.56</v>
      </c>
      <c r="G24" s="9">
        <v>2626.24</v>
      </c>
      <c r="H24" s="9">
        <v>2621.72</v>
      </c>
      <c r="I24" s="9">
        <v>2749.18</v>
      </c>
      <c r="J24" s="9">
        <v>2825.44</v>
      </c>
      <c r="K24" s="9">
        <v>10675.47</v>
      </c>
      <c r="L24" s="9">
        <v>3000.84</v>
      </c>
      <c r="M24" s="9">
        <v>3011.94</v>
      </c>
      <c r="N24" s="9">
        <v>3175.7</v>
      </c>
      <c r="O24" s="9">
        <v>3258.5</v>
      </c>
      <c r="P24" s="9">
        <v>12226.99</v>
      </c>
      <c r="Q24" s="9">
        <v>3440.68</v>
      </c>
      <c r="R24" s="9">
        <v>3418.05</v>
      </c>
      <c r="S24" s="9">
        <v>3612.08</v>
      </c>
      <c r="T24" s="9">
        <v>3652.95</v>
      </c>
      <c r="U24" s="9">
        <v>13760.16</v>
      </c>
      <c r="V24" s="9">
        <v>3889.42</v>
      </c>
      <c r="W24" s="9">
        <v>3875.68</v>
      </c>
      <c r="X24" s="9">
        <v>4105.6099999999997</v>
      </c>
      <c r="Y24" s="9">
        <v>4085.1</v>
      </c>
      <c r="Z24" s="9">
        <v>15902.68</v>
      </c>
      <c r="AA24" s="9">
        <v>4320.3500000000004</v>
      </c>
      <c r="AB24" s="9">
        <v>4353.97</v>
      </c>
      <c r="AC24" s="9">
        <v>4633.18</v>
      </c>
      <c r="AD24" s="9">
        <v>4557.9399999999996</v>
      </c>
      <c r="AE24" s="9">
        <v>17615.689999999999</v>
      </c>
    </row>
    <row r="25" spans="1:31" x14ac:dyDescent="0.25">
      <c r="A25" s="4" t="s">
        <v>239</v>
      </c>
      <c r="B25" s="9">
        <v>13594</v>
      </c>
      <c r="C25" s="9">
        <v>14078</v>
      </c>
      <c r="D25" s="9">
        <v>14882</v>
      </c>
      <c r="E25" s="9">
        <v>15378</v>
      </c>
      <c r="F25" s="9">
        <v>57932</v>
      </c>
      <c r="G25" s="9">
        <v>15629</v>
      </c>
      <c r="H25" s="9">
        <v>15853</v>
      </c>
      <c r="I25" s="9">
        <v>16096.01</v>
      </c>
      <c r="J25" s="9">
        <v>16403.48</v>
      </c>
      <c r="K25" s="9">
        <v>63930.52</v>
      </c>
      <c r="L25" s="9">
        <v>16596.919999999998</v>
      </c>
      <c r="M25" s="9">
        <v>16812.97</v>
      </c>
      <c r="N25" s="9">
        <v>17069.830000000002</v>
      </c>
      <c r="O25" s="9">
        <v>17340.86</v>
      </c>
      <c r="P25" s="9">
        <v>67767.899999999994</v>
      </c>
      <c r="Q25" s="9">
        <v>17487.63</v>
      </c>
      <c r="R25" s="9">
        <v>17658.59</v>
      </c>
      <c r="S25" s="9">
        <v>17930.419999999998</v>
      </c>
      <c r="T25" s="9">
        <v>18169.87</v>
      </c>
      <c r="U25" s="9">
        <v>71428.58</v>
      </c>
      <c r="V25" s="9">
        <v>18418.68</v>
      </c>
      <c r="W25" s="9">
        <v>18566.419999999998</v>
      </c>
      <c r="X25" s="9">
        <v>18859.259999999998</v>
      </c>
      <c r="Y25" s="9">
        <v>19051.47</v>
      </c>
      <c r="Z25" s="9">
        <v>75190.17</v>
      </c>
      <c r="AA25" s="9">
        <v>19160.79</v>
      </c>
      <c r="AB25" s="9">
        <v>19282.62</v>
      </c>
      <c r="AC25" s="9">
        <v>19600.88</v>
      </c>
      <c r="AD25" s="9">
        <v>19757.8</v>
      </c>
      <c r="AE25" s="9">
        <v>78549.240000000005</v>
      </c>
    </row>
    <row r="26" spans="1:31" x14ac:dyDescent="0.25">
      <c r="A26" s="3" t="s">
        <v>238</v>
      </c>
      <c r="B26" s="9">
        <v>2643</v>
      </c>
      <c r="C26" s="9">
        <v>2643</v>
      </c>
      <c r="D26" s="9">
        <v>2625</v>
      </c>
      <c r="E26" s="9">
        <v>2586</v>
      </c>
      <c r="F26" s="9">
        <v>10497</v>
      </c>
      <c r="G26" s="9">
        <v>2517</v>
      </c>
      <c r="H26" s="9">
        <v>2473</v>
      </c>
      <c r="I26" s="9">
        <v>2481.39</v>
      </c>
      <c r="J26" s="9">
        <v>2482.4899999999998</v>
      </c>
      <c r="K26" s="9">
        <v>9967.2099999999991</v>
      </c>
      <c r="L26" s="9">
        <v>2469.5</v>
      </c>
      <c r="M26" s="9">
        <v>2443.48</v>
      </c>
      <c r="N26" s="9">
        <v>2447.14</v>
      </c>
      <c r="O26" s="9">
        <v>2441.1999999999998</v>
      </c>
      <c r="P26" s="9">
        <v>9886.9</v>
      </c>
      <c r="Q26" s="9">
        <v>2519.36</v>
      </c>
      <c r="R26" s="9">
        <v>2476.79</v>
      </c>
      <c r="S26" s="9">
        <v>2490.96</v>
      </c>
      <c r="T26" s="9">
        <v>2479.85</v>
      </c>
      <c r="U26" s="9">
        <v>9914.01</v>
      </c>
      <c r="V26" s="9">
        <v>2503.4</v>
      </c>
      <c r="W26" s="9">
        <v>2461.09</v>
      </c>
      <c r="X26" s="9">
        <v>2452.4899999999998</v>
      </c>
      <c r="Y26" s="9">
        <v>2420.4499999999998</v>
      </c>
      <c r="Z26" s="9">
        <v>9835.1299999999992</v>
      </c>
      <c r="AA26" s="9">
        <v>2427.69</v>
      </c>
      <c r="AB26" s="9">
        <v>2408.96</v>
      </c>
      <c r="AC26" s="9">
        <v>2373.86</v>
      </c>
      <c r="AD26" s="9">
        <v>2338.09</v>
      </c>
      <c r="AE26" s="9">
        <v>9735.64</v>
      </c>
    </row>
    <row r="27" spans="1:31" x14ac:dyDescent="0.25">
      <c r="A27" s="4" t="s">
        <v>237</v>
      </c>
      <c r="B27" s="9">
        <v>16237</v>
      </c>
      <c r="C27" s="9">
        <v>16721</v>
      </c>
      <c r="D27" s="9">
        <v>17507</v>
      </c>
      <c r="E27" s="9">
        <v>17964</v>
      </c>
      <c r="F27" s="9">
        <v>68429</v>
      </c>
      <c r="G27" s="9">
        <v>18146</v>
      </c>
      <c r="H27" s="9">
        <v>18326</v>
      </c>
      <c r="I27" s="9">
        <v>18577.400000000001</v>
      </c>
      <c r="J27" s="9">
        <v>18885.98</v>
      </c>
      <c r="K27" s="9">
        <v>73897.73</v>
      </c>
      <c r="L27" s="9">
        <v>19066.419999999998</v>
      </c>
      <c r="M27" s="9">
        <v>19256.45</v>
      </c>
      <c r="N27" s="9">
        <v>19516.97</v>
      </c>
      <c r="O27" s="9">
        <v>19782.060000000001</v>
      </c>
      <c r="P27" s="9">
        <v>77654.8</v>
      </c>
      <c r="Q27" s="9">
        <v>20006.990000000002</v>
      </c>
      <c r="R27" s="9">
        <v>20135.38</v>
      </c>
      <c r="S27" s="9">
        <v>20421.38</v>
      </c>
      <c r="T27" s="9">
        <v>20649.72</v>
      </c>
      <c r="U27" s="9">
        <v>81342.59</v>
      </c>
      <c r="V27" s="9">
        <v>20922.09</v>
      </c>
      <c r="W27" s="9">
        <v>21027.51</v>
      </c>
      <c r="X27" s="9">
        <v>21311.75</v>
      </c>
      <c r="Y27" s="9">
        <v>21471.919999999998</v>
      </c>
      <c r="Z27" s="9">
        <v>85025.3</v>
      </c>
      <c r="AA27" s="9">
        <v>21588.47</v>
      </c>
      <c r="AB27" s="9">
        <v>21691.58</v>
      </c>
      <c r="AC27" s="9">
        <v>21974.74</v>
      </c>
      <c r="AD27" s="9">
        <v>22095.89</v>
      </c>
      <c r="AE27" s="9">
        <v>88284.88</v>
      </c>
    </row>
    <row r="28" spans="1:31" x14ac:dyDescent="0.25">
      <c r="A28" s="3" t="s">
        <v>236</v>
      </c>
      <c r="B28" s="9">
        <v>354.99</v>
      </c>
      <c r="C28" s="9">
        <v>355.35</v>
      </c>
      <c r="D28" s="9">
        <v>371.11</v>
      </c>
      <c r="E28" s="9">
        <v>365.54</v>
      </c>
      <c r="F28" s="9">
        <v>1446.99</v>
      </c>
      <c r="G28" s="9">
        <v>337.17</v>
      </c>
      <c r="H28" s="9">
        <v>311.19</v>
      </c>
      <c r="I28" s="9">
        <v>363.99</v>
      </c>
      <c r="J28" s="9">
        <v>388.77</v>
      </c>
      <c r="K28" s="9">
        <v>1401.13</v>
      </c>
      <c r="L28" s="9">
        <v>351.05</v>
      </c>
      <c r="M28" s="9">
        <v>348.73</v>
      </c>
      <c r="N28" s="9">
        <v>374.01</v>
      </c>
      <c r="O28" s="9">
        <v>420.77</v>
      </c>
      <c r="P28" s="9">
        <v>1392.14</v>
      </c>
      <c r="Q28" s="9">
        <v>365.97</v>
      </c>
      <c r="R28" s="9">
        <v>363.6</v>
      </c>
      <c r="S28" s="9">
        <v>390.69</v>
      </c>
      <c r="T28" s="9">
        <v>441.11</v>
      </c>
      <c r="U28" s="9">
        <v>1377.43</v>
      </c>
      <c r="V28" s="9">
        <v>374.5</v>
      </c>
      <c r="W28" s="9">
        <v>372.13</v>
      </c>
      <c r="X28" s="9">
        <v>400.63</v>
      </c>
      <c r="Y28" s="9">
        <v>453.99</v>
      </c>
      <c r="Z28" s="9">
        <v>1293.51</v>
      </c>
      <c r="AA28" s="9">
        <v>380.53</v>
      </c>
      <c r="AB28" s="9">
        <v>378.16</v>
      </c>
      <c r="AC28" s="9">
        <v>407.65</v>
      </c>
      <c r="AD28" s="9">
        <v>463.09</v>
      </c>
      <c r="AE28" s="9">
        <v>1307.8900000000001</v>
      </c>
    </row>
    <row r="29" spans="1:31" x14ac:dyDescent="0.25">
      <c r="A29" s="3" t="s">
        <v>235</v>
      </c>
      <c r="B29" s="9">
        <v>333.01</v>
      </c>
      <c r="C29" s="9">
        <v>361.65</v>
      </c>
      <c r="D29" s="9">
        <v>362.89</v>
      </c>
      <c r="E29" s="9">
        <v>372.46</v>
      </c>
      <c r="F29" s="9">
        <v>1430.01</v>
      </c>
      <c r="G29" s="9">
        <v>347.83</v>
      </c>
      <c r="H29" s="9">
        <v>345.81</v>
      </c>
      <c r="I29" s="9">
        <v>385.85</v>
      </c>
      <c r="J29" s="9">
        <v>414.18</v>
      </c>
      <c r="K29" s="9">
        <v>1493.67</v>
      </c>
      <c r="L29" s="9">
        <v>395.68</v>
      </c>
      <c r="M29" s="9">
        <v>382.02</v>
      </c>
      <c r="N29" s="9">
        <v>426.89</v>
      </c>
      <c r="O29" s="9">
        <v>438.6</v>
      </c>
      <c r="P29" s="9">
        <v>1527.89</v>
      </c>
      <c r="Q29" s="9">
        <v>403.6</v>
      </c>
      <c r="R29" s="9">
        <v>389.66</v>
      </c>
      <c r="S29" s="9">
        <v>435.43</v>
      </c>
      <c r="T29" s="9">
        <v>447.37</v>
      </c>
      <c r="U29" s="9">
        <v>1558.02</v>
      </c>
      <c r="V29" s="9">
        <v>411.67</v>
      </c>
      <c r="W29" s="9">
        <v>397.45</v>
      </c>
      <c r="X29" s="9">
        <v>444.14</v>
      </c>
      <c r="Y29" s="9">
        <v>456.32</v>
      </c>
      <c r="Z29" s="9">
        <v>1660.91</v>
      </c>
      <c r="AA29" s="9">
        <v>419.9</v>
      </c>
      <c r="AB29" s="9">
        <v>405.4</v>
      </c>
      <c r="AC29" s="9">
        <v>453.02</v>
      </c>
      <c r="AD29" s="9">
        <v>465.45</v>
      </c>
      <c r="AE29" s="9">
        <v>1688.48</v>
      </c>
    </row>
    <row r="30" spans="1:31" x14ac:dyDescent="0.25">
      <c r="A30" s="4" t="s">
        <v>234</v>
      </c>
      <c r="B30" s="9">
        <v>688</v>
      </c>
      <c r="C30" s="9">
        <v>717</v>
      </c>
      <c r="D30" s="9">
        <v>734</v>
      </c>
      <c r="E30" s="9">
        <v>738</v>
      </c>
      <c r="F30" s="9">
        <v>2877</v>
      </c>
      <c r="G30" s="9">
        <v>685</v>
      </c>
      <c r="H30" s="9">
        <v>657</v>
      </c>
      <c r="I30" s="9">
        <v>733.62</v>
      </c>
      <c r="J30" s="9">
        <v>781.67</v>
      </c>
      <c r="K30" s="9">
        <v>2883.41</v>
      </c>
      <c r="L30" s="9">
        <v>709.84</v>
      </c>
      <c r="M30" s="9">
        <v>695.14</v>
      </c>
      <c r="N30" s="9">
        <v>759</v>
      </c>
      <c r="O30" s="9">
        <v>792.71</v>
      </c>
      <c r="P30" s="9">
        <v>2960.38</v>
      </c>
      <c r="Q30" s="9">
        <v>836.44</v>
      </c>
      <c r="R30" s="9">
        <v>688.15</v>
      </c>
      <c r="S30" s="9">
        <v>750.06</v>
      </c>
      <c r="T30" s="9">
        <v>791.61</v>
      </c>
      <c r="U30" s="9">
        <v>3084.55</v>
      </c>
      <c r="V30" s="9">
        <v>859.66</v>
      </c>
      <c r="W30" s="9">
        <v>686.45</v>
      </c>
      <c r="X30" s="9">
        <v>753.05</v>
      </c>
      <c r="Y30" s="9">
        <v>782.31</v>
      </c>
      <c r="Z30" s="9">
        <v>3083.01</v>
      </c>
      <c r="AA30" s="9">
        <v>953.58</v>
      </c>
      <c r="AB30" s="9">
        <v>745.61</v>
      </c>
      <c r="AC30" s="9">
        <v>827.69</v>
      </c>
      <c r="AD30" s="9">
        <v>864.78</v>
      </c>
      <c r="AE30" s="9">
        <v>3227.02</v>
      </c>
    </row>
    <row r="31" spans="1:31" x14ac:dyDescent="0.25">
      <c r="A31" s="4" t="s">
        <v>233</v>
      </c>
      <c r="B31" s="9">
        <v>16925</v>
      </c>
      <c r="C31" s="9">
        <v>17438</v>
      </c>
      <c r="D31" s="9">
        <v>18241</v>
      </c>
      <c r="E31" s="9">
        <v>18702</v>
      </c>
      <c r="F31" s="9">
        <v>71306</v>
      </c>
      <c r="G31" s="9">
        <v>18831</v>
      </c>
      <c r="H31" s="9">
        <v>18983</v>
      </c>
      <c r="I31" s="9">
        <v>19311.990000000002</v>
      </c>
      <c r="J31" s="9">
        <v>19665.060000000001</v>
      </c>
      <c r="K31" s="9">
        <v>76774.73</v>
      </c>
      <c r="L31" s="9">
        <v>19777.07</v>
      </c>
      <c r="M31" s="9">
        <v>19950.650000000001</v>
      </c>
      <c r="N31" s="9">
        <v>20275.97</v>
      </c>
      <c r="O31" s="9">
        <v>20574.78</v>
      </c>
      <c r="P31" s="9">
        <v>80614.100000000006</v>
      </c>
      <c r="Q31" s="9">
        <v>20843.43</v>
      </c>
      <c r="R31" s="9">
        <v>20823.53</v>
      </c>
      <c r="S31" s="9">
        <v>21171.439999999999</v>
      </c>
      <c r="T31" s="9">
        <v>21441.33</v>
      </c>
      <c r="U31" s="9">
        <v>84422.97</v>
      </c>
      <c r="V31" s="9">
        <v>21781.74</v>
      </c>
      <c r="W31" s="9">
        <v>21713.96</v>
      </c>
      <c r="X31" s="9">
        <v>22064.79</v>
      </c>
      <c r="Y31" s="9">
        <v>22254.23</v>
      </c>
      <c r="Z31" s="9">
        <v>88108.33</v>
      </c>
      <c r="AA31" s="9">
        <v>22542.06</v>
      </c>
      <c r="AB31" s="9">
        <v>22437.19</v>
      </c>
      <c r="AC31" s="9">
        <v>22802.42</v>
      </c>
      <c r="AD31" s="9">
        <v>22960.68</v>
      </c>
      <c r="AE31" s="9">
        <v>91511.92</v>
      </c>
    </row>
    <row r="32" spans="1:31" x14ac:dyDescent="0.25">
      <c r="A32" s="3" t="s">
        <v>232</v>
      </c>
      <c r="B32" s="9">
        <v>3703</v>
      </c>
      <c r="C32" s="9">
        <v>3433</v>
      </c>
      <c r="D32" s="9">
        <v>3461</v>
      </c>
      <c r="E32" s="9">
        <v>5362</v>
      </c>
      <c r="F32" s="9">
        <v>15959</v>
      </c>
      <c r="G32" s="9">
        <v>3995</v>
      </c>
      <c r="H32" s="9">
        <v>3524</v>
      </c>
      <c r="I32" s="9">
        <v>3613.03</v>
      </c>
      <c r="J32" s="9">
        <v>5415.77</v>
      </c>
      <c r="K32" s="9">
        <v>16448.98</v>
      </c>
      <c r="L32" s="9">
        <v>4041</v>
      </c>
      <c r="M32" s="9">
        <v>3588.16</v>
      </c>
      <c r="N32" s="9">
        <v>3690.74</v>
      </c>
      <c r="O32" s="9">
        <v>5569.75</v>
      </c>
      <c r="P32" s="9">
        <v>16841.98</v>
      </c>
      <c r="Q32" s="9">
        <v>4227.7700000000004</v>
      </c>
      <c r="R32" s="9">
        <v>3712.17</v>
      </c>
      <c r="S32" s="9">
        <v>3821.18</v>
      </c>
      <c r="T32" s="9">
        <v>5757.47</v>
      </c>
      <c r="U32" s="9">
        <v>17202.099999999999</v>
      </c>
      <c r="V32" s="9">
        <v>4328.04</v>
      </c>
      <c r="W32" s="9">
        <v>3789.86</v>
      </c>
      <c r="X32" s="9">
        <v>3888.98</v>
      </c>
      <c r="Y32" s="9">
        <v>5891.73</v>
      </c>
      <c r="Z32" s="9">
        <v>17731.849999999999</v>
      </c>
      <c r="AA32" s="9">
        <v>4423.45</v>
      </c>
      <c r="AB32" s="9">
        <v>3862.73</v>
      </c>
      <c r="AC32" s="9">
        <v>3974.78</v>
      </c>
      <c r="AD32" s="9">
        <v>6006.9</v>
      </c>
      <c r="AE32" s="9">
        <v>18094.43</v>
      </c>
    </row>
    <row r="33" spans="1:31" x14ac:dyDescent="0.25">
      <c r="A33" s="3" t="s">
        <v>231</v>
      </c>
      <c r="B33" s="9">
        <v>1</v>
      </c>
      <c r="C33" s="9">
        <v>6</v>
      </c>
      <c r="D33" s="9">
        <v>4</v>
      </c>
      <c r="E33" s="9">
        <v>2</v>
      </c>
      <c r="F33" s="9">
        <v>13</v>
      </c>
      <c r="G33" s="9">
        <v>1</v>
      </c>
      <c r="H33" s="9">
        <v>11</v>
      </c>
      <c r="I33" s="9">
        <v>5.58</v>
      </c>
      <c r="J33" s="9">
        <v>4.9400000000000004</v>
      </c>
      <c r="K33" s="9">
        <v>2.2999999999999998</v>
      </c>
      <c r="L33" s="9">
        <v>1.9</v>
      </c>
      <c r="M33" s="9">
        <v>1.88</v>
      </c>
      <c r="N33" s="9">
        <v>1.86</v>
      </c>
      <c r="O33" s="9">
        <v>1.85</v>
      </c>
      <c r="P33" s="9">
        <v>7.52</v>
      </c>
      <c r="Q33" s="8" t="s">
        <v>54</v>
      </c>
      <c r="R33" s="8" t="s">
        <v>54</v>
      </c>
      <c r="S33" s="8" t="s">
        <v>54</v>
      </c>
      <c r="T33" s="8" t="s">
        <v>54</v>
      </c>
      <c r="U33" s="9">
        <v>6.73</v>
      </c>
      <c r="V33" s="8" t="s">
        <v>54</v>
      </c>
      <c r="W33" s="8" t="s">
        <v>54</v>
      </c>
      <c r="X33" s="8" t="s">
        <v>54</v>
      </c>
      <c r="Y33" s="8" t="s">
        <v>54</v>
      </c>
      <c r="Z33" s="9">
        <v>6.25</v>
      </c>
      <c r="AA33" s="8" t="s">
        <v>54</v>
      </c>
      <c r="AB33" s="8" t="s">
        <v>54</v>
      </c>
      <c r="AC33" s="8" t="s">
        <v>54</v>
      </c>
      <c r="AD33" s="8" t="s">
        <v>54</v>
      </c>
      <c r="AE33" s="9">
        <v>5.56</v>
      </c>
    </row>
    <row r="34" spans="1:31" x14ac:dyDescent="0.25">
      <c r="A34" s="4" t="s">
        <v>230</v>
      </c>
      <c r="B34" s="9">
        <v>3704</v>
      </c>
      <c r="C34" s="9">
        <v>3439</v>
      </c>
      <c r="D34" s="9">
        <v>3465</v>
      </c>
      <c r="E34" s="9">
        <v>5364</v>
      </c>
      <c r="F34" s="9">
        <v>15972</v>
      </c>
      <c r="G34" s="9">
        <v>3996</v>
      </c>
      <c r="H34" s="9">
        <v>3524</v>
      </c>
      <c r="I34" s="9">
        <v>3607.84</v>
      </c>
      <c r="J34" s="9">
        <v>5412.2</v>
      </c>
      <c r="K34" s="9">
        <v>16497.78</v>
      </c>
      <c r="L34" s="9">
        <v>4059.07</v>
      </c>
      <c r="M34" s="9">
        <v>3600.41</v>
      </c>
      <c r="N34" s="9">
        <v>3699.42</v>
      </c>
      <c r="O34" s="9">
        <v>5570.28</v>
      </c>
      <c r="P34" s="9">
        <v>16923.599999999999</v>
      </c>
      <c r="Q34" s="9">
        <v>4227.7700000000004</v>
      </c>
      <c r="R34" s="9">
        <v>3712.17</v>
      </c>
      <c r="S34" s="9">
        <v>3821.18</v>
      </c>
      <c r="T34" s="9">
        <v>5757.47</v>
      </c>
      <c r="U34" s="9">
        <v>17346.38</v>
      </c>
      <c r="V34" s="9">
        <v>4328.04</v>
      </c>
      <c r="W34" s="9">
        <v>3789.86</v>
      </c>
      <c r="X34" s="9">
        <v>3888.98</v>
      </c>
      <c r="Y34" s="9">
        <v>5891.73</v>
      </c>
      <c r="Z34" s="9">
        <v>17732.740000000002</v>
      </c>
      <c r="AA34" s="9">
        <v>4423.45</v>
      </c>
      <c r="AB34" s="9">
        <v>3862.73</v>
      </c>
      <c r="AC34" s="9">
        <v>3974.78</v>
      </c>
      <c r="AD34" s="9">
        <v>6006.9</v>
      </c>
      <c r="AE34" s="9">
        <v>18095.29</v>
      </c>
    </row>
    <row r="35" spans="1:31" x14ac:dyDescent="0.25">
      <c r="A35" s="3" t="s">
        <v>229</v>
      </c>
      <c r="B35" s="9">
        <v>257</v>
      </c>
      <c r="C35" s="9">
        <v>255</v>
      </c>
      <c r="D35" s="9">
        <v>251</v>
      </c>
      <c r="E35" s="9">
        <v>268</v>
      </c>
      <c r="F35" s="9">
        <v>1031</v>
      </c>
      <c r="G35" s="9">
        <v>280</v>
      </c>
      <c r="H35" s="9">
        <v>284</v>
      </c>
      <c r="I35" s="9">
        <v>268.41000000000003</v>
      </c>
      <c r="J35" s="9">
        <v>276.42</v>
      </c>
      <c r="K35" s="9">
        <v>1105.6199999999999</v>
      </c>
      <c r="L35" s="9">
        <v>289.73</v>
      </c>
      <c r="M35" s="9">
        <v>294.26</v>
      </c>
      <c r="N35" s="9">
        <v>277.08999999999997</v>
      </c>
      <c r="O35" s="9">
        <v>290.62</v>
      </c>
      <c r="P35" s="9">
        <v>1132.5999999999999</v>
      </c>
      <c r="Q35" s="9">
        <v>300.97000000000003</v>
      </c>
      <c r="R35" s="9">
        <v>303.52</v>
      </c>
      <c r="S35" s="9">
        <v>286.66000000000003</v>
      </c>
      <c r="T35" s="9">
        <v>302.35000000000002</v>
      </c>
      <c r="U35" s="9">
        <v>1166.93</v>
      </c>
      <c r="V35" s="9">
        <v>306.01</v>
      </c>
      <c r="W35" s="9">
        <v>310.01</v>
      </c>
      <c r="X35" s="9">
        <v>287</v>
      </c>
      <c r="Y35" s="9">
        <v>302.58</v>
      </c>
      <c r="Z35" s="9">
        <v>1194.1099999999999</v>
      </c>
      <c r="AA35" s="9">
        <v>294.8</v>
      </c>
      <c r="AB35" s="9">
        <v>299.01</v>
      </c>
      <c r="AC35" s="9">
        <v>273.3</v>
      </c>
      <c r="AD35" s="9">
        <v>287.33999999999997</v>
      </c>
      <c r="AE35" s="9">
        <v>1198.8599999999999</v>
      </c>
    </row>
    <row r="36" spans="1:31" x14ac:dyDescent="0.25">
      <c r="A36" s="3" t="s">
        <v>228</v>
      </c>
      <c r="B36" s="9">
        <v>3961</v>
      </c>
      <c r="C36" s="9">
        <v>3694</v>
      </c>
      <c r="D36" s="9">
        <v>3716</v>
      </c>
      <c r="E36" s="9">
        <v>5632</v>
      </c>
      <c r="F36" s="9">
        <v>17003</v>
      </c>
      <c r="G36" s="9">
        <v>4276</v>
      </c>
      <c r="H36" s="9">
        <v>3808</v>
      </c>
      <c r="I36" s="9">
        <v>3876.26</v>
      </c>
      <c r="J36" s="9">
        <v>5688.61</v>
      </c>
      <c r="K36" s="9">
        <v>17603.400000000001</v>
      </c>
      <c r="L36" s="9">
        <v>4348.8100000000004</v>
      </c>
      <c r="M36" s="9">
        <v>3894.67</v>
      </c>
      <c r="N36" s="9">
        <v>3976.51</v>
      </c>
      <c r="O36" s="9">
        <v>5860.9</v>
      </c>
      <c r="P36" s="9">
        <v>18056.2</v>
      </c>
      <c r="Q36" s="9">
        <v>4528.74</v>
      </c>
      <c r="R36" s="9">
        <v>4015.69</v>
      </c>
      <c r="S36" s="9">
        <v>4107.84</v>
      </c>
      <c r="T36" s="9">
        <v>6059.82</v>
      </c>
      <c r="U36" s="9">
        <v>18513.310000000001</v>
      </c>
      <c r="V36" s="9">
        <v>4572.8599999999997</v>
      </c>
      <c r="W36" s="9">
        <v>4037.87</v>
      </c>
      <c r="X36" s="9">
        <v>4118.58</v>
      </c>
      <c r="Y36" s="9">
        <v>6133.79</v>
      </c>
      <c r="Z36" s="9">
        <v>18841.560000000001</v>
      </c>
      <c r="AA36" s="9">
        <v>4644.55</v>
      </c>
      <c r="AB36" s="9">
        <v>4086.99</v>
      </c>
      <c r="AC36" s="9">
        <v>4179.75</v>
      </c>
      <c r="AD36" s="9">
        <v>6222.41</v>
      </c>
      <c r="AE36" s="9">
        <v>19201.93</v>
      </c>
    </row>
    <row r="37" spans="1:31" x14ac:dyDescent="0.25">
      <c r="A37" s="4" t="s">
        <v>227</v>
      </c>
      <c r="B37" s="9">
        <v>20886</v>
      </c>
      <c r="C37" s="9">
        <v>21132</v>
      </c>
      <c r="D37" s="9">
        <v>21957</v>
      </c>
      <c r="E37" s="9">
        <v>24334</v>
      </c>
      <c r="F37" s="9">
        <v>88309</v>
      </c>
      <c r="G37" s="9">
        <v>23107</v>
      </c>
      <c r="H37" s="9">
        <v>22791</v>
      </c>
      <c r="I37" s="9">
        <v>23188.25</v>
      </c>
      <c r="J37" s="9">
        <v>25353.67</v>
      </c>
      <c r="K37" s="9">
        <v>94378.13</v>
      </c>
      <c r="L37" s="9">
        <v>24125.87</v>
      </c>
      <c r="M37" s="9">
        <v>23845.32</v>
      </c>
      <c r="N37" s="9">
        <v>24252.48</v>
      </c>
      <c r="O37" s="9">
        <v>26435.68</v>
      </c>
      <c r="P37" s="9">
        <v>98670.3</v>
      </c>
      <c r="Q37" s="9">
        <v>25372.17</v>
      </c>
      <c r="R37" s="9">
        <v>24839.22</v>
      </c>
      <c r="S37" s="9">
        <v>25279.279999999999</v>
      </c>
      <c r="T37" s="9">
        <v>27501.15</v>
      </c>
      <c r="U37" s="9">
        <v>102936.28</v>
      </c>
      <c r="V37" s="9">
        <v>26354.6</v>
      </c>
      <c r="W37" s="9">
        <v>25751.82</v>
      </c>
      <c r="X37" s="9">
        <v>26183.37</v>
      </c>
      <c r="Y37" s="9">
        <v>28388.02</v>
      </c>
      <c r="Z37" s="9">
        <v>106949.89</v>
      </c>
      <c r="AA37" s="9">
        <v>27186.61</v>
      </c>
      <c r="AB37" s="9">
        <v>26524.18</v>
      </c>
      <c r="AC37" s="9">
        <v>26982.17</v>
      </c>
      <c r="AD37" s="9">
        <v>29183.09</v>
      </c>
      <c r="AE37" s="9">
        <v>110713.85</v>
      </c>
    </row>
    <row r="38" spans="1:31" x14ac:dyDescent="0.25">
      <c r="A38" s="4" t="s">
        <v>194</v>
      </c>
      <c r="B38" s="9">
        <v>20886</v>
      </c>
      <c r="C38" s="9">
        <v>21132</v>
      </c>
      <c r="D38" s="9">
        <v>21957</v>
      </c>
      <c r="E38" s="9">
        <v>24334</v>
      </c>
      <c r="F38" s="9">
        <v>88309</v>
      </c>
      <c r="G38" s="9">
        <v>23107</v>
      </c>
      <c r="H38" s="9">
        <v>22791</v>
      </c>
      <c r="I38" s="9">
        <v>23184.12</v>
      </c>
      <c r="J38" s="9">
        <v>25344.2</v>
      </c>
      <c r="K38" s="9">
        <v>94367.96</v>
      </c>
      <c r="L38" s="9">
        <v>24125.87</v>
      </c>
      <c r="M38" s="9">
        <v>23845.32</v>
      </c>
      <c r="N38" s="9">
        <v>24252.48</v>
      </c>
      <c r="O38" s="9">
        <v>26435.68</v>
      </c>
      <c r="P38" s="9">
        <v>98611.83</v>
      </c>
      <c r="Q38" s="9">
        <v>25372.17</v>
      </c>
      <c r="R38" s="9">
        <v>24839.22</v>
      </c>
      <c r="S38" s="9">
        <v>25279.279999999999</v>
      </c>
      <c r="T38" s="9">
        <v>27501.15</v>
      </c>
      <c r="U38" s="9">
        <v>102811.96</v>
      </c>
      <c r="V38" s="9">
        <v>26354.6</v>
      </c>
      <c r="W38" s="9">
        <v>25751.82</v>
      </c>
      <c r="X38" s="9">
        <v>26183.37</v>
      </c>
      <c r="Y38" s="9">
        <v>28388.02</v>
      </c>
      <c r="Z38" s="9">
        <v>106733.85</v>
      </c>
      <c r="AA38" s="9">
        <v>27186.61</v>
      </c>
      <c r="AB38" s="9">
        <v>26524.18</v>
      </c>
      <c r="AC38" s="9">
        <v>26982.17</v>
      </c>
      <c r="AD38" s="9">
        <v>29183.09</v>
      </c>
      <c r="AE38" s="9">
        <v>110416.98</v>
      </c>
    </row>
    <row r="39" spans="1:31" x14ac:dyDescent="0.25">
      <c r="A39" s="4" t="s">
        <v>65</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25">
      <c r="A40" s="4" t="s">
        <v>226</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25">
      <c r="A41" s="3" t="s">
        <v>225</v>
      </c>
      <c r="B41" s="9">
        <v>13594</v>
      </c>
      <c r="C41" s="9">
        <v>14078</v>
      </c>
      <c r="D41" s="9">
        <v>14882</v>
      </c>
      <c r="E41" s="9">
        <v>15378</v>
      </c>
      <c r="F41" s="9">
        <v>57932</v>
      </c>
      <c r="G41" s="9">
        <v>15629</v>
      </c>
      <c r="H41" s="9">
        <v>15853</v>
      </c>
      <c r="I41" s="9">
        <v>16096.01</v>
      </c>
      <c r="J41" s="9">
        <v>16403.48</v>
      </c>
      <c r="K41" s="9">
        <v>63930.52</v>
      </c>
      <c r="L41" s="9">
        <v>16596.919999999998</v>
      </c>
      <c r="M41" s="9">
        <v>16812.97</v>
      </c>
      <c r="N41" s="9">
        <v>17069.830000000002</v>
      </c>
      <c r="O41" s="9">
        <v>17340.86</v>
      </c>
      <c r="P41" s="9">
        <v>67767.899999999994</v>
      </c>
      <c r="Q41" s="9">
        <v>17487.63</v>
      </c>
      <c r="R41" s="9">
        <v>17658.59</v>
      </c>
      <c r="S41" s="9">
        <v>17930.419999999998</v>
      </c>
      <c r="T41" s="9">
        <v>18169.87</v>
      </c>
      <c r="U41" s="9">
        <v>71428.58</v>
      </c>
      <c r="V41" s="9">
        <v>18418.68</v>
      </c>
      <c r="W41" s="9">
        <v>18566.419999999998</v>
      </c>
      <c r="X41" s="9">
        <v>18859.259999999998</v>
      </c>
      <c r="Y41" s="9">
        <v>19051.47</v>
      </c>
      <c r="Z41" s="9">
        <v>75190.17</v>
      </c>
      <c r="AA41" s="9">
        <v>19160.79</v>
      </c>
      <c r="AB41" s="9">
        <v>19282.62</v>
      </c>
      <c r="AC41" s="9">
        <v>19600.88</v>
      </c>
      <c r="AD41" s="9">
        <v>19757.8</v>
      </c>
      <c r="AE41" s="9">
        <v>78549.240000000005</v>
      </c>
    </row>
    <row r="42" spans="1:31" x14ac:dyDescent="0.25">
      <c r="A42" s="3" t="s">
        <v>224</v>
      </c>
      <c r="B42" s="9">
        <v>3551</v>
      </c>
      <c r="C42" s="9">
        <v>3553</v>
      </c>
      <c r="D42" s="9">
        <v>3766</v>
      </c>
      <c r="E42" s="9">
        <v>4066</v>
      </c>
      <c r="F42" s="9">
        <v>14936</v>
      </c>
      <c r="G42" s="9">
        <v>4167</v>
      </c>
      <c r="H42" s="9">
        <v>4132</v>
      </c>
      <c r="I42" s="9">
        <v>4179.08</v>
      </c>
      <c r="J42" s="9">
        <v>4214.71</v>
      </c>
      <c r="K42" s="9">
        <v>16789.62</v>
      </c>
      <c r="L42" s="9">
        <v>4461.6499999999996</v>
      </c>
      <c r="M42" s="9">
        <v>4611.17</v>
      </c>
      <c r="N42" s="9">
        <v>4765.71</v>
      </c>
      <c r="O42" s="9">
        <v>4925.42</v>
      </c>
      <c r="P42" s="9">
        <v>18116.77</v>
      </c>
      <c r="Q42" s="8" t="s">
        <v>54</v>
      </c>
      <c r="R42" s="8" t="s">
        <v>54</v>
      </c>
      <c r="S42" s="8" t="s">
        <v>54</v>
      </c>
      <c r="T42" s="8" t="s">
        <v>54</v>
      </c>
      <c r="U42" s="9">
        <v>19460.43</v>
      </c>
      <c r="V42" s="8" t="s">
        <v>54</v>
      </c>
      <c r="W42" s="8" t="s">
        <v>54</v>
      </c>
      <c r="X42" s="8" t="s">
        <v>54</v>
      </c>
      <c r="Y42" s="8" t="s">
        <v>54</v>
      </c>
      <c r="Z42" s="9">
        <v>20940.759999999998</v>
      </c>
      <c r="AA42" s="8" t="s">
        <v>54</v>
      </c>
      <c r="AB42" s="8" t="s">
        <v>54</v>
      </c>
      <c r="AC42" s="8" t="s">
        <v>54</v>
      </c>
      <c r="AD42" s="8" t="s">
        <v>54</v>
      </c>
      <c r="AE42" s="9">
        <v>22526.98</v>
      </c>
    </row>
    <row r="43" spans="1:31" x14ac:dyDescent="0.25">
      <c r="A43" s="3" t="s">
        <v>223</v>
      </c>
      <c r="B43" s="9">
        <v>1</v>
      </c>
      <c r="C43" s="9">
        <v>6</v>
      </c>
      <c r="D43" s="9">
        <v>4</v>
      </c>
      <c r="E43" s="9">
        <v>2</v>
      </c>
      <c r="F43" s="9">
        <v>13</v>
      </c>
      <c r="G43" s="9">
        <v>1</v>
      </c>
      <c r="H43" s="9">
        <v>11</v>
      </c>
      <c r="I43" s="9">
        <v>5.58</v>
      </c>
      <c r="J43" s="9">
        <v>4.9400000000000004</v>
      </c>
      <c r="K43" s="9">
        <v>2.2999999999999998</v>
      </c>
      <c r="L43" s="9">
        <v>1.9</v>
      </c>
      <c r="M43" s="9">
        <v>1.88</v>
      </c>
      <c r="N43" s="9">
        <v>1.86</v>
      </c>
      <c r="O43" s="9">
        <v>1.85</v>
      </c>
      <c r="P43" s="9">
        <v>7.52</v>
      </c>
      <c r="Q43" s="8" t="s">
        <v>54</v>
      </c>
      <c r="R43" s="8" t="s">
        <v>54</v>
      </c>
      <c r="S43" s="8" t="s">
        <v>54</v>
      </c>
      <c r="T43" s="8" t="s">
        <v>54</v>
      </c>
      <c r="U43" s="9">
        <v>6.73</v>
      </c>
      <c r="V43" s="8" t="s">
        <v>54</v>
      </c>
      <c r="W43" s="8" t="s">
        <v>54</v>
      </c>
      <c r="X43" s="8" t="s">
        <v>54</v>
      </c>
      <c r="Y43" s="8" t="s">
        <v>54</v>
      </c>
      <c r="Z43" s="9">
        <v>6.25</v>
      </c>
      <c r="AA43" s="8" t="s">
        <v>54</v>
      </c>
      <c r="AB43" s="8" t="s">
        <v>54</v>
      </c>
      <c r="AC43" s="8" t="s">
        <v>54</v>
      </c>
      <c r="AD43" s="8" t="s">
        <v>54</v>
      </c>
      <c r="AE43" s="9">
        <v>5.56</v>
      </c>
    </row>
    <row r="44" spans="1:31" x14ac:dyDescent="0.25">
      <c r="A44" s="4" t="s">
        <v>222</v>
      </c>
      <c r="B44" s="9">
        <v>3552</v>
      </c>
      <c r="C44" s="9">
        <v>3559</v>
      </c>
      <c r="D44" s="9">
        <v>3770</v>
      </c>
      <c r="E44" s="9">
        <v>4068</v>
      </c>
      <c r="F44" s="9">
        <v>14949</v>
      </c>
      <c r="G44" s="9">
        <v>4168</v>
      </c>
      <c r="H44" s="9">
        <v>4132</v>
      </c>
      <c r="I44" s="9">
        <v>4180.05</v>
      </c>
      <c r="J44" s="9">
        <v>4215.67</v>
      </c>
      <c r="K44" s="9">
        <v>16791.240000000002</v>
      </c>
      <c r="L44" s="9">
        <v>4463.55</v>
      </c>
      <c r="M44" s="9">
        <v>4613.0600000000004</v>
      </c>
      <c r="N44" s="9">
        <v>4767.57</v>
      </c>
      <c r="O44" s="9">
        <v>4927.2700000000004</v>
      </c>
      <c r="P44" s="9">
        <v>13589.45</v>
      </c>
      <c r="Q44" s="8" t="s">
        <v>54</v>
      </c>
      <c r="R44" s="8" t="s">
        <v>54</v>
      </c>
      <c r="S44" s="8" t="s">
        <v>54</v>
      </c>
      <c r="T44" s="8" t="s">
        <v>54</v>
      </c>
      <c r="U44" s="9">
        <v>14597.12</v>
      </c>
      <c r="V44" s="8" t="s">
        <v>54</v>
      </c>
      <c r="W44" s="8" t="s">
        <v>54</v>
      </c>
      <c r="X44" s="8" t="s">
        <v>54</v>
      </c>
      <c r="Y44" s="8" t="s">
        <v>54</v>
      </c>
      <c r="Z44" s="9">
        <v>20944.22</v>
      </c>
      <c r="AA44" s="8" t="s">
        <v>54</v>
      </c>
      <c r="AB44" s="8" t="s">
        <v>54</v>
      </c>
      <c r="AC44" s="8" t="s">
        <v>54</v>
      </c>
      <c r="AD44" s="8" t="s">
        <v>54</v>
      </c>
      <c r="AE44" s="9">
        <v>22530.3</v>
      </c>
    </row>
    <row r="45" spans="1:31" x14ac:dyDescent="0.25">
      <c r="A45" s="4" t="s">
        <v>221</v>
      </c>
      <c r="B45" s="9">
        <v>17146</v>
      </c>
      <c r="C45" s="9">
        <v>17637</v>
      </c>
      <c r="D45" s="9">
        <v>18652</v>
      </c>
      <c r="E45" s="9">
        <v>19446</v>
      </c>
      <c r="F45" s="9">
        <v>72881</v>
      </c>
      <c r="G45" s="9">
        <v>19797</v>
      </c>
      <c r="H45" s="9">
        <v>19985</v>
      </c>
      <c r="I45" s="9">
        <v>18936.05</v>
      </c>
      <c r="J45" s="9">
        <v>19291.84</v>
      </c>
      <c r="K45" s="9">
        <v>76703.5</v>
      </c>
      <c r="L45" s="9">
        <v>18839.02</v>
      </c>
      <c r="M45" s="9">
        <v>19184.66</v>
      </c>
      <c r="N45" s="9">
        <v>19553.52</v>
      </c>
      <c r="O45" s="9">
        <v>19989.32</v>
      </c>
      <c r="P45" s="9">
        <v>78912.89</v>
      </c>
      <c r="Q45" s="8" t="s">
        <v>54</v>
      </c>
      <c r="R45" s="8" t="s">
        <v>54</v>
      </c>
      <c r="S45" s="8" t="s">
        <v>54</v>
      </c>
      <c r="T45" s="8" t="s">
        <v>54</v>
      </c>
      <c r="U45" s="9">
        <v>83420.800000000003</v>
      </c>
      <c r="V45" s="8" t="s">
        <v>54</v>
      </c>
      <c r="W45" s="8" t="s">
        <v>54</v>
      </c>
      <c r="X45" s="8" t="s">
        <v>54</v>
      </c>
      <c r="Y45" s="8" t="s">
        <v>54</v>
      </c>
      <c r="Z45" s="9">
        <v>89612.91</v>
      </c>
      <c r="AA45" s="8" t="s">
        <v>54</v>
      </c>
      <c r="AB45" s="8" t="s">
        <v>54</v>
      </c>
      <c r="AC45" s="8" t="s">
        <v>54</v>
      </c>
      <c r="AD45" s="8" t="s">
        <v>54</v>
      </c>
      <c r="AE45" s="9">
        <v>94128.97</v>
      </c>
    </row>
    <row r="46" spans="1:31" x14ac:dyDescent="0.25">
      <c r="A46" s="4" t="s">
        <v>65</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25">
      <c r="A47" s="3" t="s">
        <v>220</v>
      </c>
      <c r="B47" s="9">
        <v>7655.5</v>
      </c>
      <c r="C47" s="9">
        <v>7778.03</v>
      </c>
      <c r="D47" s="9">
        <v>8219.11</v>
      </c>
      <c r="E47" s="9">
        <v>9324.99</v>
      </c>
      <c r="F47" s="9">
        <v>32488.6</v>
      </c>
      <c r="G47" s="9">
        <v>8013.58</v>
      </c>
      <c r="H47" s="9">
        <v>7886.87</v>
      </c>
      <c r="I47" s="9">
        <v>8153.34</v>
      </c>
      <c r="J47" s="9">
        <v>9463.91</v>
      </c>
      <c r="K47" s="9">
        <v>34222.46</v>
      </c>
      <c r="L47" s="9">
        <v>8083.07</v>
      </c>
      <c r="M47" s="9">
        <v>7924.21</v>
      </c>
      <c r="N47" s="9">
        <v>8168.26</v>
      </c>
      <c r="O47" s="9">
        <v>9307.27</v>
      </c>
      <c r="P47" s="9">
        <v>34704.730000000003</v>
      </c>
      <c r="Q47" s="9">
        <v>8215.34</v>
      </c>
      <c r="R47" s="9">
        <v>8052.95</v>
      </c>
      <c r="S47" s="9">
        <v>8291.39</v>
      </c>
      <c r="T47" s="9">
        <v>9458.19</v>
      </c>
      <c r="U47" s="9">
        <v>35631.21</v>
      </c>
      <c r="V47" s="9">
        <v>8304.34</v>
      </c>
      <c r="W47" s="9">
        <v>8121.65</v>
      </c>
      <c r="X47" s="9">
        <v>8362.51</v>
      </c>
      <c r="Y47" s="9">
        <v>9551.08</v>
      </c>
      <c r="Z47" s="9">
        <v>35993.39</v>
      </c>
      <c r="AA47" s="9">
        <v>8388.0499999999993</v>
      </c>
      <c r="AB47" s="9">
        <v>8194.0400000000009</v>
      </c>
      <c r="AC47" s="9">
        <v>8434.18</v>
      </c>
      <c r="AD47" s="9">
        <v>9645.7999999999993</v>
      </c>
      <c r="AE47" s="9">
        <v>36719.15</v>
      </c>
    </row>
    <row r="48" spans="1:31" x14ac:dyDescent="0.25">
      <c r="A48" s="3" t="s">
        <v>219</v>
      </c>
      <c r="B48" s="9">
        <v>2113.21</v>
      </c>
      <c r="C48" s="9">
        <v>2157.9499999999998</v>
      </c>
      <c r="D48" s="9">
        <v>2491.96</v>
      </c>
      <c r="E48" s="9">
        <v>2715.82</v>
      </c>
      <c r="F48" s="9">
        <v>9478.94</v>
      </c>
      <c r="G48" s="9">
        <v>2145.0700000000002</v>
      </c>
      <c r="H48" s="9">
        <v>2154.77</v>
      </c>
      <c r="I48" s="9">
        <v>2278.2199999999998</v>
      </c>
      <c r="J48" s="9">
        <v>2245.5</v>
      </c>
      <c r="K48" s="9">
        <v>9042.9</v>
      </c>
      <c r="L48" s="9">
        <v>2000</v>
      </c>
      <c r="M48" s="9">
        <v>2000</v>
      </c>
      <c r="N48" s="9">
        <v>2000</v>
      </c>
      <c r="O48" s="9">
        <v>2000</v>
      </c>
      <c r="P48" s="9">
        <v>9299</v>
      </c>
      <c r="Q48" s="9">
        <v>2000</v>
      </c>
      <c r="R48" s="9">
        <v>2000</v>
      </c>
      <c r="S48" s="9">
        <v>2000</v>
      </c>
      <c r="T48" s="9">
        <v>2000</v>
      </c>
      <c r="U48" s="9">
        <v>8933.7199999999993</v>
      </c>
      <c r="V48" s="9">
        <v>2000</v>
      </c>
      <c r="W48" s="9">
        <v>2000</v>
      </c>
      <c r="X48" s="9">
        <v>2000</v>
      </c>
      <c r="Y48" s="9">
        <v>2000</v>
      </c>
      <c r="Z48" s="9">
        <v>8149.31</v>
      </c>
      <c r="AA48" s="9">
        <v>2000</v>
      </c>
      <c r="AB48" s="9">
        <v>2000</v>
      </c>
      <c r="AC48" s="9">
        <v>2000</v>
      </c>
      <c r="AD48" s="9">
        <v>2000</v>
      </c>
      <c r="AE48" s="9">
        <v>7865.56</v>
      </c>
    </row>
    <row r="49" spans="1:31" x14ac:dyDescent="0.25">
      <c r="A49" s="4" t="s">
        <v>218</v>
      </c>
      <c r="B49" s="9">
        <v>10057.48</v>
      </c>
      <c r="C49" s="9">
        <v>10254.25</v>
      </c>
      <c r="D49" s="9">
        <v>11075.81</v>
      </c>
      <c r="E49" s="9">
        <v>12729.26</v>
      </c>
      <c r="F49" s="9">
        <v>44116.79</v>
      </c>
      <c r="G49" s="9">
        <v>10799.44</v>
      </c>
      <c r="H49" s="9">
        <v>10532.13</v>
      </c>
      <c r="I49" s="9">
        <v>11058.45</v>
      </c>
      <c r="J49" s="9">
        <v>12666.94</v>
      </c>
      <c r="K49" s="9">
        <v>45209.23</v>
      </c>
      <c r="L49" s="9">
        <v>10313.36</v>
      </c>
      <c r="M49" s="9">
        <v>10097.24</v>
      </c>
      <c r="N49" s="9">
        <v>10717.85</v>
      </c>
      <c r="O49" s="9">
        <v>12018.68</v>
      </c>
      <c r="P49" s="9">
        <v>46265.84</v>
      </c>
      <c r="Q49" s="9">
        <v>10487.44</v>
      </c>
      <c r="R49" s="9">
        <v>10211.11</v>
      </c>
      <c r="S49" s="9">
        <v>10839</v>
      </c>
      <c r="T49" s="9">
        <v>12210.99</v>
      </c>
      <c r="U49" s="9">
        <v>47123.16</v>
      </c>
      <c r="V49" s="9">
        <v>10323.73</v>
      </c>
      <c r="W49" s="9">
        <v>10137.709999999999</v>
      </c>
      <c r="X49" s="9">
        <v>10554.97</v>
      </c>
      <c r="Y49" s="9">
        <v>11956.85</v>
      </c>
      <c r="Z49" s="9">
        <v>48895.74</v>
      </c>
      <c r="AA49" s="9">
        <v>10385.700000000001</v>
      </c>
      <c r="AB49" s="9">
        <v>10192.66</v>
      </c>
      <c r="AC49" s="9">
        <v>10614.44</v>
      </c>
      <c r="AD49" s="9">
        <v>12033.61</v>
      </c>
      <c r="AE49" s="9">
        <v>49846.36</v>
      </c>
    </row>
    <row r="50" spans="1:31" x14ac:dyDescent="0.25">
      <c r="A50" s="3" t="s">
        <v>217</v>
      </c>
      <c r="B50" s="9">
        <v>362.11</v>
      </c>
      <c r="C50" s="9">
        <v>336.85</v>
      </c>
      <c r="D50" s="9">
        <v>312.93</v>
      </c>
      <c r="E50" s="9">
        <v>402.92</v>
      </c>
      <c r="F50" s="9">
        <v>355.66</v>
      </c>
      <c r="G50" s="9">
        <v>371.97</v>
      </c>
      <c r="H50" s="9">
        <v>336.11</v>
      </c>
      <c r="I50" s="9">
        <v>325.29000000000002</v>
      </c>
      <c r="J50" s="9">
        <v>439.97</v>
      </c>
      <c r="K50" s="9">
        <v>364.23</v>
      </c>
      <c r="L50" s="9">
        <v>413.41</v>
      </c>
      <c r="M50" s="9">
        <v>373.36</v>
      </c>
      <c r="N50" s="9">
        <v>361.87</v>
      </c>
      <c r="O50" s="9">
        <v>497.32</v>
      </c>
      <c r="P50" s="9">
        <v>373.49</v>
      </c>
      <c r="Q50" s="9">
        <v>413.41</v>
      </c>
      <c r="R50" s="9">
        <v>373.36</v>
      </c>
      <c r="S50" s="9">
        <v>361.87</v>
      </c>
      <c r="T50" s="9">
        <v>497.32</v>
      </c>
      <c r="U50" s="9">
        <v>374.2</v>
      </c>
      <c r="V50" s="9">
        <v>442.98</v>
      </c>
      <c r="W50" s="9">
        <v>396.13</v>
      </c>
      <c r="X50" s="9">
        <v>385</v>
      </c>
      <c r="Y50" s="9">
        <v>550</v>
      </c>
      <c r="Z50" s="9">
        <v>383.59</v>
      </c>
      <c r="AA50" s="9">
        <v>442.98</v>
      </c>
      <c r="AB50" s="9">
        <v>396.13</v>
      </c>
      <c r="AC50" s="9">
        <v>385</v>
      </c>
      <c r="AD50" s="9">
        <v>550</v>
      </c>
      <c r="AE50" s="9">
        <v>384.21</v>
      </c>
    </row>
    <row r="51" spans="1:31" x14ac:dyDescent="0.25">
      <c r="A51" s="4" t="s">
        <v>216</v>
      </c>
      <c r="B51" s="9">
        <v>3703</v>
      </c>
      <c r="C51" s="9">
        <v>3433</v>
      </c>
      <c r="D51" s="9">
        <v>3461</v>
      </c>
      <c r="E51" s="9">
        <v>5362</v>
      </c>
      <c r="F51" s="9">
        <v>15959</v>
      </c>
      <c r="G51" s="9">
        <v>3995</v>
      </c>
      <c r="H51" s="9">
        <v>3524</v>
      </c>
      <c r="I51" s="9">
        <v>3613.03</v>
      </c>
      <c r="J51" s="9">
        <v>5415.77</v>
      </c>
      <c r="K51" s="9">
        <v>16448.98</v>
      </c>
      <c r="L51" s="9">
        <v>4041</v>
      </c>
      <c r="M51" s="9">
        <v>3588.16</v>
      </c>
      <c r="N51" s="9">
        <v>3690.74</v>
      </c>
      <c r="O51" s="9">
        <v>5569.75</v>
      </c>
      <c r="P51" s="9">
        <v>16841.98</v>
      </c>
      <c r="Q51" s="9">
        <v>4227.7700000000004</v>
      </c>
      <c r="R51" s="9">
        <v>3712.17</v>
      </c>
      <c r="S51" s="9">
        <v>3821.18</v>
      </c>
      <c r="T51" s="9">
        <v>5757.47</v>
      </c>
      <c r="U51" s="9">
        <v>17202.099999999999</v>
      </c>
      <c r="V51" s="9">
        <v>4328.04</v>
      </c>
      <c r="W51" s="9">
        <v>3789.86</v>
      </c>
      <c r="X51" s="9">
        <v>3888.98</v>
      </c>
      <c r="Y51" s="9">
        <v>5891.73</v>
      </c>
      <c r="Z51" s="9">
        <v>17731.849999999999</v>
      </c>
      <c r="AA51" s="9">
        <v>4423.45</v>
      </c>
      <c r="AB51" s="9">
        <v>3862.73</v>
      </c>
      <c r="AC51" s="9">
        <v>3974.78</v>
      </c>
      <c r="AD51" s="9">
        <v>6006.9</v>
      </c>
      <c r="AE51" s="9">
        <v>18094.43</v>
      </c>
    </row>
    <row r="52" spans="1:31" x14ac:dyDescent="0.25">
      <c r="A52" s="4" t="s">
        <v>65</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spans="1:31" x14ac:dyDescent="0.25">
      <c r="A53" s="4" t="s">
        <v>215</v>
      </c>
      <c r="B53" s="9">
        <v>3565</v>
      </c>
      <c r="C53" s="9">
        <v>3503</v>
      </c>
      <c r="D53" s="9">
        <v>3871</v>
      </c>
      <c r="E53" s="9">
        <v>5774</v>
      </c>
      <c r="F53" s="9">
        <v>16713</v>
      </c>
      <c r="G53" s="9">
        <v>4322</v>
      </c>
      <c r="H53" s="9">
        <v>3958</v>
      </c>
      <c r="I53" s="9">
        <v>4298.6400000000003</v>
      </c>
      <c r="J53" s="9">
        <v>5783.4</v>
      </c>
      <c r="K53" s="9">
        <v>18335.71</v>
      </c>
      <c r="L53" s="9">
        <v>4057.37</v>
      </c>
      <c r="M53" s="9">
        <v>3568.88</v>
      </c>
      <c r="N53" s="9">
        <v>3574.28</v>
      </c>
      <c r="O53" s="9">
        <v>5669.22</v>
      </c>
      <c r="P53" s="9">
        <v>15207.43</v>
      </c>
      <c r="Q53" s="8" t="s">
        <v>54</v>
      </c>
      <c r="R53" s="8" t="s">
        <v>54</v>
      </c>
      <c r="S53" s="8" t="s">
        <v>54</v>
      </c>
      <c r="T53" s="8" t="s">
        <v>54</v>
      </c>
      <c r="U53" s="9">
        <v>16231.69</v>
      </c>
      <c r="V53" s="8" t="s">
        <v>54</v>
      </c>
      <c r="W53" s="8" t="s">
        <v>54</v>
      </c>
      <c r="X53" s="8" t="s">
        <v>54</v>
      </c>
      <c r="Y53" s="8" t="s">
        <v>54</v>
      </c>
      <c r="Z53" s="9">
        <v>21768.67</v>
      </c>
      <c r="AA53" s="8" t="s">
        <v>54</v>
      </c>
      <c r="AB53" s="8" t="s">
        <v>54</v>
      </c>
      <c r="AC53" s="8" t="s">
        <v>54</v>
      </c>
      <c r="AD53" s="8" t="s">
        <v>54</v>
      </c>
      <c r="AE53" s="9">
        <v>23021.64</v>
      </c>
    </row>
    <row r="54" spans="1:31" x14ac:dyDescent="0.25">
      <c r="A54" s="4" t="s">
        <v>65</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spans="1:31" x14ac:dyDescent="0.25">
      <c r="A55" s="3" t="s">
        <v>214</v>
      </c>
      <c r="B55" s="9">
        <v>3704</v>
      </c>
      <c r="C55" s="9">
        <v>3439</v>
      </c>
      <c r="D55" s="9">
        <v>3465</v>
      </c>
      <c r="E55" s="9">
        <v>5364</v>
      </c>
      <c r="F55" s="9">
        <v>15972</v>
      </c>
      <c r="G55" s="9">
        <v>3996</v>
      </c>
      <c r="H55" s="9">
        <v>3524</v>
      </c>
      <c r="I55" s="9">
        <v>3607.84</v>
      </c>
      <c r="J55" s="9">
        <v>5412.2</v>
      </c>
      <c r="K55" s="9">
        <v>16497.78</v>
      </c>
      <c r="L55" s="9">
        <v>4059.07</v>
      </c>
      <c r="M55" s="9">
        <v>3600.41</v>
      </c>
      <c r="N55" s="9">
        <v>3699.42</v>
      </c>
      <c r="O55" s="9">
        <v>5570.28</v>
      </c>
      <c r="P55" s="9">
        <v>16923.599999999999</v>
      </c>
      <c r="Q55" s="9">
        <v>4227.7700000000004</v>
      </c>
      <c r="R55" s="9">
        <v>3712.17</v>
      </c>
      <c r="S55" s="9">
        <v>3821.18</v>
      </c>
      <c r="T55" s="9">
        <v>5757.47</v>
      </c>
      <c r="U55" s="9">
        <v>17346.38</v>
      </c>
      <c r="V55" s="9">
        <v>4328.04</v>
      </c>
      <c r="W55" s="9">
        <v>3789.86</v>
      </c>
      <c r="X55" s="9">
        <v>3888.98</v>
      </c>
      <c r="Y55" s="9">
        <v>5891.73</v>
      </c>
      <c r="Z55" s="9">
        <v>17732.740000000002</v>
      </c>
      <c r="AA55" s="9">
        <v>4423.45</v>
      </c>
      <c r="AB55" s="9">
        <v>3862.73</v>
      </c>
      <c r="AC55" s="9">
        <v>3974.78</v>
      </c>
      <c r="AD55" s="9">
        <v>6006.9</v>
      </c>
      <c r="AE55" s="9">
        <v>18095.29</v>
      </c>
    </row>
    <row r="56" spans="1:31" x14ac:dyDescent="0.25">
      <c r="A56" s="3" t="s">
        <v>213</v>
      </c>
      <c r="B56" s="9">
        <v>4798</v>
      </c>
      <c r="C56" s="9">
        <v>4659</v>
      </c>
      <c r="D56" s="9">
        <v>4853</v>
      </c>
      <c r="E56" s="9">
        <v>6967</v>
      </c>
      <c r="F56" s="9">
        <v>21277</v>
      </c>
      <c r="G56" s="9">
        <v>5488</v>
      </c>
      <c r="H56" s="9">
        <v>5055</v>
      </c>
      <c r="I56" s="9">
        <v>5045.7</v>
      </c>
      <c r="J56" s="9">
        <v>7070.42</v>
      </c>
      <c r="K56" s="9">
        <v>22601.78</v>
      </c>
      <c r="L56" s="9">
        <v>5501.48</v>
      </c>
      <c r="M56" s="9">
        <v>5041.32</v>
      </c>
      <c r="N56" s="9">
        <v>5156.51</v>
      </c>
      <c r="O56" s="9">
        <v>7233.86</v>
      </c>
      <c r="P56" s="9">
        <v>22987.02</v>
      </c>
      <c r="Q56" s="9">
        <v>5707.99</v>
      </c>
      <c r="R56" s="9">
        <v>5157.68</v>
      </c>
      <c r="S56" s="9">
        <v>5312.18</v>
      </c>
      <c r="T56" s="9">
        <v>7407.3</v>
      </c>
      <c r="U56" s="9">
        <v>23536.37</v>
      </c>
      <c r="V56" s="9">
        <v>5860.55</v>
      </c>
      <c r="W56" s="9">
        <v>5280.35</v>
      </c>
      <c r="X56" s="9">
        <v>5391.7</v>
      </c>
      <c r="Y56" s="9">
        <v>7553.87</v>
      </c>
      <c r="Z56" s="9">
        <v>23849.09</v>
      </c>
      <c r="AA56" s="9">
        <v>5962.29</v>
      </c>
      <c r="AB56" s="9">
        <v>5423.43</v>
      </c>
      <c r="AC56" s="9">
        <v>5497.85</v>
      </c>
      <c r="AD56" s="9">
        <v>7675.6</v>
      </c>
      <c r="AE56" s="9">
        <v>24297.3</v>
      </c>
    </row>
    <row r="57" spans="1:31" x14ac:dyDescent="0.25">
      <c r="A57" s="4" t="s">
        <v>212</v>
      </c>
      <c r="B57" s="10">
        <v>-1094</v>
      </c>
      <c r="C57" s="10">
        <v>-1220</v>
      </c>
      <c r="D57" s="10">
        <v>-1388</v>
      </c>
      <c r="E57" s="10">
        <v>-1603</v>
      </c>
      <c r="F57" s="10">
        <v>-5305</v>
      </c>
      <c r="G57" s="10">
        <v>-1492</v>
      </c>
      <c r="H57" s="10">
        <v>-1531</v>
      </c>
      <c r="I57" s="10">
        <v>-1438.37</v>
      </c>
      <c r="J57" s="10">
        <v>-1649.03</v>
      </c>
      <c r="K57" s="10">
        <v>-6097.86</v>
      </c>
      <c r="L57" s="10">
        <v>-1442.41</v>
      </c>
      <c r="M57" s="10">
        <v>-1440.92</v>
      </c>
      <c r="N57" s="10">
        <v>-1457.09</v>
      </c>
      <c r="O57" s="10">
        <v>-1663.58</v>
      </c>
      <c r="P57" s="10">
        <v>-6058.47</v>
      </c>
      <c r="Q57" s="10">
        <v>-1480.22</v>
      </c>
      <c r="R57" s="10">
        <v>-1445.51</v>
      </c>
      <c r="S57" s="10">
        <v>-1491.01</v>
      </c>
      <c r="T57" s="10">
        <v>-1649.83</v>
      </c>
      <c r="U57" s="10">
        <v>-6189.99</v>
      </c>
      <c r="V57" s="10">
        <v>-1532.51</v>
      </c>
      <c r="W57" s="10">
        <v>-1490.49</v>
      </c>
      <c r="X57" s="10">
        <v>-1502.71</v>
      </c>
      <c r="Y57" s="10">
        <v>-1662.13</v>
      </c>
      <c r="Z57" s="10">
        <v>-6116.34</v>
      </c>
      <c r="AA57" s="10">
        <v>-1538.84</v>
      </c>
      <c r="AB57" s="10">
        <v>-1560.7</v>
      </c>
      <c r="AC57" s="10">
        <v>-1523.07</v>
      </c>
      <c r="AD57" s="10">
        <v>-1668.7</v>
      </c>
      <c r="AE57" s="10">
        <v>-6202.02</v>
      </c>
    </row>
    <row r="58" spans="1:31" x14ac:dyDescent="0.25">
      <c r="A58" s="4" t="s">
        <v>65</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25">
      <c r="A59" s="4" t="s">
        <v>211</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x14ac:dyDescent="0.25">
      <c r="A60" s="4" t="s">
        <v>210</v>
      </c>
      <c r="B60" s="9">
        <v>1</v>
      </c>
      <c r="C60" s="9">
        <v>6</v>
      </c>
      <c r="D60" s="9">
        <v>4</v>
      </c>
      <c r="E60" s="9">
        <v>2</v>
      </c>
      <c r="F60" s="9">
        <v>13</v>
      </c>
      <c r="G60" s="9">
        <v>1</v>
      </c>
      <c r="H60" s="9">
        <v>11</v>
      </c>
      <c r="I60" s="9">
        <v>5.58</v>
      </c>
      <c r="J60" s="9">
        <v>4.9400000000000004</v>
      </c>
      <c r="K60" s="9">
        <v>2.2999999999999998</v>
      </c>
      <c r="L60" s="9">
        <v>1.9</v>
      </c>
      <c r="M60" s="9">
        <v>1.88</v>
      </c>
      <c r="N60" s="9">
        <v>1.86</v>
      </c>
      <c r="O60" s="9">
        <v>1.85</v>
      </c>
      <c r="P60" s="9">
        <v>7.52</v>
      </c>
      <c r="Q60" s="8" t="s">
        <v>54</v>
      </c>
      <c r="R60" s="8" t="s">
        <v>54</v>
      </c>
      <c r="S60" s="8" t="s">
        <v>54</v>
      </c>
      <c r="T60" s="8" t="s">
        <v>54</v>
      </c>
      <c r="U60" s="9">
        <v>6.73</v>
      </c>
      <c r="V60" s="8" t="s">
        <v>54</v>
      </c>
      <c r="W60" s="8" t="s">
        <v>54</v>
      </c>
      <c r="X60" s="8" t="s">
        <v>54</v>
      </c>
      <c r="Y60" s="8" t="s">
        <v>54</v>
      </c>
      <c r="Z60" s="9">
        <v>6.25</v>
      </c>
      <c r="AA60" s="8" t="s">
        <v>54</v>
      </c>
      <c r="AB60" s="8" t="s">
        <v>54</v>
      </c>
      <c r="AC60" s="8" t="s">
        <v>54</v>
      </c>
      <c r="AD60" s="8" t="s">
        <v>54</v>
      </c>
      <c r="AE60" s="9">
        <v>5.56</v>
      </c>
    </row>
    <row r="61" spans="1:31" x14ac:dyDescent="0.25">
      <c r="A61" s="4" t="s">
        <v>209</v>
      </c>
      <c r="B61" s="9">
        <v>4</v>
      </c>
      <c r="C61" s="9">
        <v>1</v>
      </c>
      <c r="D61" s="9">
        <v>0.27</v>
      </c>
      <c r="E61" s="9">
        <v>0.14000000000000001</v>
      </c>
      <c r="F61" s="9">
        <v>5</v>
      </c>
      <c r="G61" s="8" t="s">
        <v>54</v>
      </c>
      <c r="H61" s="8" t="s">
        <v>54</v>
      </c>
      <c r="I61" s="8" t="s">
        <v>54</v>
      </c>
      <c r="J61" s="8" t="s">
        <v>54</v>
      </c>
      <c r="K61" s="9">
        <v>0.44</v>
      </c>
      <c r="L61" s="8" t="s">
        <v>54</v>
      </c>
      <c r="M61" s="8" t="s">
        <v>54</v>
      </c>
      <c r="N61" s="8" t="s">
        <v>54</v>
      </c>
      <c r="O61" s="8" t="s">
        <v>54</v>
      </c>
      <c r="P61" s="9">
        <v>0.44</v>
      </c>
      <c r="Q61" s="8" t="s">
        <v>54</v>
      </c>
      <c r="R61" s="8" t="s">
        <v>54</v>
      </c>
      <c r="S61" s="8" t="s">
        <v>54</v>
      </c>
      <c r="T61" s="8" t="s">
        <v>54</v>
      </c>
      <c r="U61" s="9">
        <v>0.44</v>
      </c>
      <c r="V61" s="8" t="s">
        <v>54</v>
      </c>
      <c r="W61" s="8" t="s">
        <v>54</v>
      </c>
      <c r="X61" s="8" t="s">
        <v>54</v>
      </c>
      <c r="Y61" s="8" t="s">
        <v>54</v>
      </c>
      <c r="Z61" s="8" t="s">
        <v>54</v>
      </c>
      <c r="AA61" s="8" t="s">
        <v>54</v>
      </c>
      <c r="AB61" s="8" t="s">
        <v>54</v>
      </c>
      <c r="AC61" s="8" t="s">
        <v>54</v>
      </c>
      <c r="AD61" s="8" t="s">
        <v>54</v>
      </c>
      <c r="AE61" s="8" t="s">
        <v>54</v>
      </c>
    </row>
    <row r="62" spans="1:31" x14ac:dyDescent="0.25">
      <c r="A62" s="4" t="s">
        <v>208</v>
      </c>
      <c r="B62" s="8" t="s">
        <v>54</v>
      </c>
      <c r="C62" s="8" t="s">
        <v>54</v>
      </c>
      <c r="D62" s="8" t="s">
        <v>54</v>
      </c>
      <c r="E62" s="8" t="s">
        <v>54</v>
      </c>
      <c r="F62" s="8" t="s">
        <v>54</v>
      </c>
      <c r="G62" s="8" t="s">
        <v>54</v>
      </c>
      <c r="H62" s="8" t="s">
        <v>54</v>
      </c>
      <c r="I62" s="8" t="s">
        <v>54</v>
      </c>
      <c r="J62" s="8" t="s">
        <v>54</v>
      </c>
      <c r="K62" s="8" t="s">
        <v>54</v>
      </c>
      <c r="L62" s="8" t="s">
        <v>54</v>
      </c>
      <c r="M62" s="8" t="s">
        <v>54</v>
      </c>
      <c r="N62" s="8" t="s">
        <v>54</v>
      </c>
      <c r="O62" s="8" t="s">
        <v>54</v>
      </c>
      <c r="P62" s="8" t="s">
        <v>54</v>
      </c>
      <c r="Q62" s="8" t="s">
        <v>54</v>
      </c>
      <c r="R62" s="8" t="s">
        <v>54</v>
      </c>
      <c r="S62" s="8" t="s">
        <v>54</v>
      </c>
      <c r="T62" s="8" t="s">
        <v>54</v>
      </c>
      <c r="U62" s="8" t="s">
        <v>54</v>
      </c>
      <c r="V62" s="8" t="s">
        <v>54</v>
      </c>
      <c r="W62" s="8" t="s">
        <v>54</v>
      </c>
      <c r="X62" s="8" t="s">
        <v>54</v>
      </c>
      <c r="Y62" s="8" t="s">
        <v>54</v>
      </c>
      <c r="Z62" s="8" t="s">
        <v>54</v>
      </c>
      <c r="AA62" s="8" t="s">
        <v>54</v>
      </c>
      <c r="AB62" s="8" t="s">
        <v>54</v>
      </c>
      <c r="AC62" s="8" t="s">
        <v>54</v>
      </c>
      <c r="AD62" s="8" t="s">
        <v>54</v>
      </c>
      <c r="AE62" s="8" t="s">
        <v>54</v>
      </c>
    </row>
    <row r="63" spans="1:31" x14ac:dyDescent="0.25">
      <c r="A63" s="4" t="s">
        <v>65</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spans="1:31" x14ac:dyDescent="0.25">
      <c r="A64" s="4" t="s">
        <v>207</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spans="1:31" x14ac:dyDescent="0.25">
      <c r="A65" s="3" t="s">
        <v>206</v>
      </c>
      <c r="B65" s="9">
        <v>130910</v>
      </c>
      <c r="C65" s="9">
        <v>132778</v>
      </c>
      <c r="D65" s="9">
        <v>139949</v>
      </c>
      <c r="E65" s="9">
        <v>142388</v>
      </c>
      <c r="F65" s="9">
        <v>142388</v>
      </c>
      <c r="G65" s="9">
        <v>143578.15</v>
      </c>
      <c r="H65" s="9">
        <v>145081.15</v>
      </c>
      <c r="I65" s="9">
        <v>146584.92000000001</v>
      </c>
      <c r="J65" s="9">
        <v>148510.54</v>
      </c>
      <c r="K65" s="9">
        <v>148486.37</v>
      </c>
      <c r="L65" s="9">
        <v>150268.67000000001</v>
      </c>
      <c r="M65" s="9">
        <v>151772.95000000001</v>
      </c>
      <c r="N65" s="9">
        <v>153074.84</v>
      </c>
      <c r="O65" s="9">
        <v>155022.73000000001</v>
      </c>
      <c r="P65" s="9">
        <v>154263.65</v>
      </c>
      <c r="Q65" s="9">
        <v>156326.44</v>
      </c>
      <c r="R65" s="9">
        <v>157683.73000000001</v>
      </c>
      <c r="S65" s="9">
        <v>158639.87</v>
      </c>
      <c r="T65" s="9">
        <v>160507.64000000001</v>
      </c>
      <c r="U65" s="9">
        <v>159444.93</v>
      </c>
      <c r="V65" s="9">
        <v>161967.65</v>
      </c>
      <c r="W65" s="9">
        <v>163236.35999999999</v>
      </c>
      <c r="X65" s="9">
        <v>163929.99</v>
      </c>
      <c r="Y65" s="9">
        <v>165635.18</v>
      </c>
      <c r="Z65" s="9">
        <v>164433.47</v>
      </c>
      <c r="AA65" s="9">
        <v>166776.13</v>
      </c>
      <c r="AB65" s="9">
        <v>167900.51</v>
      </c>
      <c r="AC65" s="9">
        <v>168439.99</v>
      </c>
      <c r="AD65" s="9">
        <v>170000.85</v>
      </c>
      <c r="AE65" s="9">
        <v>168941.36</v>
      </c>
    </row>
    <row r="66" spans="1:31" x14ac:dyDescent="0.25">
      <c r="A66" s="3" t="s">
        <v>205</v>
      </c>
      <c r="B66" s="9">
        <v>35051.32</v>
      </c>
      <c r="C66" s="9">
        <v>35231.57</v>
      </c>
      <c r="D66" s="9">
        <v>35253.160000000003</v>
      </c>
      <c r="E66" s="9">
        <v>35457.42</v>
      </c>
      <c r="F66" s="9">
        <v>35457.42</v>
      </c>
      <c r="G66" s="9">
        <v>35639.42</v>
      </c>
      <c r="H66" s="9">
        <v>35801.64</v>
      </c>
      <c r="I66" s="9">
        <v>35821.07</v>
      </c>
      <c r="J66" s="9">
        <v>36004.9</v>
      </c>
      <c r="K66" s="9">
        <v>36004.9</v>
      </c>
      <c r="L66" s="9">
        <v>36186.9</v>
      </c>
      <c r="M66" s="9">
        <v>36349.120000000003</v>
      </c>
      <c r="N66" s="9">
        <v>36368.550000000003</v>
      </c>
      <c r="O66" s="9">
        <v>36552.39</v>
      </c>
      <c r="P66" s="9">
        <v>36552.39</v>
      </c>
      <c r="Q66" s="9">
        <v>36734.39</v>
      </c>
      <c r="R66" s="9">
        <v>36896.61</v>
      </c>
      <c r="S66" s="9">
        <v>36916.04</v>
      </c>
      <c r="T66" s="9">
        <v>37099.870000000003</v>
      </c>
      <c r="U66" s="9">
        <v>37099.870000000003</v>
      </c>
      <c r="V66" s="9">
        <v>37281.870000000003</v>
      </c>
      <c r="W66" s="9">
        <v>37444.089999999997</v>
      </c>
      <c r="X66" s="9">
        <v>37463.519999999997</v>
      </c>
      <c r="Y66" s="9">
        <v>37647.35</v>
      </c>
      <c r="Z66" s="9">
        <v>37647.35</v>
      </c>
      <c r="AA66" s="9">
        <v>37829.360000000001</v>
      </c>
      <c r="AB66" s="9">
        <v>37991.57</v>
      </c>
      <c r="AC66" s="9">
        <v>38011.01</v>
      </c>
      <c r="AD66" s="9">
        <v>38194.839999999997</v>
      </c>
      <c r="AE66" s="9">
        <v>38194.839999999997</v>
      </c>
    </row>
    <row r="67" spans="1:31" x14ac:dyDescent="0.25">
      <c r="A67" s="3" t="s">
        <v>204</v>
      </c>
      <c r="B67" s="9">
        <v>18472</v>
      </c>
      <c r="C67" s="9">
        <v>17722</v>
      </c>
      <c r="D67" s="9">
        <v>16972</v>
      </c>
      <c r="E67" s="9">
        <v>16222</v>
      </c>
      <c r="F67" s="9">
        <v>16222</v>
      </c>
      <c r="G67" s="9">
        <v>15972</v>
      </c>
      <c r="H67" s="9">
        <v>15722</v>
      </c>
      <c r="I67" s="9">
        <v>15472</v>
      </c>
      <c r="J67" s="9">
        <v>15222</v>
      </c>
      <c r="K67" s="9">
        <v>15222</v>
      </c>
      <c r="L67" s="8" t="s">
        <v>54</v>
      </c>
      <c r="M67" s="8" t="s">
        <v>54</v>
      </c>
      <c r="N67" s="8" t="s">
        <v>54</v>
      </c>
      <c r="O67" s="8" t="s">
        <v>54</v>
      </c>
      <c r="P67" s="9">
        <v>14222</v>
      </c>
      <c r="Q67" s="8" t="s">
        <v>54</v>
      </c>
      <c r="R67" s="8" t="s">
        <v>54</v>
      </c>
      <c r="S67" s="8" t="s">
        <v>54</v>
      </c>
      <c r="T67" s="8" t="s">
        <v>54</v>
      </c>
      <c r="U67" s="9">
        <v>14222</v>
      </c>
      <c r="V67" s="8" t="s">
        <v>54</v>
      </c>
      <c r="W67" s="8" t="s">
        <v>54</v>
      </c>
      <c r="X67" s="8" t="s">
        <v>54</v>
      </c>
      <c r="Y67" s="8" t="s">
        <v>54</v>
      </c>
      <c r="Z67" s="9">
        <v>14222</v>
      </c>
      <c r="AA67" s="8" t="s">
        <v>54</v>
      </c>
      <c r="AB67" s="8" t="s">
        <v>54</v>
      </c>
      <c r="AC67" s="8" t="s">
        <v>54</v>
      </c>
      <c r="AD67" s="8" t="s">
        <v>54</v>
      </c>
      <c r="AE67" s="9">
        <v>14222</v>
      </c>
    </row>
    <row r="68" spans="1:31" x14ac:dyDescent="0.25">
      <c r="A68" s="4" t="s">
        <v>203</v>
      </c>
      <c r="B68" s="9">
        <v>142313.32</v>
      </c>
      <c r="C68" s="9">
        <v>143942.93</v>
      </c>
      <c r="D68" s="9">
        <v>150875.93</v>
      </c>
      <c r="E68" s="9">
        <v>153077.29999999999</v>
      </c>
      <c r="F68" s="9">
        <v>158690.14000000001</v>
      </c>
      <c r="G68" s="9">
        <v>154287.04999999999</v>
      </c>
      <c r="H68" s="9">
        <v>155735.51</v>
      </c>
      <c r="I68" s="9">
        <v>157310.37</v>
      </c>
      <c r="J68" s="9">
        <v>152623.67999999999</v>
      </c>
      <c r="K68" s="9">
        <v>152623.67999999999</v>
      </c>
      <c r="L68" s="9">
        <v>150193.13</v>
      </c>
      <c r="M68" s="9">
        <v>151781.41</v>
      </c>
      <c r="N68" s="9">
        <v>153346.79</v>
      </c>
      <c r="O68" s="9">
        <v>155308.56</v>
      </c>
      <c r="P68" s="9">
        <v>160020.37</v>
      </c>
      <c r="Q68" s="8" t="s">
        <v>54</v>
      </c>
      <c r="R68" s="8" t="s">
        <v>54</v>
      </c>
      <c r="S68" s="8" t="s">
        <v>54</v>
      </c>
      <c r="T68" s="8" t="s">
        <v>54</v>
      </c>
      <c r="U68" s="9">
        <v>168333.26</v>
      </c>
      <c r="V68" s="8" t="s">
        <v>54</v>
      </c>
      <c r="W68" s="8" t="s">
        <v>54</v>
      </c>
      <c r="X68" s="8" t="s">
        <v>54</v>
      </c>
      <c r="Y68" s="8" t="s">
        <v>54</v>
      </c>
      <c r="Z68" s="9">
        <v>174013.07</v>
      </c>
      <c r="AA68" s="8" t="s">
        <v>54</v>
      </c>
      <c r="AB68" s="8" t="s">
        <v>54</v>
      </c>
      <c r="AC68" s="8" t="s">
        <v>54</v>
      </c>
      <c r="AD68" s="8" t="s">
        <v>54</v>
      </c>
      <c r="AE68" s="9">
        <v>179692.32</v>
      </c>
    </row>
    <row r="69" spans="1:31" x14ac:dyDescent="0.25">
      <c r="A69" s="4" t="s">
        <v>65</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25">
      <c r="A70" s="3" t="s">
        <v>202</v>
      </c>
      <c r="B70" s="9">
        <v>141170.1</v>
      </c>
      <c r="C70" s="9">
        <v>142313.32</v>
      </c>
      <c r="D70" s="9">
        <v>143942.93</v>
      </c>
      <c r="E70" s="9">
        <v>150875.93</v>
      </c>
      <c r="F70" s="9">
        <v>146436.17000000001</v>
      </c>
      <c r="G70" s="9">
        <v>153077.29999999999</v>
      </c>
      <c r="H70" s="9">
        <v>154287.04999999999</v>
      </c>
      <c r="I70" s="9">
        <v>155735.51</v>
      </c>
      <c r="J70" s="9">
        <v>157310.37</v>
      </c>
      <c r="K70" s="9">
        <v>158690.14000000001</v>
      </c>
      <c r="L70" s="9">
        <v>148945.28</v>
      </c>
      <c r="M70" s="9">
        <v>150193.13</v>
      </c>
      <c r="N70" s="9">
        <v>151781.41</v>
      </c>
      <c r="O70" s="9">
        <v>153346.79</v>
      </c>
      <c r="P70" s="9">
        <v>152623.67999999999</v>
      </c>
      <c r="Q70" s="8" t="s">
        <v>54</v>
      </c>
      <c r="R70" s="8" t="s">
        <v>54</v>
      </c>
      <c r="S70" s="8" t="s">
        <v>54</v>
      </c>
      <c r="T70" s="8" t="s">
        <v>54</v>
      </c>
      <c r="U70" s="9">
        <v>162434.54999999999</v>
      </c>
      <c r="V70" s="8" t="s">
        <v>54</v>
      </c>
      <c r="W70" s="8" t="s">
        <v>54</v>
      </c>
      <c r="X70" s="8" t="s">
        <v>54</v>
      </c>
      <c r="Y70" s="8" t="s">
        <v>54</v>
      </c>
      <c r="Z70" s="9">
        <v>168333.26</v>
      </c>
      <c r="AA70" s="8" t="s">
        <v>54</v>
      </c>
      <c r="AB70" s="8" t="s">
        <v>54</v>
      </c>
      <c r="AC70" s="8" t="s">
        <v>54</v>
      </c>
      <c r="AD70" s="8" t="s">
        <v>54</v>
      </c>
      <c r="AE70" s="9">
        <v>174013.07</v>
      </c>
    </row>
    <row r="71" spans="1:31" x14ac:dyDescent="0.25">
      <c r="A71" s="3" t="s">
        <v>201</v>
      </c>
      <c r="B71" s="9">
        <v>5575.93</v>
      </c>
      <c r="C71" s="9">
        <v>5816.31</v>
      </c>
      <c r="D71" s="9">
        <v>6402.9</v>
      </c>
      <c r="E71" s="9">
        <v>7439.62</v>
      </c>
      <c r="F71" s="9">
        <v>25234.77</v>
      </c>
      <c r="G71" s="9">
        <v>5933.78</v>
      </c>
      <c r="H71" s="9">
        <v>5942.85</v>
      </c>
      <c r="I71" s="9">
        <v>6224.4</v>
      </c>
      <c r="J71" s="9">
        <v>7359.48</v>
      </c>
      <c r="K71" s="9">
        <v>25460.5</v>
      </c>
      <c r="L71" s="9">
        <v>5872.39</v>
      </c>
      <c r="M71" s="9">
        <v>5900.63</v>
      </c>
      <c r="N71" s="9">
        <v>6281.63</v>
      </c>
      <c r="O71" s="9">
        <v>7348.3</v>
      </c>
      <c r="P71" s="9">
        <v>25402.95</v>
      </c>
      <c r="Q71" s="9">
        <v>5353.69</v>
      </c>
      <c r="R71" s="9">
        <v>5167.29</v>
      </c>
      <c r="S71" s="9">
        <v>5699.53</v>
      </c>
      <c r="T71" s="9">
        <v>6893.52</v>
      </c>
      <c r="U71" s="9">
        <v>25573.87</v>
      </c>
      <c r="V71" s="8" t="s">
        <v>54</v>
      </c>
      <c r="W71" s="8" t="s">
        <v>54</v>
      </c>
      <c r="X71" s="8" t="s">
        <v>54</v>
      </c>
      <c r="Y71" s="8" t="s">
        <v>54</v>
      </c>
      <c r="Z71" s="9">
        <v>28218.05</v>
      </c>
      <c r="AA71" s="8" t="s">
        <v>54</v>
      </c>
      <c r="AB71" s="8" t="s">
        <v>54</v>
      </c>
      <c r="AC71" s="8" t="s">
        <v>54</v>
      </c>
      <c r="AD71" s="8" t="s">
        <v>54</v>
      </c>
      <c r="AE71" s="9">
        <v>28415.38</v>
      </c>
    </row>
    <row r="72" spans="1:31" x14ac:dyDescent="0.25">
      <c r="A72" s="3" t="s">
        <v>200</v>
      </c>
      <c r="B72" s="9">
        <v>999.98</v>
      </c>
      <c r="C72" s="9">
        <v>1397.09</v>
      </c>
      <c r="D72" s="9">
        <v>5658.39</v>
      </c>
      <c r="E72" s="9">
        <v>1872.7</v>
      </c>
      <c r="F72" s="9">
        <v>9733.9699999999993</v>
      </c>
      <c r="G72" s="9">
        <v>1064.81</v>
      </c>
      <c r="H72" s="9">
        <v>1255.77</v>
      </c>
      <c r="I72" s="9">
        <v>1358.88</v>
      </c>
      <c r="J72" s="9">
        <v>501.14</v>
      </c>
      <c r="K72" s="9">
        <v>27.11</v>
      </c>
      <c r="L72" s="9">
        <v>1247.8499999999999</v>
      </c>
      <c r="M72" s="9">
        <v>1588.28</v>
      </c>
      <c r="N72" s="9">
        <v>1565.38</v>
      </c>
      <c r="O72" s="9">
        <v>1961.76</v>
      </c>
      <c r="P72" s="9">
        <v>4899.28</v>
      </c>
      <c r="Q72" s="8" t="s">
        <v>54</v>
      </c>
      <c r="R72" s="8" t="s">
        <v>54</v>
      </c>
      <c r="S72" s="8" t="s">
        <v>54</v>
      </c>
      <c r="T72" s="8" t="s">
        <v>54</v>
      </c>
      <c r="U72" s="9">
        <v>4565.8100000000004</v>
      </c>
      <c r="V72" s="8" t="s">
        <v>54</v>
      </c>
      <c r="W72" s="8" t="s">
        <v>54</v>
      </c>
      <c r="X72" s="8" t="s">
        <v>54</v>
      </c>
      <c r="Y72" s="8" t="s">
        <v>54</v>
      </c>
      <c r="Z72" s="9">
        <v>4403.21</v>
      </c>
      <c r="AA72" s="8" t="s">
        <v>54</v>
      </c>
      <c r="AB72" s="8" t="s">
        <v>54</v>
      </c>
      <c r="AC72" s="8" t="s">
        <v>54</v>
      </c>
      <c r="AD72" s="8" t="s">
        <v>54</v>
      </c>
      <c r="AE72" s="9">
        <v>4369.5</v>
      </c>
    </row>
    <row r="73" spans="1:31" x14ac:dyDescent="0.25">
      <c r="A73" s="4" t="s">
        <v>199</v>
      </c>
      <c r="B73" s="9">
        <v>142313.32</v>
      </c>
      <c r="C73" s="9">
        <v>143942.93</v>
      </c>
      <c r="D73" s="9">
        <v>150875.93</v>
      </c>
      <c r="E73" s="9">
        <v>153077.29999999999</v>
      </c>
      <c r="F73" s="9">
        <v>158690.14000000001</v>
      </c>
      <c r="G73" s="9">
        <v>154287.04999999999</v>
      </c>
      <c r="H73" s="9">
        <v>155735.51</v>
      </c>
      <c r="I73" s="9">
        <v>157310.37</v>
      </c>
      <c r="J73" s="9">
        <v>152623.67999999999</v>
      </c>
      <c r="K73" s="9">
        <v>152623.67999999999</v>
      </c>
      <c r="L73" s="9">
        <v>150193.13</v>
      </c>
      <c r="M73" s="9">
        <v>151781.41</v>
      </c>
      <c r="N73" s="9">
        <v>153346.79</v>
      </c>
      <c r="O73" s="9">
        <v>155308.56</v>
      </c>
      <c r="P73" s="9">
        <v>160020.37</v>
      </c>
      <c r="Q73" s="8" t="s">
        <v>54</v>
      </c>
      <c r="R73" s="8" t="s">
        <v>54</v>
      </c>
      <c r="S73" s="8" t="s">
        <v>54</v>
      </c>
      <c r="T73" s="8" t="s">
        <v>54</v>
      </c>
      <c r="U73" s="9">
        <v>168333.26</v>
      </c>
      <c r="V73" s="8" t="s">
        <v>54</v>
      </c>
      <c r="W73" s="8" t="s">
        <v>54</v>
      </c>
      <c r="X73" s="8" t="s">
        <v>54</v>
      </c>
      <c r="Y73" s="8" t="s">
        <v>54</v>
      </c>
      <c r="Z73" s="9">
        <v>174013.07</v>
      </c>
      <c r="AA73" s="8" t="s">
        <v>54</v>
      </c>
      <c r="AB73" s="8" t="s">
        <v>54</v>
      </c>
      <c r="AC73" s="8" t="s">
        <v>54</v>
      </c>
      <c r="AD73" s="8" t="s">
        <v>54</v>
      </c>
      <c r="AE73" s="9">
        <v>179692.32</v>
      </c>
    </row>
    <row r="74" spans="1:31" x14ac:dyDescent="0.25">
      <c r="A74" s="3" t="s">
        <v>198</v>
      </c>
      <c r="B74" s="9">
        <v>141741.71</v>
      </c>
      <c r="C74" s="9">
        <v>143140.25</v>
      </c>
      <c r="D74" s="9">
        <v>148007.04999999999</v>
      </c>
      <c r="E74" s="9">
        <v>151976.60999999999</v>
      </c>
      <c r="F74" s="9">
        <v>152473.26</v>
      </c>
      <c r="G74" s="9">
        <v>153682.18</v>
      </c>
      <c r="H74" s="9">
        <v>155011.28</v>
      </c>
      <c r="I74" s="9">
        <v>156522.94</v>
      </c>
      <c r="J74" s="9">
        <v>154967.03</v>
      </c>
      <c r="K74" s="9">
        <v>152790.06</v>
      </c>
      <c r="L74" s="9">
        <v>149569.21</v>
      </c>
      <c r="M74" s="9">
        <v>150987.26999999999</v>
      </c>
      <c r="N74" s="9">
        <v>152564.1</v>
      </c>
      <c r="O74" s="9">
        <v>154327.67000000001</v>
      </c>
      <c r="P74" s="9">
        <v>157066.68</v>
      </c>
      <c r="Q74" s="8" t="s">
        <v>54</v>
      </c>
      <c r="R74" s="8" t="s">
        <v>54</v>
      </c>
      <c r="S74" s="8" t="s">
        <v>54</v>
      </c>
      <c r="T74" s="8" t="s">
        <v>54</v>
      </c>
      <c r="U74" s="9">
        <v>165383.9</v>
      </c>
      <c r="V74" s="8" t="s">
        <v>54</v>
      </c>
      <c r="W74" s="8" t="s">
        <v>54</v>
      </c>
      <c r="X74" s="8" t="s">
        <v>54</v>
      </c>
      <c r="Y74" s="8" t="s">
        <v>54</v>
      </c>
      <c r="Z74" s="9">
        <v>171173.17</v>
      </c>
      <c r="AA74" s="8" t="s">
        <v>54</v>
      </c>
      <c r="AB74" s="8" t="s">
        <v>54</v>
      </c>
      <c r="AC74" s="8" t="s">
        <v>54</v>
      </c>
      <c r="AD74" s="8" t="s">
        <v>54</v>
      </c>
      <c r="AE74" s="9">
        <v>176852.7</v>
      </c>
    </row>
    <row r="75" spans="1:31" x14ac:dyDescent="0.25">
      <c r="A75" s="3" t="s">
        <v>197</v>
      </c>
      <c r="B75" s="9">
        <v>40.08</v>
      </c>
      <c r="C75" s="9">
        <v>40.880000000000003</v>
      </c>
      <c r="D75" s="9">
        <v>41.35</v>
      </c>
      <c r="E75" s="9">
        <v>41.25</v>
      </c>
      <c r="F75" s="9">
        <v>39.090000000000003</v>
      </c>
      <c r="G75" s="9">
        <v>41.06</v>
      </c>
      <c r="H75" s="9">
        <v>41.03</v>
      </c>
      <c r="I75" s="9">
        <v>41.34</v>
      </c>
      <c r="J75" s="9">
        <v>42.47</v>
      </c>
      <c r="K75" s="9">
        <v>42</v>
      </c>
      <c r="L75" s="9">
        <v>44.16</v>
      </c>
      <c r="M75" s="9">
        <v>44.08</v>
      </c>
      <c r="N75" s="9">
        <v>44.32</v>
      </c>
      <c r="O75" s="9">
        <v>44.65</v>
      </c>
      <c r="P75" s="9">
        <v>42.9</v>
      </c>
      <c r="Q75" s="8" t="s">
        <v>54</v>
      </c>
      <c r="R75" s="8" t="s">
        <v>54</v>
      </c>
      <c r="S75" s="8" t="s">
        <v>54</v>
      </c>
      <c r="T75" s="8" t="s">
        <v>54</v>
      </c>
      <c r="U75" s="9">
        <v>42.61</v>
      </c>
      <c r="V75" s="8" t="s">
        <v>54</v>
      </c>
      <c r="W75" s="8" t="s">
        <v>54</v>
      </c>
      <c r="X75" s="8" t="s">
        <v>54</v>
      </c>
      <c r="Y75" s="8" t="s">
        <v>54</v>
      </c>
      <c r="Z75" s="9">
        <v>42.91</v>
      </c>
      <c r="AA75" s="8" t="s">
        <v>54</v>
      </c>
      <c r="AB75" s="8" t="s">
        <v>54</v>
      </c>
      <c r="AC75" s="8" t="s">
        <v>54</v>
      </c>
      <c r="AD75" s="8" t="s">
        <v>54</v>
      </c>
      <c r="AE75" s="9">
        <v>43.22</v>
      </c>
    </row>
    <row r="76" spans="1:31" x14ac:dyDescent="0.25">
      <c r="A76" s="4" t="s">
        <v>196</v>
      </c>
      <c r="B76" s="9">
        <v>16925</v>
      </c>
      <c r="C76" s="9">
        <v>17438</v>
      </c>
      <c r="D76" s="9">
        <v>18241</v>
      </c>
      <c r="E76" s="9">
        <v>18702</v>
      </c>
      <c r="F76" s="9">
        <v>71306</v>
      </c>
      <c r="G76" s="9">
        <v>18831</v>
      </c>
      <c r="H76" s="9">
        <v>18983</v>
      </c>
      <c r="I76" s="9">
        <v>19311.990000000002</v>
      </c>
      <c r="J76" s="9">
        <v>19665.060000000001</v>
      </c>
      <c r="K76" s="9">
        <v>76774.73</v>
      </c>
      <c r="L76" s="9">
        <v>19777.07</v>
      </c>
      <c r="M76" s="9">
        <v>19950.650000000001</v>
      </c>
      <c r="N76" s="9">
        <v>20275.97</v>
      </c>
      <c r="O76" s="9">
        <v>20574.78</v>
      </c>
      <c r="P76" s="9">
        <v>80614.100000000006</v>
      </c>
      <c r="Q76" s="9">
        <v>20843.43</v>
      </c>
      <c r="R76" s="9">
        <v>20823.53</v>
      </c>
      <c r="S76" s="9">
        <v>21171.439999999999</v>
      </c>
      <c r="T76" s="9">
        <v>21441.33</v>
      </c>
      <c r="U76" s="9">
        <v>84422.97</v>
      </c>
      <c r="V76" s="9">
        <v>21781.74</v>
      </c>
      <c r="W76" s="9">
        <v>21713.96</v>
      </c>
      <c r="X76" s="9">
        <v>22064.79</v>
      </c>
      <c r="Y76" s="9">
        <v>22254.23</v>
      </c>
      <c r="Z76" s="9">
        <v>88108.33</v>
      </c>
      <c r="AA76" s="9">
        <v>22542.06</v>
      </c>
      <c r="AB76" s="9">
        <v>22437.19</v>
      </c>
      <c r="AC76" s="9">
        <v>22802.42</v>
      </c>
      <c r="AD76" s="9">
        <v>22960.68</v>
      </c>
      <c r="AE76" s="9">
        <v>91511.92</v>
      </c>
    </row>
  </sheetData>
  <mergeCells count="1">
    <mergeCell ref="A1:D1"/>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F1A84-D697-4372-B21D-6B63F01CFEB8}">
  <dimension ref="A1:AE53"/>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20.5703125" customWidth="1"/>
    <col min="12" max="15" width="18" customWidth="1"/>
    <col min="16" max="16" width="20.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5"/>
      <c r="B1" s="45"/>
      <c r="C1" s="45"/>
      <c r="D1" s="45"/>
    </row>
    <row r="2" spans="1:31" ht="30" customHeight="1" x14ac:dyDescent="0.3">
      <c r="A2" s="1" t="s">
        <v>195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4" t="s">
        <v>194</v>
      </c>
      <c r="B16" s="9">
        <v>20886</v>
      </c>
      <c r="C16" s="9">
        <v>21132</v>
      </c>
      <c r="D16" s="9">
        <v>21957</v>
      </c>
      <c r="E16" s="9">
        <v>24334</v>
      </c>
      <c r="F16" s="9">
        <v>88309</v>
      </c>
      <c r="G16" s="9">
        <v>23107</v>
      </c>
      <c r="H16" s="9">
        <v>22791</v>
      </c>
      <c r="I16" s="9">
        <v>23184.12</v>
      </c>
      <c r="J16" s="9">
        <v>25344.2</v>
      </c>
      <c r="K16" s="9">
        <v>94367.96</v>
      </c>
      <c r="L16" s="9">
        <v>24125.87</v>
      </c>
      <c r="M16" s="9">
        <v>23845.32</v>
      </c>
      <c r="N16" s="9">
        <v>24252.48</v>
      </c>
      <c r="O16" s="9">
        <v>26435.68</v>
      </c>
      <c r="P16" s="9">
        <v>98611.83</v>
      </c>
      <c r="Q16" s="9">
        <v>25372.17</v>
      </c>
      <c r="R16" s="9">
        <v>24839.22</v>
      </c>
      <c r="S16" s="9">
        <v>25279.279999999999</v>
      </c>
      <c r="T16" s="9">
        <v>27501.15</v>
      </c>
      <c r="U16" s="9">
        <v>102811.96</v>
      </c>
      <c r="V16" s="9">
        <v>26354.6</v>
      </c>
      <c r="W16" s="9">
        <v>25751.82</v>
      </c>
      <c r="X16" s="9">
        <v>26183.37</v>
      </c>
      <c r="Y16" s="9">
        <v>28388.02</v>
      </c>
      <c r="Z16" s="9">
        <v>106733.85</v>
      </c>
      <c r="AA16" s="9">
        <v>27186.61</v>
      </c>
      <c r="AB16" s="9">
        <v>26524.18</v>
      </c>
      <c r="AC16" s="9">
        <v>26982.17</v>
      </c>
      <c r="AD16" s="9">
        <v>29183.09</v>
      </c>
      <c r="AE16" s="9">
        <v>110416.98</v>
      </c>
    </row>
    <row r="17" spans="1:31" x14ac:dyDescent="0.25">
      <c r="A17" s="3" t="s">
        <v>193</v>
      </c>
      <c r="B17" s="9">
        <v>2582</v>
      </c>
      <c r="C17" s="9">
        <v>2689</v>
      </c>
      <c r="D17" s="9">
        <v>2811</v>
      </c>
      <c r="E17" s="9">
        <v>3031</v>
      </c>
      <c r="F17" s="9">
        <v>11113</v>
      </c>
      <c r="G17" s="9">
        <v>2894</v>
      </c>
      <c r="H17" s="9">
        <v>2865</v>
      </c>
      <c r="I17" s="9">
        <v>4258.82</v>
      </c>
      <c r="J17" s="9">
        <v>4463.67</v>
      </c>
      <c r="K17" s="9">
        <v>16938.990000000002</v>
      </c>
      <c r="L17" s="9">
        <v>4365.8500000000004</v>
      </c>
      <c r="M17" s="9">
        <v>4253.2700000000004</v>
      </c>
      <c r="N17" s="9">
        <v>4485.24</v>
      </c>
      <c r="O17" s="9">
        <v>4701.79</v>
      </c>
      <c r="P17" s="9">
        <v>17806.150000000001</v>
      </c>
      <c r="Q17" s="9">
        <v>4554.12</v>
      </c>
      <c r="R17" s="9">
        <v>4577.3999999999996</v>
      </c>
      <c r="S17" s="9">
        <v>4654.29</v>
      </c>
      <c r="T17" s="9">
        <v>4694.2</v>
      </c>
      <c r="U17" s="9">
        <v>18544.71</v>
      </c>
      <c r="V17" s="9">
        <v>4792.0600000000004</v>
      </c>
      <c r="W17" s="9">
        <v>4813.1400000000003</v>
      </c>
      <c r="X17" s="9">
        <v>4896.1499999999996</v>
      </c>
      <c r="Y17" s="9">
        <v>4925.93</v>
      </c>
      <c r="Z17" s="9">
        <v>19250.96</v>
      </c>
      <c r="AA17" s="9">
        <v>5043.8100000000004</v>
      </c>
      <c r="AB17" s="9">
        <v>5062.0200000000004</v>
      </c>
      <c r="AC17" s="9">
        <v>5150.0600000000004</v>
      </c>
      <c r="AD17" s="9">
        <v>5170.57</v>
      </c>
      <c r="AE17" s="9">
        <v>19845.919999999998</v>
      </c>
    </row>
    <row r="18" spans="1:31" x14ac:dyDescent="0.25">
      <c r="A18" s="3" t="s">
        <v>192</v>
      </c>
      <c r="B18" s="9">
        <v>20</v>
      </c>
      <c r="C18" s="9">
        <v>28</v>
      </c>
      <c r="D18" s="9">
        <v>55</v>
      </c>
      <c r="E18" s="9">
        <v>250</v>
      </c>
      <c r="F18" s="9">
        <v>353</v>
      </c>
      <c r="G18" s="9">
        <v>101</v>
      </c>
      <c r="H18" s="9">
        <v>69</v>
      </c>
      <c r="I18" s="10">
        <v>-1337.5</v>
      </c>
      <c r="J18" s="10">
        <v>-1375</v>
      </c>
      <c r="K18" s="10">
        <v>-5345</v>
      </c>
      <c r="L18" s="10">
        <v>-1397.5</v>
      </c>
      <c r="M18" s="10">
        <v>-1422.5</v>
      </c>
      <c r="N18" s="10">
        <v>-1450</v>
      </c>
      <c r="O18" s="10">
        <v>-1450</v>
      </c>
      <c r="P18" s="10">
        <v>-5720</v>
      </c>
      <c r="Q18" s="10">
        <v>-1300</v>
      </c>
      <c r="R18" s="10">
        <v>-1300</v>
      </c>
      <c r="S18" s="10">
        <v>-1300</v>
      </c>
      <c r="T18" s="10">
        <v>-1300</v>
      </c>
      <c r="U18" s="10">
        <v>-5720</v>
      </c>
      <c r="V18" s="10">
        <v>-1300</v>
      </c>
      <c r="W18" s="10">
        <v>-1300</v>
      </c>
      <c r="X18" s="10">
        <v>-1300</v>
      </c>
      <c r="Y18" s="10">
        <v>-1300</v>
      </c>
      <c r="Z18" s="10">
        <v>-5695</v>
      </c>
      <c r="AA18" s="10">
        <v>-1300</v>
      </c>
      <c r="AB18" s="10">
        <v>-1300</v>
      </c>
      <c r="AC18" s="10">
        <v>-1300</v>
      </c>
      <c r="AD18" s="10">
        <v>-1300</v>
      </c>
      <c r="AE18" s="10">
        <v>-5670</v>
      </c>
    </row>
    <row r="19" spans="1:31" x14ac:dyDescent="0.25">
      <c r="A19" s="4" t="s">
        <v>191</v>
      </c>
      <c r="B19" s="9">
        <v>2602</v>
      </c>
      <c r="C19" s="9">
        <v>2717</v>
      </c>
      <c r="D19" s="9">
        <v>2873</v>
      </c>
      <c r="E19" s="9">
        <v>3305</v>
      </c>
      <c r="F19" s="9">
        <v>11497</v>
      </c>
      <c r="G19" s="9">
        <v>3339</v>
      </c>
      <c r="H19" s="9">
        <v>2978</v>
      </c>
      <c r="I19" s="9">
        <v>3068.14</v>
      </c>
      <c r="J19" s="9">
        <v>3214.48</v>
      </c>
      <c r="K19" s="9">
        <v>12304.89</v>
      </c>
      <c r="L19" s="9">
        <v>3088.38</v>
      </c>
      <c r="M19" s="9">
        <v>3022.66</v>
      </c>
      <c r="N19" s="9">
        <v>3086.54</v>
      </c>
      <c r="O19" s="9">
        <v>3175.06</v>
      </c>
      <c r="P19" s="9">
        <v>12360.35</v>
      </c>
      <c r="Q19" s="9">
        <v>3161.93</v>
      </c>
      <c r="R19" s="9">
        <v>3065.91</v>
      </c>
      <c r="S19" s="9">
        <v>3155.16</v>
      </c>
      <c r="T19" s="9">
        <v>3279.06</v>
      </c>
      <c r="U19" s="9">
        <v>12570.37</v>
      </c>
      <c r="V19" s="9">
        <v>3289.64</v>
      </c>
      <c r="W19" s="9">
        <v>3156.37</v>
      </c>
      <c r="X19" s="9">
        <v>3256.75</v>
      </c>
      <c r="Y19" s="9">
        <v>3388.5</v>
      </c>
      <c r="Z19" s="9">
        <v>13157.96</v>
      </c>
      <c r="AA19" s="9">
        <v>3449.75</v>
      </c>
      <c r="AB19" s="9">
        <v>3271.8</v>
      </c>
      <c r="AC19" s="9">
        <v>3402.84</v>
      </c>
      <c r="AD19" s="9">
        <v>3574.9</v>
      </c>
      <c r="AE19" s="9">
        <v>13634.67</v>
      </c>
    </row>
    <row r="20" spans="1:31" x14ac:dyDescent="0.25">
      <c r="A20" s="3" t="s">
        <v>190</v>
      </c>
      <c r="B20" s="9">
        <v>15.43</v>
      </c>
      <c r="C20" s="9">
        <v>25.8</v>
      </c>
      <c r="D20" s="9">
        <v>7</v>
      </c>
      <c r="E20" s="9">
        <v>24</v>
      </c>
      <c r="F20" s="9">
        <v>31</v>
      </c>
      <c r="G20" s="9">
        <v>344</v>
      </c>
      <c r="H20" s="9">
        <v>44</v>
      </c>
      <c r="I20" s="9">
        <v>148.91</v>
      </c>
      <c r="J20" s="9">
        <v>139.1</v>
      </c>
      <c r="K20" s="9">
        <v>719.42</v>
      </c>
      <c r="L20" s="9">
        <v>134.49</v>
      </c>
      <c r="M20" s="9">
        <v>151.09</v>
      </c>
      <c r="N20" s="9">
        <v>175.03</v>
      </c>
      <c r="O20" s="9">
        <v>164.82</v>
      </c>
      <c r="P20" s="9">
        <v>522.14</v>
      </c>
      <c r="Q20" s="9">
        <v>319.99</v>
      </c>
      <c r="R20" s="9">
        <v>343.8</v>
      </c>
      <c r="S20" s="9">
        <v>373.21</v>
      </c>
      <c r="T20" s="9">
        <v>399.22</v>
      </c>
      <c r="U20" s="9">
        <v>1436.23</v>
      </c>
      <c r="V20" s="9">
        <v>431.36</v>
      </c>
      <c r="W20" s="9">
        <v>459.59</v>
      </c>
      <c r="X20" s="9">
        <v>494.49</v>
      </c>
      <c r="Y20" s="9">
        <v>523.55999999999995</v>
      </c>
      <c r="Z20" s="9">
        <v>1909</v>
      </c>
      <c r="AA20" s="9">
        <v>559.86</v>
      </c>
      <c r="AB20" s="9">
        <v>590.28</v>
      </c>
      <c r="AC20" s="9">
        <v>628.54</v>
      </c>
      <c r="AD20" s="9">
        <v>659.34</v>
      </c>
      <c r="AE20" s="9">
        <v>2438.0300000000002</v>
      </c>
    </row>
    <row r="21" spans="1:31" x14ac:dyDescent="0.25">
      <c r="A21" s="4" t="s">
        <v>189</v>
      </c>
      <c r="B21" s="9">
        <v>2602</v>
      </c>
      <c r="C21" s="9">
        <v>2717</v>
      </c>
      <c r="D21" s="9">
        <v>2873</v>
      </c>
      <c r="E21" s="9">
        <v>3305</v>
      </c>
      <c r="F21" s="9">
        <v>11497</v>
      </c>
      <c r="G21" s="9">
        <v>3339</v>
      </c>
      <c r="H21" s="9">
        <v>2978</v>
      </c>
      <c r="I21" s="9">
        <v>3131.93</v>
      </c>
      <c r="J21" s="9">
        <v>3238.72</v>
      </c>
      <c r="K21" s="9">
        <v>12637.86</v>
      </c>
      <c r="L21" s="9">
        <v>3127.01</v>
      </c>
      <c r="M21" s="9">
        <v>3069.24</v>
      </c>
      <c r="N21" s="9">
        <v>3117.15</v>
      </c>
      <c r="O21" s="9">
        <v>3195.14</v>
      </c>
      <c r="P21" s="9">
        <v>12495.32</v>
      </c>
      <c r="Q21" s="9">
        <v>3163.65</v>
      </c>
      <c r="R21" s="9">
        <v>3090.57</v>
      </c>
      <c r="S21" s="9">
        <v>3174.35</v>
      </c>
      <c r="T21" s="9">
        <v>3284.28</v>
      </c>
      <c r="U21" s="9">
        <v>12592.4</v>
      </c>
      <c r="V21" s="9">
        <v>3294.19</v>
      </c>
      <c r="W21" s="9">
        <v>3196.18</v>
      </c>
      <c r="X21" s="9">
        <v>3288.41</v>
      </c>
      <c r="Y21" s="9">
        <v>3401.88</v>
      </c>
      <c r="Z21" s="9">
        <v>13185.12</v>
      </c>
      <c r="AA21" s="9">
        <v>3451.77</v>
      </c>
      <c r="AB21" s="9">
        <v>3328.93</v>
      </c>
      <c r="AC21" s="9">
        <v>3442.49</v>
      </c>
      <c r="AD21" s="9">
        <v>3581.49</v>
      </c>
      <c r="AE21" s="9">
        <v>13672.07</v>
      </c>
    </row>
    <row r="22" spans="1:31" x14ac:dyDescent="0.25">
      <c r="A22" s="3" t="s">
        <v>188</v>
      </c>
      <c r="B22" s="9">
        <v>4798</v>
      </c>
      <c r="C22" s="9">
        <v>4659</v>
      </c>
      <c r="D22" s="9">
        <v>4851</v>
      </c>
      <c r="E22" s="9">
        <v>6959</v>
      </c>
      <c r="F22" s="9">
        <v>21267</v>
      </c>
      <c r="G22" s="9">
        <v>5466</v>
      </c>
      <c r="H22" s="9">
        <v>5032</v>
      </c>
      <c r="I22" s="9">
        <v>5002.26</v>
      </c>
      <c r="J22" s="9">
        <v>7223.96</v>
      </c>
      <c r="K22" s="9">
        <v>22737.599999999999</v>
      </c>
      <c r="L22" s="9">
        <v>5535.22</v>
      </c>
      <c r="M22" s="9">
        <v>5101.3999999999996</v>
      </c>
      <c r="N22" s="9">
        <v>5195.21</v>
      </c>
      <c r="O22" s="9">
        <v>7363.88</v>
      </c>
      <c r="P22" s="9">
        <v>23201.57</v>
      </c>
      <c r="Q22" s="9">
        <v>5680.75</v>
      </c>
      <c r="R22" s="9">
        <v>5167.6099999999997</v>
      </c>
      <c r="S22" s="9">
        <v>5293.22</v>
      </c>
      <c r="T22" s="9">
        <v>7568.63</v>
      </c>
      <c r="U22" s="9">
        <v>23711.24</v>
      </c>
      <c r="V22" s="9">
        <v>5874.22</v>
      </c>
      <c r="W22" s="9">
        <v>5336.68</v>
      </c>
      <c r="X22" s="9">
        <v>5338.68</v>
      </c>
      <c r="Y22" s="9">
        <v>7809.82</v>
      </c>
      <c r="Z22" s="9">
        <v>24146.59</v>
      </c>
      <c r="AA22" s="9">
        <v>5935.9</v>
      </c>
      <c r="AB22" s="9">
        <v>5387.9</v>
      </c>
      <c r="AC22" s="9">
        <v>5387.48</v>
      </c>
      <c r="AD22" s="9">
        <v>7889.98</v>
      </c>
      <c r="AE22" s="9">
        <v>24539.25</v>
      </c>
    </row>
    <row r="23" spans="1:31" x14ac:dyDescent="0.25">
      <c r="A23" s="3" t="s">
        <v>187</v>
      </c>
      <c r="B23" s="8" t="s">
        <v>54</v>
      </c>
      <c r="C23" s="8" t="s">
        <v>54</v>
      </c>
      <c r="D23" s="9">
        <v>2</v>
      </c>
      <c r="E23" s="9">
        <v>8</v>
      </c>
      <c r="F23" s="9">
        <v>10</v>
      </c>
      <c r="G23" s="9">
        <v>22</v>
      </c>
      <c r="H23" s="9">
        <v>23</v>
      </c>
      <c r="I23" s="9">
        <v>23</v>
      </c>
      <c r="J23" s="9">
        <v>22.67</v>
      </c>
      <c r="K23" s="9">
        <v>75.25</v>
      </c>
      <c r="L23" s="9">
        <v>50</v>
      </c>
      <c r="M23" s="9">
        <v>50</v>
      </c>
      <c r="N23" s="8" t="s">
        <v>54</v>
      </c>
      <c r="O23" s="8" t="s">
        <v>54</v>
      </c>
      <c r="P23" s="9">
        <v>100</v>
      </c>
      <c r="Q23" s="8" t="s">
        <v>54</v>
      </c>
      <c r="R23" s="8" t="s">
        <v>54</v>
      </c>
      <c r="S23" s="8" t="s">
        <v>54</v>
      </c>
      <c r="T23" s="8" t="s">
        <v>54</v>
      </c>
      <c r="U23" s="8" t="s">
        <v>54</v>
      </c>
      <c r="V23" s="8" t="s">
        <v>54</v>
      </c>
      <c r="W23" s="8" t="s">
        <v>54</v>
      </c>
      <c r="X23" s="8" t="s">
        <v>54</v>
      </c>
      <c r="Y23" s="8" t="s">
        <v>54</v>
      </c>
      <c r="Z23" s="8" t="s">
        <v>54</v>
      </c>
      <c r="AA23" s="8" t="s">
        <v>54</v>
      </c>
      <c r="AB23" s="8" t="s">
        <v>54</v>
      </c>
      <c r="AC23" s="8" t="s">
        <v>54</v>
      </c>
      <c r="AD23" s="8" t="s">
        <v>54</v>
      </c>
      <c r="AE23" s="8" t="s">
        <v>54</v>
      </c>
    </row>
    <row r="24" spans="1:31" x14ac:dyDescent="0.25">
      <c r="A24" s="4" t="s">
        <v>186</v>
      </c>
      <c r="B24" s="9">
        <v>4798</v>
      </c>
      <c r="C24" s="9">
        <v>4659</v>
      </c>
      <c r="D24" s="9">
        <v>4853</v>
      </c>
      <c r="E24" s="9">
        <v>6967</v>
      </c>
      <c r="F24" s="9">
        <v>21277</v>
      </c>
      <c r="G24" s="9">
        <v>5488</v>
      </c>
      <c r="H24" s="9">
        <v>5055</v>
      </c>
      <c r="I24" s="9">
        <v>5045.7</v>
      </c>
      <c r="J24" s="9">
        <v>7070.42</v>
      </c>
      <c r="K24" s="9">
        <v>22601.78</v>
      </c>
      <c r="L24" s="9">
        <v>5501.48</v>
      </c>
      <c r="M24" s="9">
        <v>5041.32</v>
      </c>
      <c r="N24" s="9">
        <v>5156.51</v>
      </c>
      <c r="O24" s="9">
        <v>7233.86</v>
      </c>
      <c r="P24" s="9">
        <v>22987.02</v>
      </c>
      <c r="Q24" s="9">
        <v>5707.99</v>
      </c>
      <c r="R24" s="9">
        <v>5157.68</v>
      </c>
      <c r="S24" s="9">
        <v>5312.18</v>
      </c>
      <c r="T24" s="9">
        <v>7407.3</v>
      </c>
      <c r="U24" s="9">
        <v>23536.37</v>
      </c>
      <c r="V24" s="9">
        <v>5860.55</v>
      </c>
      <c r="W24" s="9">
        <v>5280.35</v>
      </c>
      <c r="X24" s="9">
        <v>5391.7</v>
      </c>
      <c r="Y24" s="9">
        <v>7553.87</v>
      </c>
      <c r="Z24" s="9">
        <v>23849.09</v>
      </c>
      <c r="AA24" s="9">
        <v>5962.29</v>
      </c>
      <c r="AB24" s="9">
        <v>5423.43</v>
      </c>
      <c r="AC24" s="9">
        <v>5497.85</v>
      </c>
      <c r="AD24" s="9">
        <v>7675.6</v>
      </c>
      <c r="AE24" s="9">
        <v>24297.3</v>
      </c>
    </row>
    <row r="25" spans="1:31" x14ac:dyDescent="0.25">
      <c r="A25" s="4" t="s">
        <v>185</v>
      </c>
      <c r="B25" s="9">
        <v>7400</v>
      </c>
      <c r="C25" s="9">
        <v>7376</v>
      </c>
      <c r="D25" s="9">
        <v>7726</v>
      </c>
      <c r="E25" s="9">
        <v>10272</v>
      </c>
      <c r="F25" s="9">
        <v>32774</v>
      </c>
      <c r="G25" s="9">
        <v>8827</v>
      </c>
      <c r="H25" s="9">
        <v>8033</v>
      </c>
      <c r="I25" s="9">
        <v>8172.32</v>
      </c>
      <c r="J25" s="9">
        <v>10311.61</v>
      </c>
      <c r="K25" s="9">
        <v>35277.949999999997</v>
      </c>
      <c r="L25" s="9">
        <v>8628.49</v>
      </c>
      <c r="M25" s="9">
        <v>8110.57</v>
      </c>
      <c r="N25" s="9">
        <v>8273.67</v>
      </c>
      <c r="O25" s="9">
        <v>10429</v>
      </c>
      <c r="P25" s="9">
        <v>35491.89</v>
      </c>
      <c r="Q25" s="9">
        <v>8871.64</v>
      </c>
      <c r="R25" s="9">
        <v>8248.25</v>
      </c>
      <c r="S25" s="9">
        <v>8486.5300000000007</v>
      </c>
      <c r="T25" s="9">
        <v>10691.58</v>
      </c>
      <c r="U25" s="9">
        <v>36128.76</v>
      </c>
      <c r="V25" s="9">
        <v>9154.74</v>
      </c>
      <c r="W25" s="9">
        <v>8476.5300000000007</v>
      </c>
      <c r="X25" s="9">
        <v>8680.1</v>
      </c>
      <c r="Y25" s="9">
        <v>10955.75</v>
      </c>
      <c r="Z25" s="9">
        <v>37034.21</v>
      </c>
      <c r="AA25" s="9">
        <v>9414.06</v>
      </c>
      <c r="AB25" s="9">
        <v>8752.36</v>
      </c>
      <c r="AC25" s="9">
        <v>8940.34</v>
      </c>
      <c r="AD25" s="9">
        <v>11257.09</v>
      </c>
      <c r="AE25" s="9">
        <v>37969.370000000003</v>
      </c>
    </row>
    <row r="26" spans="1:31" x14ac:dyDescent="0.25">
      <c r="A26" s="3" t="s">
        <v>184</v>
      </c>
      <c r="B26" s="9">
        <v>5415</v>
      </c>
      <c r="C26" s="9">
        <v>5415</v>
      </c>
      <c r="D26" s="9">
        <v>5828</v>
      </c>
      <c r="E26" s="9">
        <v>6106</v>
      </c>
      <c r="F26" s="9">
        <v>22764</v>
      </c>
      <c r="G26" s="9">
        <v>5709</v>
      </c>
      <c r="H26" s="9">
        <v>5569</v>
      </c>
      <c r="I26" s="9">
        <v>5989.04</v>
      </c>
      <c r="J26" s="9">
        <v>6151.73</v>
      </c>
      <c r="K26" s="9">
        <v>23418.77</v>
      </c>
      <c r="L26" s="9">
        <v>5947.77</v>
      </c>
      <c r="M26" s="9">
        <v>5646.75</v>
      </c>
      <c r="N26" s="9">
        <v>6055.36</v>
      </c>
      <c r="O26" s="9">
        <v>6092.85</v>
      </c>
      <c r="P26" s="9">
        <v>23742.73</v>
      </c>
      <c r="Q26" s="9">
        <v>6109.04</v>
      </c>
      <c r="R26" s="9">
        <v>5789.11</v>
      </c>
      <c r="S26" s="9">
        <v>6205.07</v>
      </c>
      <c r="T26" s="9">
        <v>6235.36</v>
      </c>
      <c r="U26" s="9">
        <v>24338.560000000001</v>
      </c>
      <c r="V26" s="9">
        <v>6242.3</v>
      </c>
      <c r="W26" s="9">
        <v>5905.02</v>
      </c>
      <c r="X26" s="9">
        <v>6327.87</v>
      </c>
      <c r="Y26" s="9">
        <v>6352.3</v>
      </c>
      <c r="Z26" s="9">
        <v>24827.49</v>
      </c>
      <c r="AA26" s="9">
        <v>6354</v>
      </c>
      <c r="AB26" s="9">
        <v>6001.16</v>
      </c>
      <c r="AC26" s="9">
        <v>6430.7</v>
      </c>
      <c r="AD26" s="9">
        <v>6450.38</v>
      </c>
      <c r="AE26" s="9">
        <v>25236.240000000002</v>
      </c>
    </row>
    <row r="27" spans="1:31" x14ac:dyDescent="0.25">
      <c r="A27" s="3" t="s">
        <v>183</v>
      </c>
      <c r="B27" s="8" t="s">
        <v>54</v>
      </c>
      <c r="C27" s="8" t="s">
        <v>54</v>
      </c>
      <c r="D27" s="8" t="s">
        <v>54</v>
      </c>
      <c r="E27" s="8" t="s">
        <v>54</v>
      </c>
      <c r="F27" s="8" t="s">
        <v>54</v>
      </c>
      <c r="G27" s="8" t="s">
        <v>54</v>
      </c>
      <c r="H27" s="8" t="s">
        <v>54</v>
      </c>
      <c r="I27" s="8" t="s">
        <v>54</v>
      </c>
      <c r="J27" s="8" t="s">
        <v>54</v>
      </c>
      <c r="K27" s="8" t="s">
        <v>54</v>
      </c>
      <c r="L27" s="8" t="s">
        <v>54</v>
      </c>
      <c r="M27" s="8" t="s">
        <v>54</v>
      </c>
      <c r="N27" s="8" t="s">
        <v>54</v>
      </c>
      <c r="O27" s="8" t="s">
        <v>54</v>
      </c>
      <c r="P27" s="8" t="s">
        <v>54</v>
      </c>
      <c r="Q27" s="8" t="s">
        <v>54</v>
      </c>
      <c r="R27" s="8" t="s">
        <v>54</v>
      </c>
      <c r="S27" s="8" t="s">
        <v>54</v>
      </c>
      <c r="T27" s="8" t="s">
        <v>54</v>
      </c>
      <c r="U27" s="8" t="s">
        <v>54</v>
      </c>
      <c r="V27" s="8" t="s">
        <v>54</v>
      </c>
      <c r="W27" s="8" t="s">
        <v>54</v>
      </c>
      <c r="X27" s="8" t="s">
        <v>54</v>
      </c>
      <c r="Y27" s="8" t="s">
        <v>54</v>
      </c>
      <c r="Z27" s="8" t="s">
        <v>54</v>
      </c>
      <c r="AA27" s="8" t="s">
        <v>54</v>
      </c>
      <c r="AB27" s="8" t="s">
        <v>54</v>
      </c>
      <c r="AC27" s="8" t="s">
        <v>54</v>
      </c>
      <c r="AD27" s="8" t="s">
        <v>54</v>
      </c>
      <c r="AE27" s="8" t="s">
        <v>54</v>
      </c>
    </row>
    <row r="28" spans="1:31" x14ac:dyDescent="0.25">
      <c r="A28" s="3" t="s">
        <v>182</v>
      </c>
      <c r="B28" s="9">
        <v>59</v>
      </c>
      <c r="C28" s="10">
        <v>-51</v>
      </c>
      <c r="D28" s="9">
        <v>123</v>
      </c>
      <c r="E28" s="9">
        <v>353</v>
      </c>
      <c r="F28" s="9">
        <v>484</v>
      </c>
      <c r="G28" s="9">
        <v>209</v>
      </c>
      <c r="H28" s="9">
        <v>150</v>
      </c>
      <c r="I28" s="10">
        <v>-350</v>
      </c>
      <c r="J28" s="10">
        <v>-402.5</v>
      </c>
      <c r="K28" s="10">
        <v>-1328</v>
      </c>
      <c r="L28" s="10">
        <v>-447.5</v>
      </c>
      <c r="M28" s="10">
        <v>-482.5</v>
      </c>
      <c r="N28" s="10">
        <v>-1090</v>
      </c>
      <c r="O28" s="10">
        <v>-1090</v>
      </c>
      <c r="P28" s="10">
        <v>-4140</v>
      </c>
      <c r="Q28" s="8" t="s">
        <v>54</v>
      </c>
      <c r="R28" s="8" t="s">
        <v>54</v>
      </c>
      <c r="S28" s="8" t="s">
        <v>54</v>
      </c>
      <c r="T28" s="8" t="s">
        <v>54</v>
      </c>
      <c r="U28" s="10">
        <v>-4140</v>
      </c>
      <c r="V28" s="8" t="s">
        <v>54</v>
      </c>
      <c r="W28" s="8" t="s">
        <v>54</v>
      </c>
      <c r="X28" s="8" t="s">
        <v>54</v>
      </c>
      <c r="Y28" s="8" t="s">
        <v>54</v>
      </c>
      <c r="Z28" s="10">
        <v>-4140</v>
      </c>
      <c r="AA28" s="8" t="s">
        <v>54</v>
      </c>
      <c r="AB28" s="8" t="s">
        <v>54</v>
      </c>
      <c r="AC28" s="8" t="s">
        <v>54</v>
      </c>
      <c r="AD28" s="8" t="s">
        <v>54</v>
      </c>
      <c r="AE28" s="10">
        <v>-4140</v>
      </c>
    </row>
    <row r="29" spans="1:31" x14ac:dyDescent="0.25">
      <c r="A29" s="4" t="s">
        <v>181</v>
      </c>
      <c r="B29" s="9">
        <v>5474</v>
      </c>
      <c r="C29" s="9">
        <v>5364</v>
      </c>
      <c r="D29" s="9">
        <v>5951</v>
      </c>
      <c r="E29" s="9">
        <v>6459</v>
      </c>
      <c r="F29" s="9">
        <v>23248</v>
      </c>
      <c r="G29" s="9">
        <v>5918</v>
      </c>
      <c r="H29" s="9">
        <v>5719</v>
      </c>
      <c r="I29" s="9">
        <v>5977.54</v>
      </c>
      <c r="J29" s="9">
        <v>6264.65</v>
      </c>
      <c r="K29" s="9">
        <v>23771.29</v>
      </c>
      <c r="L29" s="9">
        <v>5786.74</v>
      </c>
      <c r="M29" s="9">
        <v>5697.92</v>
      </c>
      <c r="N29" s="9">
        <v>5940.78</v>
      </c>
      <c r="O29" s="9">
        <v>6206.12</v>
      </c>
      <c r="P29" s="9">
        <v>23791.06</v>
      </c>
      <c r="Q29" s="9">
        <v>5989.08</v>
      </c>
      <c r="R29" s="9">
        <v>5884.78</v>
      </c>
      <c r="S29" s="9">
        <v>6086.99</v>
      </c>
      <c r="T29" s="9">
        <v>6463.9</v>
      </c>
      <c r="U29" s="9">
        <v>24381.79</v>
      </c>
      <c r="V29" s="9">
        <v>6222.07</v>
      </c>
      <c r="W29" s="9">
        <v>6036.14</v>
      </c>
      <c r="X29" s="9">
        <v>6347.92</v>
      </c>
      <c r="Y29" s="9">
        <v>6545.28</v>
      </c>
      <c r="Z29" s="9">
        <v>25005.19</v>
      </c>
      <c r="AA29" s="9">
        <v>6387.82</v>
      </c>
      <c r="AB29" s="9">
        <v>6192.65</v>
      </c>
      <c r="AC29" s="9">
        <v>6512.02</v>
      </c>
      <c r="AD29" s="9">
        <v>6706.74</v>
      </c>
      <c r="AE29" s="9">
        <v>25598.76</v>
      </c>
    </row>
    <row r="30" spans="1:31" x14ac:dyDescent="0.25">
      <c r="A30" s="3" t="s">
        <v>180</v>
      </c>
      <c r="B30" s="9">
        <v>14</v>
      </c>
      <c r="C30" s="9">
        <v>33</v>
      </c>
      <c r="D30" s="9">
        <v>64</v>
      </c>
      <c r="E30" s="9">
        <v>111</v>
      </c>
      <c r="F30" s="9">
        <v>222</v>
      </c>
      <c r="G30" s="9">
        <v>48</v>
      </c>
      <c r="H30" s="9">
        <v>115</v>
      </c>
      <c r="I30" s="9">
        <v>142</v>
      </c>
      <c r="J30" s="9">
        <v>130.62</v>
      </c>
      <c r="K30" s="9">
        <v>539.66999999999996</v>
      </c>
      <c r="L30" s="9">
        <v>162.5</v>
      </c>
      <c r="M30" s="9">
        <v>181.25</v>
      </c>
      <c r="N30" s="9">
        <v>83.33</v>
      </c>
      <c r="O30" s="9">
        <v>33.33</v>
      </c>
      <c r="P30" s="9">
        <v>396.4</v>
      </c>
      <c r="Q30" s="8" t="s">
        <v>54</v>
      </c>
      <c r="R30" s="8" t="s">
        <v>54</v>
      </c>
      <c r="S30" s="8" t="s">
        <v>54</v>
      </c>
      <c r="T30" s="8" t="s">
        <v>54</v>
      </c>
      <c r="U30" s="8" t="s">
        <v>54</v>
      </c>
      <c r="V30" s="8" t="s">
        <v>54</v>
      </c>
      <c r="W30" s="8" t="s">
        <v>54</v>
      </c>
      <c r="X30" s="8" t="s">
        <v>54</v>
      </c>
      <c r="Y30" s="8" t="s">
        <v>54</v>
      </c>
      <c r="Z30" s="8" t="s">
        <v>54</v>
      </c>
      <c r="AA30" s="8" t="s">
        <v>54</v>
      </c>
      <c r="AB30" s="8" t="s">
        <v>54</v>
      </c>
      <c r="AC30" s="8" t="s">
        <v>54</v>
      </c>
      <c r="AD30" s="8" t="s">
        <v>54</v>
      </c>
      <c r="AE30" s="8" t="s">
        <v>54</v>
      </c>
    </row>
    <row r="31" spans="1:31" x14ac:dyDescent="0.25">
      <c r="A31" s="4" t="s">
        <v>179</v>
      </c>
      <c r="B31" s="9">
        <v>5488</v>
      </c>
      <c r="C31" s="9">
        <v>5397</v>
      </c>
      <c r="D31" s="9">
        <v>6015</v>
      </c>
      <c r="E31" s="9">
        <v>6570</v>
      </c>
      <c r="F31" s="9">
        <v>23470</v>
      </c>
      <c r="G31" s="9">
        <v>5966</v>
      </c>
      <c r="H31" s="9">
        <v>5834</v>
      </c>
      <c r="I31" s="9">
        <v>6069.95</v>
      </c>
      <c r="J31" s="9">
        <v>6328.7</v>
      </c>
      <c r="K31" s="9">
        <v>24222.85</v>
      </c>
      <c r="L31" s="9">
        <v>5944.65</v>
      </c>
      <c r="M31" s="9">
        <v>5878</v>
      </c>
      <c r="N31" s="9">
        <v>6041.81</v>
      </c>
      <c r="O31" s="9">
        <v>6274.39</v>
      </c>
      <c r="P31" s="9">
        <v>24326.639999999999</v>
      </c>
      <c r="Q31" s="9">
        <v>6048.52</v>
      </c>
      <c r="R31" s="9">
        <v>5910.29</v>
      </c>
      <c r="S31" s="9">
        <v>6165.94</v>
      </c>
      <c r="T31" s="9">
        <v>6377.79</v>
      </c>
      <c r="U31" s="9">
        <v>24817.49</v>
      </c>
      <c r="V31" s="9">
        <v>6258.78</v>
      </c>
      <c r="W31" s="9">
        <v>6096.89</v>
      </c>
      <c r="X31" s="9">
        <v>6382.21</v>
      </c>
      <c r="Y31" s="9">
        <v>6511.4</v>
      </c>
      <c r="Z31" s="9">
        <v>25286.91</v>
      </c>
      <c r="AA31" s="9">
        <v>6296.11</v>
      </c>
      <c r="AB31" s="9">
        <v>6074.8</v>
      </c>
      <c r="AC31" s="9">
        <v>6420.52</v>
      </c>
      <c r="AD31" s="9">
        <v>6565.23</v>
      </c>
      <c r="AE31" s="9">
        <v>25774.28</v>
      </c>
    </row>
    <row r="32" spans="1:31" x14ac:dyDescent="0.25">
      <c r="A32" s="3" t="s">
        <v>178</v>
      </c>
      <c r="B32" s="9">
        <v>79</v>
      </c>
      <c r="C32" s="10">
        <v>-23</v>
      </c>
      <c r="D32" s="9">
        <v>278</v>
      </c>
      <c r="E32" s="9">
        <v>121</v>
      </c>
      <c r="F32" s="9">
        <v>278</v>
      </c>
      <c r="G32" s="9">
        <v>282</v>
      </c>
      <c r="H32" s="9">
        <v>156.33000000000001</v>
      </c>
      <c r="I32" s="9">
        <v>250</v>
      </c>
      <c r="J32" s="9">
        <v>250</v>
      </c>
      <c r="K32" s="9">
        <v>605</v>
      </c>
      <c r="L32" s="9">
        <v>250</v>
      </c>
      <c r="M32" s="9">
        <v>250</v>
      </c>
      <c r="N32" s="9">
        <v>250</v>
      </c>
      <c r="O32" s="9">
        <v>250</v>
      </c>
      <c r="P32" s="9">
        <v>1000</v>
      </c>
      <c r="Q32" s="8" t="s">
        <v>54</v>
      </c>
      <c r="R32" s="8" t="s">
        <v>54</v>
      </c>
      <c r="S32" s="8" t="s">
        <v>54</v>
      </c>
      <c r="T32" s="8" t="s">
        <v>54</v>
      </c>
      <c r="U32" s="8" t="s">
        <v>54</v>
      </c>
      <c r="V32" s="8" t="s">
        <v>54</v>
      </c>
      <c r="W32" s="8" t="s">
        <v>54</v>
      </c>
      <c r="X32" s="8" t="s">
        <v>54</v>
      </c>
      <c r="Y32" s="8" t="s">
        <v>54</v>
      </c>
      <c r="Z32" s="8" t="s">
        <v>54</v>
      </c>
      <c r="AA32" s="8" t="s">
        <v>54</v>
      </c>
      <c r="AB32" s="8" t="s">
        <v>54</v>
      </c>
      <c r="AC32" s="8" t="s">
        <v>54</v>
      </c>
      <c r="AD32" s="8" t="s">
        <v>54</v>
      </c>
      <c r="AE32" s="8" t="s">
        <v>54</v>
      </c>
    </row>
    <row r="33" spans="1:31" x14ac:dyDescent="0.25">
      <c r="A33" s="3" t="s">
        <v>51</v>
      </c>
      <c r="B33" s="9">
        <v>3198</v>
      </c>
      <c r="C33" s="9">
        <v>3146</v>
      </c>
      <c r="D33" s="9">
        <v>3408</v>
      </c>
      <c r="E33" s="9">
        <v>3756</v>
      </c>
      <c r="F33" s="9">
        <v>13508</v>
      </c>
      <c r="G33" s="9">
        <v>3817</v>
      </c>
      <c r="H33" s="9">
        <v>3434</v>
      </c>
      <c r="I33" s="9">
        <v>3577.37</v>
      </c>
      <c r="J33" s="9">
        <v>3610.24</v>
      </c>
      <c r="K33" s="9">
        <v>14416.73</v>
      </c>
      <c r="L33" s="9">
        <v>3567.64</v>
      </c>
      <c r="M33" s="9">
        <v>3486.46</v>
      </c>
      <c r="N33" s="9">
        <v>3522.23</v>
      </c>
      <c r="O33" s="9">
        <v>3535.48</v>
      </c>
      <c r="P33" s="9">
        <v>14308.28</v>
      </c>
      <c r="Q33" s="9">
        <v>3528.41</v>
      </c>
      <c r="R33" s="9">
        <v>3462.92</v>
      </c>
      <c r="S33" s="9">
        <v>3504.13</v>
      </c>
      <c r="T33" s="9">
        <v>3512.84</v>
      </c>
      <c r="U33" s="9">
        <v>14279.96</v>
      </c>
      <c r="V33" s="9">
        <v>3524.11</v>
      </c>
      <c r="W33" s="9">
        <v>3443.97</v>
      </c>
      <c r="X33" s="9">
        <v>3499.6</v>
      </c>
      <c r="Y33" s="9">
        <v>3512.66</v>
      </c>
      <c r="Z33" s="9">
        <v>14257.62</v>
      </c>
      <c r="AA33" s="9">
        <v>3610.93</v>
      </c>
      <c r="AB33" s="9">
        <v>3479.38</v>
      </c>
      <c r="AC33" s="9">
        <v>3544.58</v>
      </c>
      <c r="AD33" s="9">
        <v>3566.1</v>
      </c>
      <c r="AE33" s="9">
        <v>14453.64</v>
      </c>
    </row>
    <row r="34" spans="1:31" x14ac:dyDescent="0.25">
      <c r="A34" s="4" t="s">
        <v>177</v>
      </c>
      <c r="B34" s="9">
        <v>16086</v>
      </c>
      <c r="C34" s="9">
        <v>15919</v>
      </c>
      <c r="D34" s="9">
        <v>17427</v>
      </c>
      <c r="E34" s="9">
        <v>20598</v>
      </c>
      <c r="F34" s="9">
        <v>70030</v>
      </c>
      <c r="G34" s="9">
        <v>18610</v>
      </c>
      <c r="H34" s="9">
        <v>17301</v>
      </c>
      <c r="I34" s="9">
        <v>17828.07</v>
      </c>
      <c r="J34" s="9">
        <v>20250.16</v>
      </c>
      <c r="K34" s="9">
        <v>73987.98</v>
      </c>
      <c r="L34" s="9">
        <v>18160.02</v>
      </c>
      <c r="M34" s="9">
        <v>17494.25</v>
      </c>
      <c r="N34" s="9">
        <v>17858.54</v>
      </c>
      <c r="O34" s="9">
        <v>20259.7</v>
      </c>
      <c r="P34" s="9">
        <v>74148.789999999994</v>
      </c>
      <c r="Q34" s="9">
        <v>18448.57</v>
      </c>
      <c r="R34" s="9">
        <v>17621.46</v>
      </c>
      <c r="S34" s="9">
        <v>18156.599999999999</v>
      </c>
      <c r="T34" s="9">
        <v>20582.22</v>
      </c>
      <c r="U34" s="9">
        <v>75166.539999999994</v>
      </c>
      <c r="V34" s="9">
        <v>18937.63</v>
      </c>
      <c r="W34" s="9">
        <v>18017.39</v>
      </c>
      <c r="X34" s="9">
        <v>18561.91</v>
      </c>
      <c r="Y34" s="9">
        <v>20979.81</v>
      </c>
      <c r="Z34" s="9">
        <v>76464.990000000005</v>
      </c>
      <c r="AA34" s="9">
        <v>19321.099999999999</v>
      </c>
      <c r="AB34" s="9">
        <v>18306.53</v>
      </c>
      <c r="AC34" s="9">
        <v>18905.439999999999</v>
      </c>
      <c r="AD34" s="9">
        <v>21388.42</v>
      </c>
      <c r="AE34" s="9">
        <v>78033.850000000006</v>
      </c>
    </row>
    <row r="35" spans="1:31" x14ac:dyDescent="0.25">
      <c r="A35" s="4" t="s">
        <v>176</v>
      </c>
      <c r="B35" s="9">
        <v>4800</v>
      </c>
      <c r="C35" s="9">
        <v>5213</v>
      </c>
      <c r="D35" s="9">
        <v>4530</v>
      </c>
      <c r="E35" s="9">
        <v>3736</v>
      </c>
      <c r="F35" s="9">
        <v>18279</v>
      </c>
      <c r="G35" s="9">
        <v>4497</v>
      </c>
      <c r="H35" s="9">
        <v>5490</v>
      </c>
      <c r="I35" s="9">
        <v>5321.15</v>
      </c>
      <c r="J35" s="9">
        <v>5062.42</v>
      </c>
      <c r="K35" s="9">
        <v>20369.03</v>
      </c>
      <c r="L35" s="9">
        <v>5950.2</v>
      </c>
      <c r="M35" s="9">
        <v>6302.68</v>
      </c>
      <c r="N35" s="9">
        <v>6341.46</v>
      </c>
      <c r="O35" s="9">
        <v>6170.89</v>
      </c>
      <c r="P35" s="9">
        <v>24319.91</v>
      </c>
      <c r="Q35" s="9">
        <v>6923.6</v>
      </c>
      <c r="R35" s="9">
        <v>7217.76</v>
      </c>
      <c r="S35" s="9">
        <v>7122.68</v>
      </c>
      <c r="T35" s="9">
        <v>6918.94</v>
      </c>
      <c r="U35" s="9">
        <v>27659.84</v>
      </c>
      <c r="V35" s="9">
        <v>7416.97</v>
      </c>
      <c r="W35" s="9">
        <v>7734.43</v>
      </c>
      <c r="X35" s="9">
        <v>7621.46</v>
      </c>
      <c r="Y35" s="9">
        <v>7408.22</v>
      </c>
      <c r="Z35" s="9">
        <v>30212.48</v>
      </c>
      <c r="AA35" s="9">
        <v>7865.5</v>
      </c>
      <c r="AB35" s="9">
        <v>8217.65</v>
      </c>
      <c r="AC35" s="9">
        <v>8076.74</v>
      </c>
      <c r="AD35" s="9">
        <v>7794.66</v>
      </c>
      <c r="AE35" s="9">
        <v>32273.95</v>
      </c>
    </row>
    <row r="36" spans="1:31" x14ac:dyDescent="0.25">
      <c r="A36" s="3" t="s">
        <v>175</v>
      </c>
      <c r="B36" s="9">
        <v>916</v>
      </c>
      <c r="C36" s="9">
        <v>922</v>
      </c>
      <c r="D36" s="9">
        <v>924</v>
      </c>
      <c r="E36" s="9">
        <v>1012</v>
      </c>
      <c r="F36" s="9">
        <v>3774</v>
      </c>
      <c r="G36" s="9">
        <v>1031</v>
      </c>
      <c r="H36" s="9">
        <v>1055</v>
      </c>
      <c r="I36" s="9">
        <v>1039.1400000000001</v>
      </c>
      <c r="J36" s="9">
        <v>1037.73</v>
      </c>
      <c r="K36" s="9">
        <v>4162.87</v>
      </c>
      <c r="L36" s="9">
        <v>1176.6099999999999</v>
      </c>
      <c r="M36" s="9">
        <v>1184.1199999999999</v>
      </c>
      <c r="N36" s="9">
        <v>1183.57</v>
      </c>
      <c r="O36" s="9">
        <v>1225.8399999999999</v>
      </c>
      <c r="P36" s="9">
        <v>4604.88</v>
      </c>
      <c r="Q36" s="9">
        <v>1224.32</v>
      </c>
      <c r="R36" s="9">
        <v>1231.25</v>
      </c>
      <c r="S36" s="9">
        <v>1240.8900000000001</v>
      </c>
      <c r="T36" s="9">
        <v>1280.97</v>
      </c>
      <c r="U36" s="9">
        <v>4874.1000000000004</v>
      </c>
      <c r="V36" s="9">
        <v>1247.17</v>
      </c>
      <c r="W36" s="9">
        <v>1243.8800000000001</v>
      </c>
      <c r="X36" s="9">
        <v>1229.99</v>
      </c>
      <c r="Y36" s="9">
        <v>1287.69</v>
      </c>
      <c r="Z36" s="9">
        <v>5045.5</v>
      </c>
      <c r="AA36" s="9">
        <v>1272.9000000000001</v>
      </c>
      <c r="AB36" s="9">
        <v>1266.92</v>
      </c>
      <c r="AC36" s="9">
        <v>1249.6400000000001</v>
      </c>
      <c r="AD36" s="9">
        <v>1229.27</v>
      </c>
      <c r="AE36" s="9">
        <v>5147.8999999999996</v>
      </c>
    </row>
    <row r="37" spans="1:31" x14ac:dyDescent="0.25">
      <c r="A37" s="3" t="s">
        <v>174</v>
      </c>
      <c r="B37" s="8" t="s">
        <v>54</v>
      </c>
      <c r="C37" s="8" t="s">
        <v>54</v>
      </c>
      <c r="D37" s="8" t="s">
        <v>54</v>
      </c>
      <c r="E37" s="8" t="s">
        <v>54</v>
      </c>
      <c r="F37" s="8" t="s">
        <v>54</v>
      </c>
      <c r="G37" s="8" t="s">
        <v>54</v>
      </c>
      <c r="H37" s="8" t="s">
        <v>54</v>
      </c>
      <c r="I37" s="9">
        <v>10.83</v>
      </c>
      <c r="J37" s="9">
        <v>12.78</v>
      </c>
      <c r="K37" s="9">
        <v>23.61</v>
      </c>
      <c r="L37" s="9">
        <v>3</v>
      </c>
      <c r="M37" s="9">
        <v>4</v>
      </c>
      <c r="N37" s="9">
        <v>4</v>
      </c>
      <c r="O37" s="9">
        <v>6</v>
      </c>
      <c r="P37" s="9">
        <v>42.88</v>
      </c>
      <c r="Q37" s="8" t="s">
        <v>54</v>
      </c>
      <c r="R37" s="8" t="s">
        <v>54</v>
      </c>
      <c r="S37" s="8" t="s">
        <v>54</v>
      </c>
      <c r="T37" s="8" t="s">
        <v>54</v>
      </c>
      <c r="U37" s="9">
        <v>43.26</v>
      </c>
      <c r="V37" s="8" t="s">
        <v>54</v>
      </c>
      <c r="W37" s="8" t="s">
        <v>54</v>
      </c>
      <c r="X37" s="8" t="s">
        <v>54</v>
      </c>
      <c r="Y37" s="8" t="s">
        <v>54</v>
      </c>
      <c r="Z37" s="9">
        <v>40.26</v>
      </c>
      <c r="AA37" s="8" t="s">
        <v>54</v>
      </c>
      <c r="AB37" s="8" t="s">
        <v>54</v>
      </c>
      <c r="AC37" s="8" t="s">
        <v>54</v>
      </c>
      <c r="AD37" s="8" t="s">
        <v>54</v>
      </c>
      <c r="AE37" s="9">
        <v>40.26</v>
      </c>
    </row>
    <row r="38" spans="1:31" x14ac:dyDescent="0.25">
      <c r="A38" s="4" t="s">
        <v>173</v>
      </c>
      <c r="B38" s="10">
        <v>-916</v>
      </c>
      <c r="C38" s="10">
        <v>-922</v>
      </c>
      <c r="D38" s="10">
        <v>-924</v>
      </c>
      <c r="E38" s="10">
        <v>-1012</v>
      </c>
      <c r="F38" s="10">
        <v>-3774</v>
      </c>
      <c r="G38" s="10">
        <v>-1031</v>
      </c>
      <c r="H38" s="10">
        <v>-1055</v>
      </c>
      <c r="I38" s="10">
        <v>-1047.72</v>
      </c>
      <c r="J38" s="10">
        <v>-1049.8900000000001</v>
      </c>
      <c r="K38" s="10">
        <v>-4190.17</v>
      </c>
      <c r="L38" s="10">
        <v>-1167.6400000000001</v>
      </c>
      <c r="M38" s="10">
        <v>-1196.97</v>
      </c>
      <c r="N38" s="10">
        <v>-1200.33</v>
      </c>
      <c r="O38" s="10">
        <v>-1227.9000000000001</v>
      </c>
      <c r="P38" s="10">
        <v>-4692.74</v>
      </c>
      <c r="Q38" s="10">
        <v>-1258.1199999999999</v>
      </c>
      <c r="R38" s="10">
        <v>-1280.18</v>
      </c>
      <c r="S38" s="10">
        <v>-1275.8800000000001</v>
      </c>
      <c r="T38" s="10">
        <v>-1296.32</v>
      </c>
      <c r="U38" s="10">
        <v>-4978.46</v>
      </c>
      <c r="V38" s="10">
        <v>-1302.6600000000001</v>
      </c>
      <c r="W38" s="10">
        <v>-1315.67</v>
      </c>
      <c r="X38" s="10">
        <v>-1298.96</v>
      </c>
      <c r="Y38" s="10">
        <v>-1327.58</v>
      </c>
      <c r="Z38" s="10">
        <v>-5210.87</v>
      </c>
      <c r="AA38" s="10">
        <v>-1277.3</v>
      </c>
      <c r="AB38" s="10">
        <v>-1287.68</v>
      </c>
      <c r="AC38" s="10">
        <v>-1261.04</v>
      </c>
      <c r="AD38" s="10">
        <v>-1249.6300000000001</v>
      </c>
      <c r="AE38" s="10">
        <v>-5263.24</v>
      </c>
    </row>
    <row r="39" spans="1:31" x14ac:dyDescent="0.25">
      <c r="A39" s="3" t="s">
        <v>172</v>
      </c>
      <c r="B39" s="10">
        <v>-46</v>
      </c>
      <c r="C39" s="10">
        <v>-11</v>
      </c>
      <c r="D39" s="10">
        <v>-78</v>
      </c>
      <c r="E39" s="10">
        <v>-89</v>
      </c>
      <c r="F39" s="10">
        <v>-224</v>
      </c>
      <c r="G39" s="10">
        <v>-132</v>
      </c>
      <c r="H39" s="10">
        <v>-107</v>
      </c>
      <c r="I39" s="10">
        <v>-97.29</v>
      </c>
      <c r="J39" s="10">
        <v>-92.78</v>
      </c>
      <c r="K39" s="10">
        <v>-358.43</v>
      </c>
      <c r="L39" s="10">
        <v>-95.2</v>
      </c>
      <c r="M39" s="10">
        <v>-93.75</v>
      </c>
      <c r="N39" s="10">
        <v>-91.44</v>
      </c>
      <c r="O39" s="10">
        <v>-92.58</v>
      </c>
      <c r="P39" s="10">
        <v>-310.44</v>
      </c>
      <c r="Q39" s="10">
        <v>-92.11</v>
      </c>
      <c r="R39" s="10">
        <v>-86.14</v>
      </c>
      <c r="S39" s="10">
        <v>-83.83</v>
      </c>
      <c r="T39" s="10">
        <v>-82.99</v>
      </c>
      <c r="U39" s="10">
        <v>-265.45999999999998</v>
      </c>
      <c r="V39" s="10">
        <v>-87.01</v>
      </c>
      <c r="W39" s="10">
        <v>-79.849999999999994</v>
      </c>
      <c r="X39" s="10">
        <v>-77.25</v>
      </c>
      <c r="Y39" s="10">
        <v>-76.459999999999994</v>
      </c>
      <c r="Z39" s="10">
        <v>-235.31</v>
      </c>
      <c r="AA39" s="10">
        <v>-65.31</v>
      </c>
      <c r="AB39" s="10">
        <v>-56.07</v>
      </c>
      <c r="AC39" s="10">
        <v>-52.89</v>
      </c>
      <c r="AD39" s="10">
        <v>-52.1</v>
      </c>
      <c r="AE39" s="10">
        <v>-167.71</v>
      </c>
    </row>
    <row r="40" spans="1:31" x14ac:dyDescent="0.25">
      <c r="A40" s="4" t="s">
        <v>171</v>
      </c>
      <c r="B40" s="10">
        <v>-962</v>
      </c>
      <c r="C40" s="10">
        <v>-933</v>
      </c>
      <c r="D40" s="10">
        <v>-1002</v>
      </c>
      <c r="E40" s="10">
        <v>-1101</v>
      </c>
      <c r="F40" s="10">
        <v>-3998</v>
      </c>
      <c r="G40" s="10">
        <v>-1163</v>
      </c>
      <c r="H40" s="10">
        <v>-1162</v>
      </c>
      <c r="I40" s="10">
        <v>-1129.25</v>
      </c>
      <c r="J40" s="10">
        <v>-1124.47</v>
      </c>
      <c r="K40" s="10">
        <v>-4547.13</v>
      </c>
      <c r="L40" s="10">
        <v>-1245.58</v>
      </c>
      <c r="M40" s="10">
        <v>-1280.1500000000001</v>
      </c>
      <c r="N40" s="10">
        <v>-1277.1300000000001</v>
      </c>
      <c r="O40" s="10">
        <v>-1308.23</v>
      </c>
      <c r="P40" s="10">
        <v>-4952.83</v>
      </c>
      <c r="Q40" s="10">
        <v>-1334.88</v>
      </c>
      <c r="R40" s="10">
        <v>-1351.96</v>
      </c>
      <c r="S40" s="10">
        <v>-1345.74</v>
      </c>
      <c r="T40" s="10">
        <v>-1365.48</v>
      </c>
      <c r="U40" s="10">
        <v>-5216.4799999999996</v>
      </c>
      <c r="V40" s="10">
        <v>-1372.26</v>
      </c>
      <c r="W40" s="10">
        <v>-1379.55</v>
      </c>
      <c r="X40" s="10">
        <v>-1360.77</v>
      </c>
      <c r="Y40" s="10">
        <v>-1388.75</v>
      </c>
      <c r="Z40" s="10">
        <v>-5336.18</v>
      </c>
      <c r="AA40" s="10">
        <v>-1326.29</v>
      </c>
      <c r="AB40" s="10">
        <v>-1329.73</v>
      </c>
      <c r="AC40" s="10">
        <v>-1300.71</v>
      </c>
      <c r="AD40" s="10">
        <v>-1288.71</v>
      </c>
      <c r="AE40" s="10">
        <v>-5289.83</v>
      </c>
    </row>
    <row r="41" spans="1:31" x14ac:dyDescent="0.25">
      <c r="A41" s="4" t="s">
        <v>170</v>
      </c>
      <c r="B41" s="9">
        <v>3838</v>
      </c>
      <c r="C41" s="9">
        <v>4280</v>
      </c>
      <c r="D41" s="9">
        <v>3528</v>
      </c>
      <c r="E41" s="9">
        <v>2635</v>
      </c>
      <c r="F41" s="9">
        <v>14281</v>
      </c>
      <c r="G41" s="9">
        <v>3334</v>
      </c>
      <c r="H41" s="9">
        <v>4328</v>
      </c>
      <c r="I41" s="9">
        <v>4194.71</v>
      </c>
      <c r="J41" s="9">
        <v>3939.92</v>
      </c>
      <c r="K41" s="9">
        <v>15822.22</v>
      </c>
      <c r="L41" s="9">
        <v>4684.83</v>
      </c>
      <c r="M41" s="9">
        <v>5048.49</v>
      </c>
      <c r="N41" s="9">
        <v>5094.8100000000004</v>
      </c>
      <c r="O41" s="9">
        <v>4844.9399999999996</v>
      </c>
      <c r="P41" s="9">
        <v>19405.830000000002</v>
      </c>
      <c r="Q41" s="9">
        <v>5588.72</v>
      </c>
      <c r="R41" s="9">
        <v>5865.8</v>
      </c>
      <c r="S41" s="9">
        <v>5776.94</v>
      </c>
      <c r="T41" s="9">
        <v>5553.45</v>
      </c>
      <c r="U41" s="9">
        <v>22484.84</v>
      </c>
      <c r="V41" s="9">
        <v>6044.71</v>
      </c>
      <c r="W41" s="9">
        <v>6354.88</v>
      </c>
      <c r="X41" s="9">
        <v>6260.7</v>
      </c>
      <c r="Y41" s="9">
        <v>6019.47</v>
      </c>
      <c r="Z41" s="9">
        <v>24859.9</v>
      </c>
      <c r="AA41" s="9">
        <v>6539.22</v>
      </c>
      <c r="AB41" s="9">
        <v>6887.92</v>
      </c>
      <c r="AC41" s="9">
        <v>6776.03</v>
      </c>
      <c r="AD41" s="9">
        <v>6505.95</v>
      </c>
      <c r="AE41" s="9">
        <v>26950.3</v>
      </c>
    </row>
    <row r="42" spans="1:31" x14ac:dyDescent="0.25">
      <c r="A42" s="4" t="s">
        <v>169</v>
      </c>
      <c r="B42" s="9">
        <v>885</v>
      </c>
      <c r="C42" s="9">
        <v>1058</v>
      </c>
      <c r="D42" s="9">
        <v>814</v>
      </c>
      <c r="E42" s="9">
        <v>532</v>
      </c>
      <c r="F42" s="9">
        <v>3289</v>
      </c>
      <c r="G42" s="9">
        <v>830</v>
      </c>
      <c r="H42" s="9">
        <v>1089</v>
      </c>
      <c r="I42" s="9">
        <v>1068.02</v>
      </c>
      <c r="J42" s="9">
        <v>1009.19</v>
      </c>
      <c r="K42" s="9">
        <v>4024.25</v>
      </c>
      <c r="L42" s="9">
        <v>1181.5</v>
      </c>
      <c r="M42" s="9">
        <v>1275.3499999999999</v>
      </c>
      <c r="N42" s="9">
        <v>1288.18</v>
      </c>
      <c r="O42" s="9">
        <v>1226.72</v>
      </c>
      <c r="P42" s="9">
        <v>4914.74</v>
      </c>
      <c r="Q42" s="9">
        <v>1414.51</v>
      </c>
      <c r="R42" s="9">
        <v>1489.8</v>
      </c>
      <c r="S42" s="9">
        <v>1467.58</v>
      </c>
      <c r="T42" s="9">
        <v>1411.09</v>
      </c>
      <c r="U42" s="9">
        <v>5693.41</v>
      </c>
      <c r="V42" s="9">
        <v>1514.71</v>
      </c>
      <c r="W42" s="9">
        <v>1599.9</v>
      </c>
      <c r="X42" s="9">
        <v>1576.58</v>
      </c>
      <c r="Y42" s="9">
        <v>1516.23</v>
      </c>
      <c r="Z42" s="9">
        <v>6266.32</v>
      </c>
      <c r="AA42" s="9">
        <v>1641.19</v>
      </c>
      <c r="AB42" s="9">
        <v>1728.64</v>
      </c>
      <c r="AC42" s="9">
        <v>1701.02</v>
      </c>
      <c r="AD42" s="9">
        <v>1633.41</v>
      </c>
      <c r="AE42" s="9">
        <v>6787.9</v>
      </c>
    </row>
    <row r="43" spans="1:31" x14ac:dyDescent="0.25">
      <c r="A43" s="4" t="s">
        <v>168</v>
      </c>
      <c r="B43" s="9">
        <v>2953</v>
      </c>
      <c r="C43" s="9">
        <v>3222</v>
      </c>
      <c r="D43" s="9">
        <v>2714</v>
      </c>
      <c r="E43" s="9">
        <v>2103</v>
      </c>
      <c r="F43" s="9">
        <v>10992</v>
      </c>
      <c r="G43" s="9">
        <v>2504</v>
      </c>
      <c r="H43" s="9">
        <v>3239</v>
      </c>
      <c r="I43" s="9">
        <v>3135.84</v>
      </c>
      <c r="J43" s="9">
        <v>2945.41</v>
      </c>
      <c r="K43" s="9">
        <v>11821.78</v>
      </c>
      <c r="L43" s="9">
        <v>3503.34</v>
      </c>
      <c r="M43" s="9">
        <v>3773.14</v>
      </c>
      <c r="N43" s="9">
        <v>3806.63</v>
      </c>
      <c r="O43" s="9">
        <v>3618.22</v>
      </c>
      <c r="P43" s="9">
        <v>14554.97</v>
      </c>
      <c r="Q43" s="9">
        <v>4174.21</v>
      </c>
      <c r="R43" s="9">
        <v>4376</v>
      </c>
      <c r="S43" s="9">
        <v>4309.3599999999997</v>
      </c>
      <c r="T43" s="9">
        <v>4142.3599999999997</v>
      </c>
      <c r="U43" s="9">
        <v>16852.21</v>
      </c>
      <c r="V43" s="9">
        <v>4530</v>
      </c>
      <c r="W43" s="9">
        <v>4754.99</v>
      </c>
      <c r="X43" s="9">
        <v>4684.12</v>
      </c>
      <c r="Y43" s="9">
        <v>4503.24</v>
      </c>
      <c r="Z43" s="9">
        <v>18688.21</v>
      </c>
      <c r="AA43" s="9">
        <v>4898.0200000000004</v>
      </c>
      <c r="AB43" s="9">
        <v>5159.29</v>
      </c>
      <c r="AC43" s="9">
        <v>5075.01</v>
      </c>
      <c r="AD43" s="9">
        <v>4872.54</v>
      </c>
      <c r="AE43" s="9">
        <v>20282.099999999999</v>
      </c>
    </row>
    <row r="44" spans="1:31" x14ac:dyDescent="0.25">
      <c r="A44" s="4" t="s">
        <v>167</v>
      </c>
      <c r="B44" s="8" t="s">
        <v>54</v>
      </c>
      <c r="C44" s="8" t="s">
        <v>54</v>
      </c>
      <c r="D44" s="8" t="s">
        <v>54</v>
      </c>
      <c r="E44" s="8" t="s">
        <v>54</v>
      </c>
      <c r="F44" s="8" t="s">
        <v>54</v>
      </c>
      <c r="G44" s="8" t="s">
        <v>54</v>
      </c>
      <c r="H44" s="8" t="s">
        <v>54</v>
      </c>
      <c r="I44" s="8" t="s">
        <v>54</v>
      </c>
      <c r="J44" s="8" t="s">
        <v>54</v>
      </c>
      <c r="K44" s="8" t="s">
        <v>54</v>
      </c>
      <c r="L44" s="8" t="s">
        <v>54</v>
      </c>
      <c r="M44" s="8" t="s">
        <v>54</v>
      </c>
      <c r="N44" s="8" t="s">
        <v>54</v>
      </c>
      <c r="O44" s="8" t="s">
        <v>54</v>
      </c>
      <c r="P44" s="8" t="s">
        <v>54</v>
      </c>
      <c r="Q44" s="8" t="s">
        <v>54</v>
      </c>
      <c r="R44" s="8" t="s">
        <v>54</v>
      </c>
      <c r="S44" s="8" t="s">
        <v>54</v>
      </c>
      <c r="T44" s="8" t="s">
        <v>54</v>
      </c>
      <c r="U44" s="8" t="s">
        <v>54</v>
      </c>
      <c r="V44" s="8" t="s">
        <v>54</v>
      </c>
      <c r="W44" s="8" t="s">
        <v>54</v>
      </c>
      <c r="X44" s="8" t="s">
        <v>54</v>
      </c>
      <c r="Y44" s="8" t="s">
        <v>54</v>
      </c>
      <c r="Z44" s="8" t="s">
        <v>54</v>
      </c>
      <c r="AA44" s="8" t="s">
        <v>54</v>
      </c>
      <c r="AB44" s="8" t="s">
        <v>54</v>
      </c>
      <c r="AC44" s="8" t="s">
        <v>54</v>
      </c>
      <c r="AD44" s="8" t="s">
        <v>54</v>
      </c>
      <c r="AE44" s="8" t="s">
        <v>54</v>
      </c>
    </row>
    <row r="45" spans="1:31" x14ac:dyDescent="0.25">
      <c r="A45" s="4" t="s">
        <v>166</v>
      </c>
      <c r="B45" s="9">
        <v>2953</v>
      </c>
      <c r="C45" s="9">
        <v>3222</v>
      </c>
      <c r="D45" s="9">
        <v>2714</v>
      </c>
      <c r="E45" s="9">
        <v>2103</v>
      </c>
      <c r="F45" s="9">
        <v>10992</v>
      </c>
      <c r="G45" s="9">
        <v>2504</v>
      </c>
      <c r="H45" s="9">
        <v>3239</v>
      </c>
      <c r="I45" s="9">
        <v>3134.01</v>
      </c>
      <c r="J45" s="9">
        <v>2948.95</v>
      </c>
      <c r="K45" s="9">
        <v>11815.28</v>
      </c>
      <c r="L45" s="9">
        <v>3503.34</v>
      </c>
      <c r="M45" s="9">
        <v>3773.14</v>
      </c>
      <c r="N45" s="9">
        <v>3806.63</v>
      </c>
      <c r="O45" s="9">
        <v>3618.22</v>
      </c>
      <c r="P45" s="9">
        <v>14548.17</v>
      </c>
      <c r="Q45" s="9">
        <v>4174.21</v>
      </c>
      <c r="R45" s="9">
        <v>4376</v>
      </c>
      <c r="S45" s="9">
        <v>4309.3599999999997</v>
      </c>
      <c r="T45" s="9">
        <v>4142.3599999999997</v>
      </c>
      <c r="U45" s="9">
        <v>16852.21</v>
      </c>
      <c r="V45" s="9">
        <v>4530</v>
      </c>
      <c r="W45" s="9">
        <v>4754.99</v>
      </c>
      <c r="X45" s="9">
        <v>4684.12</v>
      </c>
      <c r="Y45" s="9">
        <v>4503.24</v>
      </c>
      <c r="Z45" s="9">
        <v>18688.21</v>
      </c>
      <c r="AA45" s="9">
        <v>4898.0200000000004</v>
      </c>
      <c r="AB45" s="9">
        <v>5159.29</v>
      </c>
      <c r="AC45" s="9">
        <v>5075.01</v>
      </c>
      <c r="AD45" s="9">
        <v>4872.54</v>
      </c>
      <c r="AE45" s="9">
        <v>20282.099999999999</v>
      </c>
    </row>
    <row r="46" spans="1:31" x14ac:dyDescent="0.25">
      <c r="A46" s="4" t="s">
        <v>165</v>
      </c>
      <c r="B46" s="9">
        <v>2.59</v>
      </c>
      <c r="C46" s="9">
        <v>2.84</v>
      </c>
      <c r="D46" s="9">
        <v>2.42</v>
      </c>
      <c r="E46" s="9">
        <v>1.89</v>
      </c>
      <c r="F46" s="9">
        <v>9.74</v>
      </c>
      <c r="G46" s="9">
        <v>2.2799999999999998</v>
      </c>
      <c r="H46" s="9">
        <v>2.99</v>
      </c>
      <c r="I46" s="9">
        <v>2.91</v>
      </c>
      <c r="J46" s="9">
        <v>2.79</v>
      </c>
      <c r="K46" s="9">
        <v>10.94</v>
      </c>
      <c r="L46" s="9">
        <v>3.39</v>
      </c>
      <c r="M46" s="9">
        <v>3.71</v>
      </c>
      <c r="N46" s="9">
        <v>3.8</v>
      </c>
      <c r="O46" s="9">
        <v>3.68</v>
      </c>
      <c r="P46" s="9">
        <v>14.29</v>
      </c>
      <c r="Q46" s="9">
        <v>4.2699999999999996</v>
      </c>
      <c r="R46" s="9">
        <v>4.55</v>
      </c>
      <c r="S46" s="9">
        <v>4.5599999999999996</v>
      </c>
      <c r="T46" s="9">
        <v>4.47</v>
      </c>
      <c r="U46" s="9">
        <v>17.510000000000002</v>
      </c>
      <c r="V46" s="9">
        <v>5.01</v>
      </c>
      <c r="W46" s="9">
        <v>5.36</v>
      </c>
      <c r="X46" s="9">
        <v>5.38</v>
      </c>
      <c r="Y46" s="9">
        <v>5.29</v>
      </c>
      <c r="Z46" s="9">
        <v>21.07</v>
      </c>
      <c r="AA46" s="9">
        <v>5.73</v>
      </c>
      <c r="AB46" s="9">
        <v>6.12</v>
      </c>
      <c r="AC46" s="9">
        <v>6.14</v>
      </c>
      <c r="AD46" s="9">
        <v>6</v>
      </c>
      <c r="AE46" s="9">
        <v>24.38</v>
      </c>
    </row>
    <row r="47" spans="1:31" x14ac:dyDescent="0.25">
      <c r="A47" s="4" t="s">
        <v>164</v>
      </c>
      <c r="B47" s="9">
        <v>2.58</v>
      </c>
      <c r="C47" s="9">
        <v>2.84</v>
      </c>
      <c r="D47" s="9">
        <v>2.41</v>
      </c>
      <c r="E47" s="9">
        <v>1.88</v>
      </c>
      <c r="F47" s="9">
        <v>9.7200000000000006</v>
      </c>
      <c r="G47" s="9">
        <v>2.27</v>
      </c>
      <c r="H47" s="9">
        <v>2.99</v>
      </c>
      <c r="I47" s="9">
        <v>2.92</v>
      </c>
      <c r="J47" s="9">
        <v>2.78</v>
      </c>
      <c r="K47" s="9">
        <v>10.94</v>
      </c>
      <c r="L47" s="9">
        <v>3.34</v>
      </c>
      <c r="M47" s="9">
        <v>3.65</v>
      </c>
      <c r="N47" s="9">
        <v>3.73</v>
      </c>
      <c r="O47" s="9">
        <v>3.6</v>
      </c>
      <c r="P47" s="9">
        <v>14.06</v>
      </c>
      <c r="Q47" s="9">
        <v>4.26</v>
      </c>
      <c r="R47" s="9">
        <v>4.55</v>
      </c>
      <c r="S47" s="9">
        <v>4.5599999999999996</v>
      </c>
      <c r="T47" s="9">
        <v>4.46</v>
      </c>
      <c r="U47" s="9">
        <v>17.170000000000002</v>
      </c>
      <c r="V47" s="9">
        <v>5.01</v>
      </c>
      <c r="W47" s="9">
        <v>5.35</v>
      </c>
      <c r="X47" s="9">
        <v>5.38</v>
      </c>
      <c r="Y47" s="9">
        <v>5.28</v>
      </c>
      <c r="Z47" s="9">
        <v>20.38</v>
      </c>
      <c r="AA47" s="9">
        <v>5.72</v>
      </c>
      <c r="AB47" s="9">
        <v>6.12</v>
      </c>
      <c r="AC47" s="9">
        <v>6.13</v>
      </c>
      <c r="AD47" s="9">
        <v>6</v>
      </c>
      <c r="AE47" s="9">
        <v>23.38</v>
      </c>
    </row>
    <row r="48" spans="1:31" x14ac:dyDescent="0.25">
      <c r="A48" s="4" t="s">
        <v>163</v>
      </c>
      <c r="B48" s="9">
        <v>1140.54</v>
      </c>
      <c r="C48" s="9">
        <v>1132.76</v>
      </c>
      <c r="D48" s="9">
        <v>1123.75</v>
      </c>
      <c r="E48" s="9">
        <v>1115.21</v>
      </c>
      <c r="F48" s="9">
        <v>1128.07</v>
      </c>
      <c r="G48" s="9">
        <v>1100.17</v>
      </c>
      <c r="H48" s="9">
        <v>1081.77</v>
      </c>
      <c r="I48" s="9">
        <v>1069.6500000000001</v>
      </c>
      <c r="J48" s="9">
        <v>1055.3599999999999</v>
      </c>
      <c r="K48" s="9">
        <v>1077.8699999999999</v>
      </c>
      <c r="L48" s="9">
        <v>1041.98</v>
      </c>
      <c r="M48" s="9">
        <v>1028.19</v>
      </c>
      <c r="N48" s="9">
        <v>1014.05</v>
      </c>
      <c r="O48" s="9">
        <v>1000.13</v>
      </c>
      <c r="P48" s="9">
        <v>1029.04</v>
      </c>
      <c r="Q48" s="9">
        <v>978</v>
      </c>
      <c r="R48" s="9">
        <v>961.48</v>
      </c>
      <c r="S48" s="9">
        <v>945.26</v>
      </c>
      <c r="T48" s="9">
        <v>929.34</v>
      </c>
      <c r="U48" s="9">
        <v>975.06</v>
      </c>
      <c r="V48" s="9">
        <v>906.35</v>
      </c>
      <c r="W48" s="9">
        <v>889.58</v>
      </c>
      <c r="X48" s="9">
        <v>873.04</v>
      </c>
      <c r="Y48" s="9">
        <v>856.72</v>
      </c>
      <c r="Z48" s="9">
        <v>906.42</v>
      </c>
      <c r="AA48" s="9">
        <v>860.24</v>
      </c>
      <c r="AB48" s="9">
        <v>845.64</v>
      </c>
      <c r="AC48" s="9">
        <v>831.32</v>
      </c>
      <c r="AD48" s="9">
        <v>817.25</v>
      </c>
      <c r="AE48" s="9">
        <v>859.71</v>
      </c>
    </row>
    <row r="49" spans="1:31" x14ac:dyDescent="0.25">
      <c r="A49" s="4" t="s">
        <v>162</v>
      </c>
      <c r="B49" s="9">
        <v>1144.6600000000001</v>
      </c>
      <c r="C49" s="9">
        <v>1134.8499999999999</v>
      </c>
      <c r="D49" s="9">
        <v>1126.6300000000001</v>
      </c>
      <c r="E49" s="9">
        <v>1117.3900000000001</v>
      </c>
      <c r="F49" s="9">
        <v>1130.8800000000001</v>
      </c>
      <c r="G49" s="9">
        <v>1102.05</v>
      </c>
      <c r="H49" s="9">
        <v>1082.4100000000001</v>
      </c>
      <c r="I49" s="9">
        <v>1071.1500000000001</v>
      </c>
      <c r="J49" s="9">
        <v>1058.52</v>
      </c>
      <c r="K49" s="9">
        <v>1078.3599999999999</v>
      </c>
      <c r="L49" s="9">
        <v>1046.47</v>
      </c>
      <c r="M49" s="9">
        <v>1033.51</v>
      </c>
      <c r="N49" s="9">
        <v>1020.72</v>
      </c>
      <c r="O49" s="9">
        <v>1007.97</v>
      </c>
      <c r="P49" s="9">
        <v>1033.07</v>
      </c>
      <c r="Q49" s="9">
        <v>978.83</v>
      </c>
      <c r="R49" s="9">
        <v>962.1</v>
      </c>
      <c r="S49" s="9">
        <v>946.25</v>
      </c>
      <c r="T49" s="9">
        <v>930.22</v>
      </c>
      <c r="U49" s="9">
        <v>980.52</v>
      </c>
      <c r="V49" s="9">
        <v>907.22</v>
      </c>
      <c r="W49" s="9">
        <v>890.2</v>
      </c>
      <c r="X49" s="9">
        <v>874.09</v>
      </c>
      <c r="Y49" s="9">
        <v>857.64</v>
      </c>
      <c r="Z49" s="9">
        <v>918.98</v>
      </c>
      <c r="AA49" s="9">
        <v>861.15</v>
      </c>
      <c r="AB49" s="9">
        <v>846.24</v>
      </c>
      <c r="AC49" s="9">
        <v>832.46</v>
      </c>
      <c r="AD49" s="9">
        <v>818.23</v>
      </c>
      <c r="AE49" s="9">
        <v>874.56</v>
      </c>
    </row>
    <row r="50" spans="1:31" x14ac:dyDescent="0.25">
      <c r="A50" s="4" t="s">
        <v>161</v>
      </c>
      <c r="B50" s="9">
        <v>0.88</v>
      </c>
      <c r="C50" s="9">
        <v>0.88</v>
      </c>
      <c r="D50" s="9">
        <v>0.88</v>
      </c>
      <c r="E50" s="9">
        <v>1.02</v>
      </c>
      <c r="F50" s="9">
        <v>3.66</v>
      </c>
      <c r="G50" s="9">
        <v>1.02</v>
      </c>
      <c r="H50" s="9">
        <v>1.02</v>
      </c>
      <c r="I50" s="9">
        <v>1.01</v>
      </c>
      <c r="J50" s="9">
        <v>1.1100000000000001</v>
      </c>
      <c r="K50" s="9">
        <v>4.16</v>
      </c>
      <c r="L50" s="9">
        <v>1.1399999999999999</v>
      </c>
      <c r="M50" s="9">
        <v>1.1399999999999999</v>
      </c>
      <c r="N50" s="9">
        <v>1.1299999999999999</v>
      </c>
      <c r="O50" s="9">
        <v>1.22</v>
      </c>
      <c r="P50" s="9">
        <v>4.6900000000000004</v>
      </c>
      <c r="Q50" s="9">
        <v>1.28</v>
      </c>
      <c r="R50" s="9">
        <v>1.28</v>
      </c>
      <c r="S50" s="9">
        <v>1.27</v>
      </c>
      <c r="T50" s="9">
        <v>1.41</v>
      </c>
      <c r="U50" s="9">
        <v>5.32</v>
      </c>
      <c r="V50" s="9">
        <v>1.45</v>
      </c>
      <c r="W50" s="9">
        <v>1.45</v>
      </c>
      <c r="X50" s="9">
        <v>1.44</v>
      </c>
      <c r="Y50" s="9">
        <v>1.6</v>
      </c>
      <c r="Z50" s="9">
        <v>6.05</v>
      </c>
      <c r="AA50" s="9">
        <v>1.59</v>
      </c>
      <c r="AB50" s="9">
        <v>1.59</v>
      </c>
      <c r="AC50" s="9">
        <v>1.57</v>
      </c>
      <c r="AD50" s="9">
        <v>1.72</v>
      </c>
      <c r="AE50" s="9">
        <v>6.82</v>
      </c>
    </row>
    <row r="51" spans="1:31" x14ac:dyDescent="0.25">
      <c r="A51" s="4" t="s">
        <v>65</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25">
      <c r="A52" s="4" t="s">
        <v>160</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spans="1:31" x14ac:dyDescent="0.25">
      <c r="A53" s="4" t="s">
        <v>159</v>
      </c>
      <c r="B53" s="9">
        <v>1137.3399999999999</v>
      </c>
      <c r="C53" s="9">
        <v>1127.45</v>
      </c>
      <c r="D53" s="9">
        <v>1118.51</v>
      </c>
      <c r="E53" s="9">
        <v>1106.93</v>
      </c>
      <c r="F53" s="9">
        <v>1109.2</v>
      </c>
      <c r="G53" s="9">
        <v>1085.8699999999999</v>
      </c>
      <c r="H53" s="9">
        <v>1074.82</v>
      </c>
      <c r="I53" s="9">
        <v>1062.03</v>
      </c>
      <c r="J53" s="9">
        <v>1048.8</v>
      </c>
      <c r="K53" s="9">
        <v>1049.1600000000001</v>
      </c>
      <c r="L53" s="9">
        <v>1031.1099999999999</v>
      </c>
      <c r="M53" s="9">
        <v>1014.94</v>
      </c>
      <c r="N53" s="9">
        <v>998.96</v>
      </c>
      <c r="O53" s="9">
        <v>984.27</v>
      </c>
      <c r="P53" s="9">
        <v>993.01</v>
      </c>
      <c r="Q53" s="9">
        <v>973.34</v>
      </c>
      <c r="R53" s="9">
        <v>954.26</v>
      </c>
      <c r="S53" s="9">
        <v>935.58</v>
      </c>
      <c r="T53" s="9">
        <v>917.31</v>
      </c>
      <c r="U53" s="9">
        <v>928.28</v>
      </c>
      <c r="V53" s="9">
        <v>898.79</v>
      </c>
      <c r="W53" s="9">
        <v>880.59</v>
      </c>
      <c r="X53" s="9">
        <v>862.67</v>
      </c>
      <c r="Y53" s="9">
        <v>845.05</v>
      </c>
      <c r="Z53" s="9">
        <v>864.49</v>
      </c>
      <c r="AA53" s="9">
        <v>827.73</v>
      </c>
      <c r="AB53" s="9">
        <v>810.71</v>
      </c>
      <c r="AC53" s="9">
        <v>793.96</v>
      </c>
      <c r="AD53" s="9">
        <v>777.49</v>
      </c>
      <c r="AE53" s="9">
        <v>802.61</v>
      </c>
    </row>
  </sheetData>
  <mergeCells count="1">
    <mergeCell ref="A1:D1"/>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0923-338F-4CB2-80B6-690B92AA4439}">
  <dimension ref="A1:AE67"/>
  <sheetViews>
    <sheetView workbookViewId="0">
      <selection sqref="A1:D1"/>
    </sheetView>
  </sheetViews>
  <sheetFormatPr defaultRowHeight="15" x14ac:dyDescent="0.25"/>
  <cols>
    <col min="1" max="1" width="48.5703125" customWidth="1"/>
    <col min="2" max="5" width="18.42578125" customWidth="1"/>
    <col min="6" max="6" width="17.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5"/>
      <c r="B1" s="45"/>
      <c r="C1" s="45"/>
      <c r="D1" s="45"/>
    </row>
    <row r="2" spans="1:31" ht="30" customHeight="1" x14ac:dyDescent="0.3">
      <c r="A2" s="1" t="s">
        <v>158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3" t="s">
        <v>157</v>
      </c>
      <c r="B16" s="9">
        <v>12003</v>
      </c>
      <c r="C16" s="9">
        <v>10259</v>
      </c>
      <c r="D16" s="9">
        <v>3310</v>
      </c>
      <c r="E16" s="9">
        <v>5598</v>
      </c>
      <c r="F16" s="9">
        <v>5598</v>
      </c>
      <c r="G16" s="9">
        <v>3520</v>
      </c>
      <c r="H16" s="9">
        <v>2825</v>
      </c>
      <c r="I16" s="9">
        <v>4728.7299999999996</v>
      </c>
      <c r="J16" s="9">
        <v>5216.03</v>
      </c>
      <c r="K16" s="9">
        <v>5351.87</v>
      </c>
      <c r="L16" s="9">
        <v>8699.42</v>
      </c>
      <c r="M16" s="9">
        <v>9430.65</v>
      </c>
      <c r="N16" s="9">
        <v>9096.6200000000008</v>
      </c>
      <c r="O16" s="9">
        <v>9315.24</v>
      </c>
      <c r="P16" s="9">
        <v>8315.52</v>
      </c>
      <c r="Q16" s="9">
        <v>8244.19</v>
      </c>
      <c r="R16" s="9">
        <v>7937.68</v>
      </c>
      <c r="S16" s="9">
        <v>7596.73</v>
      </c>
      <c r="T16" s="9">
        <v>5899.04</v>
      </c>
      <c r="U16" s="9">
        <v>9036.0300000000007</v>
      </c>
      <c r="V16" s="9">
        <v>7446.47</v>
      </c>
      <c r="W16" s="9">
        <v>7679.96</v>
      </c>
      <c r="X16" s="9">
        <v>7829.76</v>
      </c>
      <c r="Y16" s="9">
        <v>7608.76</v>
      </c>
      <c r="Z16" s="9">
        <v>10285.84</v>
      </c>
      <c r="AA16" s="9">
        <v>5920.99</v>
      </c>
      <c r="AB16" s="9">
        <v>6358.89</v>
      </c>
      <c r="AC16" s="9">
        <v>9296.73</v>
      </c>
      <c r="AD16" s="9">
        <v>7736.44</v>
      </c>
      <c r="AE16" s="9">
        <v>11296.67</v>
      </c>
    </row>
    <row r="17" spans="1:31" x14ac:dyDescent="0.25">
      <c r="A17" s="3" t="s">
        <v>156</v>
      </c>
      <c r="B17" s="8" t="s">
        <v>54</v>
      </c>
      <c r="C17" s="8" t="s">
        <v>54</v>
      </c>
      <c r="D17" s="8" t="s">
        <v>54</v>
      </c>
      <c r="E17" s="8" t="s">
        <v>54</v>
      </c>
      <c r="F17" s="8" t="s">
        <v>54</v>
      </c>
      <c r="G17" s="8" t="s">
        <v>54</v>
      </c>
      <c r="H17" s="8" t="s">
        <v>54</v>
      </c>
      <c r="I17" s="8" t="s">
        <v>54</v>
      </c>
      <c r="J17" s="8" t="s">
        <v>54</v>
      </c>
      <c r="K17" s="8" t="s">
        <v>54</v>
      </c>
      <c r="L17" s="8" t="s">
        <v>54</v>
      </c>
      <c r="M17" s="8" t="s">
        <v>54</v>
      </c>
      <c r="N17" s="8" t="s">
        <v>54</v>
      </c>
      <c r="O17" s="8" t="s">
        <v>54</v>
      </c>
      <c r="P17" s="8" t="s">
        <v>54</v>
      </c>
      <c r="Q17" s="8" t="s">
        <v>54</v>
      </c>
      <c r="R17" s="8" t="s">
        <v>54</v>
      </c>
      <c r="S17" s="8" t="s">
        <v>54</v>
      </c>
      <c r="T17" s="8" t="s">
        <v>54</v>
      </c>
      <c r="U17" s="8" t="s">
        <v>54</v>
      </c>
      <c r="V17" s="8" t="s">
        <v>54</v>
      </c>
      <c r="W17" s="8" t="s">
        <v>54</v>
      </c>
      <c r="X17" s="8" t="s">
        <v>54</v>
      </c>
      <c r="Y17" s="8" t="s">
        <v>54</v>
      </c>
      <c r="Z17" s="8" t="s">
        <v>54</v>
      </c>
      <c r="AA17" s="8" t="s">
        <v>54</v>
      </c>
      <c r="AB17" s="8" t="s">
        <v>54</v>
      </c>
      <c r="AC17" s="8" t="s">
        <v>54</v>
      </c>
      <c r="AD17" s="8" t="s">
        <v>54</v>
      </c>
      <c r="AE17" s="8" t="s">
        <v>54</v>
      </c>
    </row>
    <row r="18" spans="1:31" x14ac:dyDescent="0.25">
      <c r="A18" s="3" t="s">
        <v>155</v>
      </c>
      <c r="B18" s="9">
        <v>4392</v>
      </c>
      <c r="C18" s="9">
        <v>4598</v>
      </c>
      <c r="D18" s="9">
        <v>5084</v>
      </c>
      <c r="E18" s="9">
        <v>4874</v>
      </c>
      <c r="F18" s="9">
        <v>4874</v>
      </c>
      <c r="G18" s="9">
        <v>4866</v>
      </c>
      <c r="H18" s="9">
        <v>5247</v>
      </c>
      <c r="I18" s="9">
        <v>5392.12</v>
      </c>
      <c r="J18" s="9">
        <v>5536.13</v>
      </c>
      <c r="K18" s="9">
        <v>5536.98</v>
      </c>
      <c r="L18" s="9">
        <v>5642.41</v>
      </c>
      <c r="M18" s="9">
        <v>5772.66</v>
      </c>
      <c r="N18" s="9">
        <v>5837.42</v>
      </c>
      <c r="O18" s="9">
        <v>5913.47</v>
      </c>
      <c r="P18" s="9">
        <v>5954.34</v>
      </c>
      <c r="Q18" s="9">
        <v>5741.28</v>
      </c>
      <c r="R18" s="9">
        <v>5849.9</v>
      </c>
      <c r="S18" s="9">
        <v>5982.23</v>
      </c>
      <c r="T18" s="9">
        <v>5973.62</v>
      </c>
      <c r="U18" s="9">
        <v>6114.66</v>
      </c>
      <c r="V18" s="9">
        <v>6519.53</v>
      </c>
      <c r="W18" s="9">
        <v>6639.53</v>
      </c>
      <c r="X18" s="9">
        <v>6793.94</v>
      </c>
      <c r="Y18" s="9">
        <v>6772.92</v>
      </c>
      <c r="Z18" s="9">
        <v>6727.32</v>
      </c>
      <c r="AA18" s="9">
        <v>6979.98</v>
      </c>
      <c r="AB18" s="9">
        <v>7094.89</v>
      </c>
      <c r="AC18" s="9">
        <v>7248.91</v>
      </c>
      <c r="AD18" s="9">
        <v>7228.46</v>
      </c>
      <c r="AE18" s="9">
        <v>7152.9</v>
      </c>
    </row>
    <row r="19" spans="1:31" x14ac:dyDescent="0.25">
      <c r="A19" s="3" t="s">
        <v>154</v>
      </c>
      <c r="B19" s="9">
        <v>4294</v>
      </c>
      <c r="C19" s="9">
        <v>4226</v>
      </c>
      <c r="D19" s="9">
        <v>4599</v>
      </c>
      <c r="E19" s="9">
        <v>4997</v>
      </c>
      <c r="F19" s="9">
        <v>4997</v>
      </c>
      <c r="G19" s="9">
        <v>4935</v>
      </c>
      <c r="H19" s="9">
        <v>4715</v>
      </c>
      <c r="I19" s="9">
        <v>4661.09</v>
      </c>
      <c r="J19" s="9">
        <v>5072.17</v>
      </c>
      <c r="K19" s="9">
        <v>5113.72</v>
      </c>
      <c r="L19" s="9">
        <v>5041.01</v>
      </c>
      <c r="M19" s="9">
        <v>4904.79</v>
      </c>
      <c r="N19" s="9">
        <v>4880.47</v>
      </c>
      <c r="O19" s="9">
        <v>5243.62</v>
      </c>
      <c r="P19" s="9">
        <v>5297.49</v>
      </c>
      <c r="Q19" s="9">
        <v>5177.88</v>
      </c>
      <c r="R19" s="9">
        <v>5076.03</v>
      </c>
      <c r="S19" s="9">
        <v>5067.3</v>
      </c>
      <c r="T19" s="9">
        <v>5319.7</v>
      </c>
      <c r="U19" s="9">
        <v>5512.95</v>
      </c>
      <c r="V19" s="9">
        <v>5489.42</v>
      </c>
      <c r="W19" s="9">
        <v>5349.25</v>
      </c>
      <c r="X19" s="9">
        <v>5329.55</v>
      </c>
      <c r="Y19" s="9">
        <v>5633.64</v>
      </c>
      <c r="Z19" s="9">
        <v>5805.08</v>
      </c>
      <c r="AA19" s="9">
        <v>5663.69</v>
      </c>
      <c r="AB19" s="9">
        <v>5512.49</v>
      </c>
      <c r="AC19" s="9">
        <v>5485.81</v>
      </c>
      <c r="AD19" s="9">
        <v>5784.64</v>
      </c>
      <c r="AE19" s="9">
        <v>6046.16</v>
      </c>
    </row>
    <row r="20" spans="1:31" x14ac:dyDescent="0.25">
      <c r="A20" s="4" t="s">
        <v>153</v>
      </c>
      <c r="B20" s="9">
        <v>8686</v>
      </c>
      <c r="C20" s="9">
        <v>8824</v>
      </c>
      <c r="D20" s="9">
        <v>9683</v>
      </c>
      <c r="E20" s="9">
        <v>9871</v>
      </c>
      <c r="F20" s="9">
        <v>9871</v>
      </c>
      <c r="G20" s="9">
        <v>9801</v>
      </c>
      <c r="H20" s="9">
        <v>9962</v>
      </c>
      <c r="I20" s="9">
        <v>9961.58</v>
      </c>
      <c r="J20" s="9">
        <v>10500.54</v>
      </c>
      <c r="K20" s="9">
        <v>10557.3</v>
      </c>
      <c r="L20" s="9">
        <v>10683.42</v>
      </c>
      <c r="M20" s="9">
        <v>10677.45</v>
      </c>
      <c r="N20" s="9">
        <v>10717.88</v>
      </c>
      <c r="O20" s="9">
        <v>11157.09</v>
      </c>
      <c r="P20" s="9">
        <v>11094.28</v>
      </c>
      <c r="Q20" s="9">
        <v>10919.16</v>
      </c>
      <c r="R20" s="9">
        <v>10925.93</v>
      </c>
      <c r="S20" s="9">
        <v>11049.53</v>
      </c>
      <c r="T20" s="9">
        <v>11293.32</v>
      </c>
      <c r="U20" s="9">
        <v>11371.8</v>
      </c>
      <c r="V20" s="9">
        <v>12008.95</v>
      </c>
      <c r="W20" s="9">
        <v>11988.78</v>
      </c>
      <c r="X20" s="9">
        <v>12123.49</v>
      </c>
      <c r="Y20" s="9">
        <v>12406.56</v>
      </c>
      <c r="Z20" s="9">
        <v>12081.41</v>
      </c>
      <c r="AA20" s="9">
        <v>12643.67</v>
      </c>
      <c r="AB20" s="9">
        <v>12607.38</v>
      </c>
      <c r="AC20" s="9">
        <v>12734.72</v>
      </c>
      <c r="AD20" s="9">
        <v>13013.1</v>
      </c>
      <c r="AE20" s="9">
        <v>12594.03</v>
      </c>
    </row>
    <row r="21" spans="1:31" x14ac:dyDescent="0.25">
      <c r="A21" s="3" t="s">
        <v>152</v>
      </c>
      <c r="B21" s="9">
        <v>1937</v>
      </c>
      <c r="C21" s="9">
        <v>1690</v>
      </c>
      <c r="D21" s="9">
        <v>2370</v>
      </c>
      <c r="E21" s="9">
        <v>2405</v>
      </c>
      <c r="F21" s="9">
        <v>2405</v>
      </c>
      <c r="G21" s="9">
        <v>2327</v>
      </c>
      <c r="H21" s="9">
        <v>2191</v>
      </c>
      <c r="I21" s="9">
        <v>2281.0300000000002</v>
      </c>
      <c r="J21" s="9">
        <v>2555.6</v>
      </c>
      <c r="K21" s="9">
        <v>2511.41</v>
      </c>
      <c r="L21" s="9">
        <v>2373.09</v>
      </c>
      <c r="M21" s="9">
        <v>2245.89</v>
      </c>
      <c r="N21" s="9">
        <v>2381.86</v>
      </c>
      <c r="O21" s="9">
        <v>2687.11</v>
      </c>
      <c r="P21" s="9">
        <v>2645.54</v>
      </c>
      <c r="Q21" s="9">
        <v>2382.92</v>
      </c>
      <c r="R21" s="9">
        <v>2319.71</v>
      </c>
      <c r="S21" s="9">
        <v>2477.2600000000002</v>
      </c>
      <c r="T21" s="9">
        <v>2444.71</v>
      </c>
      <c r="U21" s="9">
        <v>2848.42</v>
      </c>
      <c r="V21" s="9">
        <v>2482.4</v>
      </c>
      <c r="W21" s="9">
        <v>2395.9</v>
      </c>
      <c r="X21" s="9">
        <v>2589.64</v>
      </c>
      <c r="Y21" s="9">
        <v>2543.83</v>
      </c>
      <c r="Z21" s="9">
        <v>3095.85</v>
      </c>
      <c r="AA21" s="9">
        <v>2557.84</v>
      </c>
      <c r="AB21" s="9">
        <v>2468.5100000000002</v>
      </c>
      <c r="AC21" s="9">
        <v>2663.39</v>
      </c>
      <c r="AD21" s="9">
        <v>2617.56</v>
      </c>
      <c r="AE21" s="9">
        <v>3279.41</v>
      </c>
    </row>
    <row r="22" spans="1:31" x14ac:dyDescent="0.25">
      <c r="A22" s="3" t="s">
        <v>151</v>
      </c>
      <c r="B22" s="9">
        <v>980</v>
      </c>
      <c r="C22" s="9">
        <v>1125</v>
      </c>
      <c r="D22" s="9">
        <v>1128</v>
      </c>
      <c r="E22" s="9">
        <v>1215</v>
      </c>
      <c r="F22" s="9">
        <v>1215</v>
      </c>
      <c r="G22" s="9">
        <v>1067</v>
      </c>
      <c r="H22" s="9">
        <v>1027</v>
      </c>
      <c r="I22" s="9">
        <v>1024.92</v>
      </c>
      <c r="J22" s="9">
        <v>1066.3900000000001</v>
      </c>
      <c r="K22" s="9">
        <v>1084.5</v>
      </c>
      <c r="L22" s="9">
        <v>1035.79</v>
      </c>
      <c r="M22" s="9">
        <v>1029.1600000000001</v>
      </c>
      <c r="N22" s="9">
        <v>1042.73</v>
      </c>
      <c r="O22" s="9">
        <v>1044.51</v>
      </c>
      <c r="P22" s="9">
        <v>1097.98</v>
      </c>
      <c r="Q22" s="9">
        <v>1081.6400000000001</v>
      </c>
      <c r="R22" s="9">
        <v>1062.47</v>
      </c>
      <c r="S22" s="9">
        <v>1086.1199999999999</v>
      </c>
      <c r="T22" s="9">
        <v>1108.8900000000001</v>
      </c>
      <c r="U22" s="9">
        <v>1163.1600000000001</v>
      </c>
      <c r="V22" s="9">
        <v>1176.2</v>
      </c>
      <c r="W22" s="9">
        <v>1140.57</v>
      </c>
      <c r="X22" s="9">
        <v>1173.06</v>
      </c>
      <c r="Y22" s="9">
        <v>1205.2</v>
      </c>
      <c r="Z22" s="9">
        <v>1145.72</v>
      </c>
      <c r="AA22" s="9">
        <v>1227.9100000000001</v>
      </c>
      <c r="AB22" s="9">
        <v>1189.3399999999999</v>
      </c>
      <c r="AC22" s="9">
        <v>1222.67</v>
      </c>
      <c r="AD22" s="9">
        <v>1257.08</v>
      </c>
      <c r="AE22" s="9">
        <v>1181.56</v>
      </c>
    </row>
    <row r="23" spans="1:31" x14ac:dyDescent="0.25">
      <c r="A23" s="3" t="s">
        <v>150</v>
      </c>
      <c r="B23" s="8" t="s">
        <v>54</v>
      </c>
      <c r="C23" s="8" t="s">
        <v>54</v>
      </c>
      <c r="D23" s="8" t="s">
        <v>54</v>
      </c>
      <c r="E23" s="8" t="s">
        <v>54</v>
      </c>
      <c r="F23" s="8" t="s">
        <v>54</v>
      </c>
      <c r="G23" s="8" t="s">
        <v>54</v>
      </c>
      <c r="H23" s="8" t="s">
        <v>54</v>
      </c>
      <c r="I23" s="8" t="s">
        <v>54</v>
      </c>
      <c r="J23" s="8" t="s">
        <v>54</v>
      </c>
      <c r="K23" s="8" t="s">
        <v>54</v>
      </c>
      <c r="L23" s="8" t="s">
        <v>54</v>
      </c>
      <c r="M23" s="8" t="s">
        <v>54</v>
      </c>
      <c r="N23" s="8" t="s">
        <v>54</v>
      </c>
      <c r="O23" s="8" t="s">
        <v>54</v>
      </c>
      <c r="P23" s="8" t="s">
        <v>54</v>
      </c>
      <c r="Q23" s="8" t="s">
        <v>54</v>
      </c>
      <c r="R23" s="8" t="s">
        <v>54</v>
      </c>
      <c r="S23" s="8" t="s">
        <v>54</v>
      </c>
      <c r="T23" s="8" t="s">
        <v>54</v>
      </c>
      <c r="U23" s="8" t="s">
        <v>54</v>
      </c>
      <c r="V23" s="8" t="s">
        <v>54</v>
      </c>
      <c r="W23" s="8" t="s">
        <v>54</v>
      </c>
      <c r="X23" s="8" t="s">
        <v>54</v>
      </c>
      <c r="Y23" s="8" t="s">
        <v>54</v>
      </c>
      <c r="Z23" s="8" t="s">
        <v>54</v>
      </c>
      <c r="AA23" s="8" t="s">
        <v>54</v>
      </c>
      <c r="AB23" s="8" t="s">
        <v>54</v>
      </c>
      <c r="AC23" s="8" t="s">
        <v>54</v>
      </c>
      <c r="AD23" s="8" t="s">
        <v>54</v>
      </c>
      <c r="AE23" s="8" t="s">
        <v>54</v>
      </c>
    </row>
    <row r="24" spans="1:31" x14ac:dyDescent="0.25">
      <c r="A24" s="3" t="s">
        <v>149</v>
      </c>
      <c r="B24" s="9">
        <v>3835</v>
      </c>
      <c r="C24" s="9">
        <v>4874</v>
      </c>
      <c r="D24" s="9">
        <v>5212</v>
      </c>
      <c r="E24" s="9">
        <v>5372</v>
      </c>
      <c r="F24" s="9">
        <v>5372</v>
      </c>
      <c r="G24" s="9">
        <v>5403</v>
      </c>
      <c r="H24" s="9">
        <v>5764</v>
      </c>
      <c r="I24" s="9">
        <v>5695.37</v>
      </c>
      <c r="J24" s="9">
        <v>5826.17</v>
      </c>
      <c r="K24" s="9">
        <v>5588.49</v>
      </c>
      <c r="L24" s="9">
        <v>5641.57</v>
      </c>
      <c r="M24" s="9">
        <v>5892.88</v>
      </c>
      <c r="N24" s="9">
        <v>5765.38</v>
      </c>
      <c r="O24" s="9">
        <v>5702.04</v>
      </c>
      <c r="P24" s="9">
        <v>5898.58</v>
      </c>
      <c r="Q24" s="9">
        <v>4894.6099999999997</v>
      </c>
      <c r="R24" s="9">
        <v>4994.91</v>
      </c>
      <c r="S24" s="9">
        <v>4886.1899999999996</v>
      </c>
      <c r="T24" s="9">
        <v>4903.3599999999997</v>
      </c>
      <c r="U24" s="9">
        <v>5783.29</v>
      </c>
      <c r="V24" s="9">
        <v>5974.61</v>
      </c>
      <c r="W24" s="9">
        <v>6112.52</v>
      </c>
      <c r="X24" s="9">
        <v>5929.54</v>
      </c>
      <c r="Y24" s="9">
        <v>5940.26</v>
      </c>
      <c r="Z24" s="9">
        <v>6084.03</v>
      </c>
      <c r="AA24" s="9">
        <v>6093.94</v>
      </c>
      <c r="AB24" s="9">
        <v>6230.3</v>
      </c>
      <c r="AC24" s="9">
        <v>6039.63</v>
      </c>
      <c r="AD24" s="9">
        <v>6048.34</v>
      </c>
      <c r="AE24" s="9">
        <v>6164.59</v>
      </c>
    </row>
    <row r="25" spans="1:31" x14ac:dyDescent="0.25">
      <c r="A25" s="4" t="s">
        <v>148</v>
      </c>
      <c r="B25" s="9">
        <v>4815</v>
      </c>
      <c r="C25" s="9">
        <v>5999</v>
      </c>
      <c r="D25" s="9">
        <v>6340</v>
      </c>
      <c r="E25" s="9">
        <v>6587</v>
      </c>
      <c r="F25" s="9">
        <v>6587</v>
      </c>
      <c r="G25" s="9">
        <v>6470</v>
      </c>
      <c r="H25" s="9">
        <v>6791</v>
      </c>
      <c r="I25" s="9">
        <v>6625.53</v>
      </c>
      <c r="J25" s="9">
        <v>6837.32</v>
      </c>
      <c r="K25" s="9">
        <v>6681.26</v>
      </c>
      <c r="L25" s="9">
        <v>6911.24</v>
      </c>
      <c r="M25" s="9">
        <v>7090.63</v>
      </c>
      <c r="N25" s="9">
        <v>7082.7</v>
      </c>
      <c r="O25" s="9">
        <v>7201.42</v>
      </c>
      <c r="P25" s="9">
        <v>7006.15</v>
      </c>
      <c r="Q25" s="9">
        <v>6302.15</v>
      </c>
      <c r="R25" s="9">
        <v>6350.83</v>
      </c>
      <c r="S25" s="9">
        <v>6299.78</v>
      </c>
      <c r="T25" s="9">
        <v>6323.75</v>
      </c>
      <c r="U25" s="9">
        <v>7157.11</v>
      </c>
      <c r="V25" s="9">
        <v>6970.9</v>
      </c>
      <c r="W25" s="9">
        <v>7022.04</v>
      </c>
      <c r="X25" s="9">
        <v>6946.8</v>
      </c>
      <c r="Y25" s="9">
        <v>6968.23</v>
      </c>
      <c r="Z25" s="9">
        <v>7663.75</v>
      </c>
      <c r="AA25" s="9">
        <v>7056.43</v>
      </c>
      <c r="AB25" s="9">
        <v>7105.32</v>
      </c>
      <c r="AC25" s="9">
        <v>7026.65</v>
      </c>
      <c r="AD25" s="9">
        <v>7048.21</v>
      </c>
      <c r="AE25" s="9">
        <v>8013.61</v>
      </c>
    </row>
    <row r="26" spans="1:31" x14ac:dyDescent="0.25">
      <c r="A26" s="4" t="s">
        <v>147</v>
      </c>
      <c r="B26" s="9">
        <v>27441</v>
      </c>
      <c r="C26" s="9">
        <v>26772</v>
      </c>
      <c r="D26" s="9">
        <v>21703</v>
      </c>
      <c r="E26" s="9">
        <v>24461</v>
      </c>
      <c r="F26" s="9">
        <v>24461</v>
      </c>
      <c r="G26" s="9">
        <v>22118</v>
      </c>
      <c r="H26" s="9">
        <v>21769</v>
      </c>
      <c r="I26" s="9">
        <v>23775.38</v>
      </c>
      <c r="J26" s="9">
        <v>25242.25</v>
      </c>
      <c r="K26" s="9">
        <v>25243.78</v>
      </c>
      <c r="L26" s="9">
        <v>28450.77</v>
      </c>
      <c r="M26" s="9">
        <v>29166.99</v>
      </c>
      <c r="N26" s="9">
        <v>28966.5</v>
      </c>
      <c r="O26" s="9">
        <v>29907.08</v>
      </c>
      <c r="P26" s="9">
        <v>29196.5</v>
      </c>
      <c r="Q26" s="9">
        <v>27176.2</v>
      </c>
      <c r="R26" s="9">
        <v>26827</v>
      </c>
      <c r="S26" s="9">
        <v>26607.93</v>
      </c>
      <c r="T26" s="9">
        <v>24999.15</v>
      </c>
      <c r="U26" s="9">
        <v>30863.360000000001</v>
      </c>
      <c r="V26" s="9">
        <v>27420.639999999999</v>
      </c>
      <c r="W26" s="9">
        <v>27613.759999999998</v>
      </c>
      <c r="X26" s="9">
        <v>27925.59</v>
      </c>
      <c r="Y26" s="9">
        <v>27823.48</v>
      </c>
      <c r="Z26" s="9">
        <v>33949.050000000003</v>
      </c>
      <c r="AA26" s="9">
        <v>28178.92</v>
      </c>
      <c r="AB26" s="9">
        <v>28540.11</v>
      </c>
      <c r="AC26" s="9">
        <v>31721.5</v>
      </c>
      <c r="AD26" s="9">
        <v>30415.31</v>
      </c>
      <c r="AE26" s="9">
        <v>37497.599999999999</v>
      </c>
    </row>
    <row r="27" spans="1:31" x14ac:dyDescent="0.25">
      <c r="A27" s="3" t="s">
        <v>146</v>
      </c>
      <c r="B27" s="9">
        <v>117900.17</v>
      </c>
      <c r="C27" s="9">
        <v>118700.28</v>
      </c>
      <c r="D27" s="9">
        <v>122379.49</v>
      </c>
      <c r="E27" s="9">
        <v>123511.61</v>
      </c>
      <c r="F27" s="9">
        <v>116389.41</v>
      </c>
      <c r="G27" s="9">
        <v>123535.88</v>
      </c>
      <c r="H27" s="9">
        <v>124105.88</v>
      </c>
      <c r="I27" s="9">
        <v>126474.03</v>
      </c>
      <c r="J27" s="9">
        <v>126899.38</v>
      </c>
      <c r="K27" s="9">
        <v>117862.39999999999</v>
      </c>
      <c r="L27" s="9">
        <v>169329</v>
      </c>
      <c r="M27" s="9">
        <v>171982</v>
      </c>
      <c r="N27" s="9">
        <v>174332</v>
      </c>
      <c r="O27" s="9">
        <v>176682</v>
      </c>
      <c r="P27" s="9">
        <v>119217.14</v>
      </c>
      <c r="Q27" s="8" t="s">
        <v>54</v>
      </c>
      <c r="R27" s="8" t="s">
        <v>54</v>
      </c>
      <c r="S27" s="8" t="s">
        <v>54</v>
      </c>
      <c r="T27" s="8" t="s">
        <v>54</v>
      </c>
      <c r="U27" s="9">
        <v>120964.38</v>
      </c>
      <c r="V27" s="8" t="s">
        <v>54</v>
      </c>
      <c r="W27" s="8" t="s">
        <v>54</v>
      </c>
      <c r="X27" s="8" t="s">
        <v>54</v>
      </c>
      <c r="Y27" s="8" t="s">
        <v>54</v>
      </c>
      <c r="Z27" s="9">
        <v>123104.73</v>
      </c>
      <c r="AA27" s="8" t="s">
        <v>54</v>
      </c>
      <c r="AB27" s="8" t="s">
        <v>54</v>
      </c>
      <c r="AC27" s="8" t="s">
        <v>54</v>
      </c>
      <c r="AD27" s="8" t="s">
        <v>54</v>
      </c>
      <c r="AE27" s="9">
        <v>126305.98</v>
      </c>
    </row>
    <row r="28" spans="1:31" x14ac:dyDescent="0.25">
      <c r="A28" s="3" t="s">
        <v>145</v>
      </c>
      <c r="B28" s="9">
        <v>80003.17</v>
      </c>
      <c r="C28" s="9">
        <v>81219.28</v>
      </c>
      <c r="D28" s="9">
        <v>83661.490000000005</v>
      </c>
      <c r="E28" s="9">
        <v>85178.61</v>
      </c>
      <c r="F28" s="9">
        <v>78056.41</v>
      </c>
      <c r="G28" s="9">
        <v>86273.88</v>
      </c>
      <c r="H28" s="9">
        <v>87482.880000000005</v>
      </c>
      <c r="I28" s="9">
        <v>90787.03</v>
      </c>
      <c r="J28" s="9">
        <v>92280.54</v>
      </c>
      <c r="K28" s="9">
        <v>82738.44</v>
      </c>
      <c r="L28" s="9">
        <v>134946.9</v>
      </c>
      <c r="M28" s="9">
        <v>137982.13</v>
      </c>
      <c r="N28" s="9">
        <v>140971.99</v>
      </c>
      <c r="O28" s="9">
        <v>143907.47</v>
      </c>
      <c r="P28" s="9">
        <v>87216.72</v>
      </c>
      <c r="Q28" s="8" t="s">
        <v>54</v>
      </c>
      <c r="R28" s="8" t="s">
        <v>54</v>
      </c>
      <c r="S28" s="8" t="s">
        <v>54</v>
      </c>
      <c r="T28" s="8" t="s">
        <v>54</v>
      </c>
      <c r="U28" s="9">
        <v>91788.3</v>
      </c>
      <c r="V28" s="8" t="s">
        <v>54</v>
      </c>
      <c r="W28" s="8" t="s">
        <v>54</v>
      </c>
      <c r="X28" s="8" t="s">
        <v>54</v>
      </c>
      <c r="Y28" s="8" t="s">
        <v>54</v>
      </c>
      <c r="Z28" s="9">
        <v>96499.42</v>
      </c>
      <c r="AA28" s="8" t="s">
        <v>54</v>
      </c>
      <c r="AB28" s="8" t="s">
        <v>54</v>
      </c>
      <c r="AC28" s="8" t="s">
        <v>54</v>
      </c>
      <c r="AD28" s="8" t="s">
        <v>54</v>
      </c>
      <c r="AE28" s="9">
        <v>101429.31</v>
      </c>
    </row>
    <row r="29" spans="1:31" x14ac:dyDescent="0.25">
      <c r="A29" s="4" t="s">
        <v>144</v>
      </c>
      <c r="B29" s="9">
        <v>37897</v>
      </c>
      <c r="C29" s="9">
        <v>37481</v>
      </c>
      <c r="D29" s="9">
        <v>38718</v>
      </c>
      <c r="E29" s="9">
        <v>38333</v>
      </c>
      <c r="F29" s="9">
        <v>38333</v>
      </c>
      <c r="G29" s="9">
        <v>37262</v>
      </c>
      <c r="H29" s="9">
        <v>36623</v>
      </c>
      <c r="I29" s="9">
        <v>35291.42</v>
      </c>
      <c r="J29" s="9">
        <v>34108.54</v>
      </c>
      <c r="K29" s="9">
        <v>34221.18</v>
      </c>
      <c r="L29" s="9">
        <v>32832.480000000003</v>
      </c>
      <c r="M29" s="9">
        <v>31863.03</v>
      </c>
      <c r="N29" s="9">
        <v>30772.68</v>
      </c>
      <c r="O29" s="9">
        <v>29697.83</v>
      </c>
      <c r="P29" s="9">
        <v>30285.97</v>
      </c>
      <c r="Q29" s="9">
        <v>30486.41</v>
      </c>
      <c r="R29" s="9">
        <v>29804.9</v>
      </c>
      <c r="S29" s="9">
        <v>28947.45</v>
      </c>
      <c r="T29" s="9">
        <v>28116.98</v>
      </c>
      <c r="U29" s="9">
        <v>28712.560000000001</v>
      </c>
      <c r="V29" s="9">
        <v>25630.54</v>
      </c>
      <c r="W29" s="9">
        <v>24829.39</v>
      </c>
      <c r="X29" s="9">
        <v>23798.41</v>
      </c>
      <c r="Y29" s="9">
        <v>22799.08</v>
      </c>
      <c r="Z29" s="9">
        <v>26815.65</v>
      </c>
      <c r="AA29" s="9">
        <v>21910.58</v>
      </c>
      <c r="AB29" s="9">
        <v>21166.86</v>
      </c>
      <c r="AC29" s="9">
        <v>20186.2</v>
      </c>
      <c r="AD29" s="9">
        <v>19238.47</v>
      </c>
      <c r="AE29" s="9">
        <v>25401.53</v>
      </c>
    </row>
    <row r="30" spans="1:31" x14ac:dyDescent="0.25">
      <c r="A30" s="3" t="s">
        <v>143</v>
      </c>
      <c r="B30" s="9">
        <v>13467</v>
      </c>
      <c r="C30" s="9">
        <v>13460</v>
      </c>
      <c r="D30" s="9">
        <v>13690</v>
      </c>
      <c r="E30" s="9">
        <v>13678</v>
      </c>
      <c r="F30" s="9">
        <v>13678</v>
      </c>
      <c r="G30" s="9">
        <v>13664</v>
      </c>
      <c r="H30" s="9">
        <v>13667</v>
      </c>
      <c r="I30" s="9">
        <v>13887</v>
      </c>
      <c r="J30" s="9">
        <v>14107.73</v>
      </c>
      <c r="K30" s="9">
        <v>14057.18</v>
      </c>
      <c r="L30" s="9">
        <v>13667</v>
      </c>
      <c r="M30" s="9">
        <v>13667</v>
      </c>
      <c r="N30" s="9">
        <v>13667</v>
      </c>
      <c r="O30" s="9">
        <v>13667</v>
      </c>
      <c r="P30" s="9">
        <v>14586.59</v>
      </c>
      <c r="Q30" s="9">
        <v>13667</v>
      </c>
      <c r="R30" s="9">
        <v>13667</v>
      </c>
      <c r="S30" s="9">
        <v>13667</v>
      </c>
      <c r="T30" s="9">
        <v>13667</v>
      </c>
      <c r="U30" s="9">
        <v>15342.53</v>
      </c>
      <c r="V30" s="9">
        <v>13667</v>
      </c>
      <c r="W30" s="9">
        <v>13667</v>
      </c>
      <c r="X30" s="9">
        <v>13667</v>
      </c>
      <c r="Y30" s="9">
        <v>13667</v>
      </c>
      <c r="Z30" s="9">
        <v>16427.169999999998</v>
      </c>
      <c r="AA30" s="9">
        <v>13667</v>
      </c>
      <c r="AB30" s="9">
        <v>13667</v>
      </c>
      <c r="AC30" s="9">
        <v>13667</v>
      </c>
      <c r="AD30" s="9">
        <v>13667</v>
      </c>
      <c r="AE30" s="9">
        <v>16927.169999999998</v>
      </c>
    </row>
    <row r="31" spans="1:31" x14ac:dyDescent="0.25">
      <c r="A31" s="3" t="s">
        <v>142</v>
      </c>
      <c r="B31" s="9">
        <v>98733</v>
      </c>
      <c r="C31" s="9">
        <v>95928</v>
      </c>
      <c r="D31" s="9">
        <v>97749</v>
      </c>
      <c r="E31" s="9">
        <v>98032</v>
      </c>
      <c r="F31" s="9">
        <v>98032</v>
      </c>
      <c r="G31" s="9">
        <v>97564</v>
      </c>
      <c r="H31" s="9">
        <v>98178</v>
      </c>
      <c r="I31" s="9">
        <v>97970.64</v>
      </c>
      <c r="J31" s="9">
        <v>98025.98</v>
      </c>
      <c r="K31" s="9">
        <v>98609.98</v>
      </c>
      <c r="L31" s="9">
        <v>97656.639999999999</v>
      </c>
      <c r="M31" s="9">
        <v>97372.55</v>
      </c>
      <c r="N31" s="9">
        <v>99479.5</v>
      </c>
      <c r="O31" s="9">
        <v>99517</v>
      </c>
      <c r="P31" s="9">
        <v>102053.04</v>
      </c>
      <c r="Q31" s="9">
        <v>101621</v>
      </c>
      <c r="R31" s="9">
        <v>102296</v>
      </c>
      <c r="S31" s="9">
        <v>104311</v>
      </c>
      <c r="T31" s="9">
        <v>105956</v>
      </c>
      <c r="U31" s="9">
        <v>105906.81</v>
      </c>
      <c r="V31" s="9">
        <v>107819.25</v>
      </c>
      <c r="W31" s="9">
        <v>107838</v>
      </c>
      <c r="X31" s="9">
        <v>110356.75</v>
      </c>
      <c r="Y31" s="9">
        <v>110375.5</v>
      </c>
      <c r="Z31" s="9">
        <v>110562.88</v>
      </c>
      <c r="AA31" s="9">
        <v>110394.25</v>
      </c>
      <c r="AB31" s="9">
        <v>110413</v>
      </c>
      <c r="AC31" s="9">
        <v>110431.75</v>
      </c>
      <c r="AD31" s="9">
        <v>111425.5</v>
      </c>
      <c r="AE31" s="9">
        <v>111480.31</v>
      </c>
    </row>
    <row r="32" spans="1:31" x14ac:dyDescent="0.25">
      <c r="A32" s="3" t="s">
        <v>141</v>
      </c>
      <c r="B32" s="9">
        <v>2618</v>
      </c>
      <c r="C32" s="9">
        <v>2438</v>
      </c>
      <c r="D32" s="9">
        <v>4117</v>
      </c>
      <c r="E32" s="9">
        <v>3843</v>
      </c>
      <c r="F32" s="9">
        <v>3843</v>
      </c>
      <c r="G32" s="9">
        <v>3573</v>
      </c>
      <c r="H32" s="9">
        <v>3295</v>
      </c>
      <c r="I32" s="9">
        <v>3226.23</v>
      </c>
      <c r="J32" s="9">
        <v>3160.17</v>
      </c>
      <c r="K32" s="9">
        <v>3186.4</v>
      </c>
      <c r="L32" s="9">
        <v>3104.55</v>
      </c>
      <c r="M32" s="9">
        <v>3049.97</v>
      </c>
      <c r="N32" s="9">
        <v>2997.92</v>
      </c>
      <c r="O32" s="9">
        <v>2948.25</v>
      </c>
      <c r="P32" s="9">
        <v>2982.69</v>
      </c>
      <c r="Q32" s="9">
        <v>2655.48</v>
      </c>
      <c r="R32" s="9">
        <v>2576.7199999999998</v>
      </c>
      <c r="S32" s="9">
        <v>2502.87</v>
      </c>
      <c r="T32" s="9">
        <v>2800.95</v>
      </c>
      <c r="U32" s="9">
        <v>2894.56</v>
      </c>
      <c r="V32" s="9">
        <v>2593.21</v>
      </c>
      <c r="W32" s="9">
        <v>2552.7399999999998</v>
      </c>
      <c r="X32" s="9">
        <v>2514.71</v>
      </c>
      <c r="Y32" s="9">
        <v>1885.57</v>
      </c>
      <c r="Z32" s="9">
        <v>2340.8000000000002</v>
      </c>
      <c r="AA32" s="9">
        <v>2447.84</v>
      </c>
      <c r="AB32" s="9">
        <v>2420.7800000000002</v>
      </c>
      <c r="AC32" s="9">
        <v>2397.23</v>
      </c>
      <c r="AD32" s="9">
        <v>2376.75</v>
      </c>
      <c r="AE32" s="9">
        <v>2474.08</v>
      </c>
    </row>
    <row r="33" spans="1:31" x14ac:dyDescent="0.25">
      <c r="A33" s="4" t="s">
        <v>140</v>
      </c>
      <c r="B33" s="9">
        <v>114818</v>
      </c>
      <c r="C33" s="9">
        <v>111826</v>
      </c>
      <c r="D33" s="9">
        <v>115556</v>
      </c>
      <c r="E33" s="9">
        <v>115553</v>
      </c>
      <c r="F33" s="9">
        <v>115553</v>
      </c>
      <c r="G33" s="9">
        <v>114801</v>
      </c>
      <c r="H33" s="9">
        <v>115140</v>
      </c>
      <c r="I33" s="9">
        <v>114602.08</v>
      </c>
      <c r="J33" s="9">
        <v>114682.32</v>
      </c>
      <c r="K33" s="9">
        <v>115489.13</v>
      </c>
      <c r="L33" s="9">
        <v>114376.05</v>
      </c>
      <c r="M33" s="9">
        <v>114008.97</v>
      </c>
      <c r="N33" s="9">
        <v>116144.42</v>
      </c>
      <c r="O33" s="9">
        <v>116132.25</v>
      </c>
      <c r="P33" s="9">
        <v>117928.04</v>
      </c>
      <c r="Q33" s="9">
        <v>117943.48</v>
      </c>
      <c r="R33" s="9">
        <v>118539.72</v>
      </c>
      <c r="S33" s="9">
        <v>120480.87</v>
      </c>
      <c r="T33" s="9">
        <v>124368.45</v>
      </c>
      <c r="U33" s="9">
        <v>123260.62</v>
      </c>
      <c r="V33" s="9">
        <v>127293.21</v>
      </c>
      <c r="W33" s="9">
        <v>127277.74</v>
      </c>
      <c r="X33" s="9">
        <v>130598.04</v>
      </c>
      <c r="Y33" s="9">
        <v>130587.28</v>
      </c>
      <c r="Z33" s="9">
        <v>129631.48</v>
      </c>
      <c r="AA33" s="9">
        <v>130581.17</v>
      </c>
      <c r="AB33" s="9">
        <v>130579.11</v>
      </c>
      <c r="AC33" s="9">
        <v>130580.56</v>
      </c>
      <c r="AD33" s="9">
        <v>131885.07999999999</v>
      </c>
      <c r="AE33" s="9">
        <v>129126.6</v>
      </c>
    </row>
    <row r="34" spans="1:31" x14ac:dyDescent="0.25">
      <c r="A34" s="3" t="s">
        <v>139</v>
      </c>
      <c r="B34" s="9">
        <v>25025</v>
      </c>
      <c r="C34" s="9">
        <v>24735</v>
      </c>
      <c r="D34" s="9">
        <v>26070</v>
      </c>
      <c r="E34" s="9">
        <v>25692</v>
      </c>
      <c r="F34" s="9">
        <v>25692</v>
      </c>
      <c r="G34" s="9">
        <v>25021</v>
      </c>
      <c r="H34" s="9">
        <v>24596</v>
      </c>
      <c r="I34" s="9">
        <v>24585.88</v>
      </c>
      <c r="J34" s="9">
        <v>24525.41</v>
      </c>
      <c r="K34" s="9">
        <v>24782.87</v>
      </c>
      <c r="L34" s="9">
        <v>24336.02</v>
      </c>
      <c r="M34" s="9">
        <v>24359.360000000001</v>
      </c>
      <c r="N34" s="9">
        <v>24384.16</v>
      </c>
      <c r="O34" s="9">
        <v>24407.84</v>
      </c>
      <c r="P34" s="9">
        <v>24539.79</v>
      </c>
      <c r="Q34" s="9">
        <v>24060.51</v>
      </c>
      <c r="R34" s="9">
        <v>24096.77</v>
      </c>
      <c r="S34" s="9">
        <v>24132.89</v>
      </c>
      <c r="T34" s="9">
        <v>24172.12</v>
      </c>
      <c r="U34" s="9">
        <v>24354.74</v>
      </c>
      <c r="V34" s="9">
        <v>24596</v>
      </c>
      <c r="W34" s="9">
        <v>24596</v>
      </c>
      <c r="X34" s="9">
        <v>24596</v>
      </c>
      <c r="Y34" s="9">
        <v>24596</v>
      </c>
      <c r="Z34" s="9">
        <v>25159.74</v>
      </c>
      <c r="AA34" s="9">
        <v>24596</v>
      </c>
      <c r="AB34" s="9">
        <v>24596</v>
      </c>
      <c r="AC34" s="9">
        <v>24596</v>
      </c>
      <c r="AD34" s="9">
        <v>24596</v>
      </c>
      <c r="AE34" s="9">
        <v>25161.4</v>
      </c>
    </row>
    <row r="35" spans="1:31" x14ac:dyDescent="0.25">
      <c r="A35" s="3" t="s">
        <v>138</v>
      </c>
      <c r="B35" s="9">
        <v>2977</v>
      </c>
      <c r="C35" s="9">
        <v>3105</v>
      </c>
      <c r="D35" s="9">
        <v>2955</v>
      </c>
      <c r="E35" s="9">
        <v>2760</v>
      </c>
      <c r="F35" s="9">
        <v>2760</v>
      </c>
      <c r="G35" s="9">
        <v>2766</v>
      </c>
      <c r="H35" s="9">
        <v>2994</v>
      </c>
      <c r="I35" s="9">
        <v>2993.68</v>
      </c>
      <c r="J35" s="9">
        <v>2981.11</v>
      </c>
      <c r="K35" s="9">
        <v>2929.81</v>
      </c>
      <c r="L35" s="9">
        <v>2981.51</v>
      </c>
      <c r="M35" s="9">
        <v>2984.55</v>
      </c>
      <c r="N35" s="9">
        <v>2987.79</v>
      </c>
      <c r="O35" s="9">
        <v>2990.87</v>
      </c>
      <c r="P35" s="9">
        <v>2920.88</v>
      </c>
      <c r="Q35" s="9">
        <v>2992.98</v>
      </c>
      <c r="R35" s="9">
        <v>2997.92</v>
      </c>
      <c r="S35" s="9">
        <v>3002.85</v>
      </c>
      <c r="T35" s="9">
        <v>3008.2</v>
      </c>
      <c r="U35" s="9">
        <v>2898.59</v>
      </c>
      <c r="V35" s="9">
        <v>2994</v>
      </c>
      <c r="W35" s="9">
        <v>2994</v>
      </c>
      <c r="X35" s="9">
        <v>2994</v>
      </c>
      <c r="Y35" s="9">
        <v>2994</v>
      </c>
      <c r="Z35" s="9">
        <v>2968</v>
      </c>
      <c r="AA35" s="9">
        <v>2994</v>
      </c>
      <c r="AB35" s="9">
        <v>2994</v>
      </c>
      <c r="AC35" s="9">
        <v>2994</v>
      </c>
      <c r="AD35" s="9">
        <v>2994</v>
      </c>
      <c r="AE35" s="9">
        <v>2968</v>
      </c>
    </row>
    <row r="36" spans="1:31" x14ac:dyDescent="0.25">
      <c r="A36" s="3" t="s">
        <v>137</v>
      </c>
      <c r="B36" s="9">
        <v>6475</v>
      </c>
      <c r="C36" s="9">
        <v>8724</v>
      </c>
      <c r="D36" s="9">
        <v>12178</v>
      </c>
      <c r="E36" s="9">
        <v>12438</v>
      </c>
      <c r="F36" s="9">
        <v>12438</v>
      </c>
      <c r="G36" s="9">
        <v>12699</v>
      </c>
      <c r="H36" s="9">
        <v>12431</v>
      </c>
      <c r="I36" s="9">
        <v>12558.82</v>
      </c>
      <c r="J36" s="9">
        <v>12936.68</v>
      </c>
      <c r="K36" s="9">
        <v>12923.2</v>
      </c>
      <c r="L36" s="9">
        <v>12327.92</v>
      </c>
      <c r="M36" s="9">
        <v>12284.54</v>
      </c>
      <c r="N36" s="9">
        <v>12289.02</v>
      </c>
      <c r="O36" s="9">
        <v>12379.66</v>
      </c>
      <c r="P36" s="9">
        <v>14085.17</v>
      </c>
      <c r="Q36" s="9">
        <v>12042.31</v>
      </c>
      <c r="R36" s="9">
        <v>12118.19</v>
      </c>
      <c r="S36" s="9">
        <v>12152.31</v>
      </c>
      <c r="T36" s="9">
        <v>12189.6</v>
      </c>
      <c r="U36" s="9">
        <v>15535.68</v>
      </c>
      <c r="V36" s="9">
        <v>12459.75</v>
      </c>
      <c r="W36" s="9">
        <v>12412</v>
      </c>
      <c r="X36" s="9">
        <v>12437</v>
      </c>
      <c r="Y36" s="9">
        <v>12462</v>
      </c>
      <c r="Z36" s="9">
        <v>12796.29</v>
      </c>
      <c r="AA36" s="9">
        <v>12411.75</v>
      </c>
      <c r="AB36" s="9">
        <v>12364</v>
      </c>
      <c r="AC36" s="9">
        <v>12389</v>
      </c>
      <c r="AD36" s="9">
        <v>12414</v>
      </c>
      <c r="AE36" s="9">
        <v>12841.38</v>
      </c>
    </row>
    <row r="37" spans="1:31" x14ac:dyDescent="0.25">
      <c r="A37" s="4" t="s">
        <v>136</v>
      </c>
      <c r="B37" s="9">
        <v>9452</v>
      </c>
      <c r="C37" s="9">
        <v>11829</v>
      </c>
      <c r="D37" s="9">
        <v>15133</v>
      </c>
      <c r="E37" s="9">
        <v>15198</v>
      </c>
      <c r="F37" s="9">
        <v>15198</v>
      </c>
      <c r="G37" s="9">
        <v>15465</v>
      </c>
      <c r="H37" s="9">
        <v>15425</v>
      </c>
      <c r="I37" s="9">
        <v>15570.65</v>
      </c>
      <c r="J37" s="9">
        <v>15974.93</v>
      </c>
      <c r="K37" s="9">
        <v>15901.02</v>
      </c>
      <c r="L37" s="9">
        <v>15309.42</v>
      </c>
      <c r="M37" s="9">
        <v>15269.09</v>
      </c>
      <c r="N37" s="9">
        <v>15276.81</v>
      </c>
      <c r="O37" s="9">
        <v>15370.54</v>
      </c>
      <c r="P37" s="9">
        <v>17149.919999999998</v>
      </c>
      <c r="Q37" s="9">
        <v>15035.29</v>
      </c>
      <c r="R37" s="9">
        <v>15116.11</v>
      </c>
      <c r="S37" s="9">
        <v>15155.16</v>
      </c>
      <c r="T37" s="9">
        <v>15197.8</v>
      </c>
      <c r="U37" s="9">
        <v>18730.490000000002</v>
      </c>
      <c r="V37" s="9">
        <v>15453.75</v>
      </c>
      <c r="W37" s="9">
        <v>15406</v>
      </c>
      <c r="X37" s="9">
        <v>15431</v>
      </c>
      <c r="Y37" s="9">
        <v>15456</v>
      </c>
      <c r="Z37" s="9">
        <v>15854.88</v>
      </c>
      <c r="AA37" s="9">
        <v>15405.75</v>
      </c>
      <c r="AB37" s="9">
        <v>15358</v>
      </c>
      <c r="AC37" s="9">
        <v>15383</v>
      </c>
      <c r="AD37" s="9">
        <v>15408</v>
      </c>
      <c r="AE37" s="9">
        <v>15904.98</v>
      </c>
    </row>
    <row r="38" spans="1:31" x14ac:dyDescent="0.25">
      <c r="A38" s="4" t="s">
        <v>135</v>
      </c>
      <c r="B38" s="9">
        <v>187192</v>
      </c>
      <c r="C38" s="9">
        <v>185871</v>
      </c>
      <c r="D38" s="9">
        <v>195477</v>
      </c>
      <c r="E38" s="9">
        <v>194776</v>
      </c>
      <c r="F38" s="9">
        <v>194776</v>
      </c>
      <c r="G38" s="9">
        <v>192549</v>
      </c>
      <c r="H38" s="9">
        <v>191784</v>
      </c>
      <c r="I38" s="9">
        <v>190325.87</v>
      </c>
      <c r="J38" s="9">
        <v>189771.91</v>
      </c>
      <c r="K38" s="9">
        <v>190595.16</v>
      </c>
      <c r="L38" s="9">
        <v>187820.07</v>
      </c>
      <c r="M38" s="9">
        <v>186495.92</v>
      </c>
      <c r="N38" s="9">
        <v>187359.59</v>
      </c>
      <c r="O38" s="9">
        <v>186346.25</v>
      </c>
      <c r="P38" s="9">
        <v>192102.09</v>
      </c>
      <c r="Q38" s="9">
        <v>188439.62</v>
      </c>
      <c r="R38" s="9">
        <v>188340.95</v>
      </c>
      <c r="S38" s="9">
        <v>189134.56</v>
      </c>
      <c r="T38" s="9">
        <v>191398.22</v>
      </c>
      <c r="U38" s="9">
        <v>197328.17</v>
      </c>
      <c r="V38" s="9">
        <v>191766.94</v>
      </c>
      <c r="W38" s="9">
        <v>190993.18</v>
      </c>
      <c r="X38" s="9">
        <v>192481.79</v>
      </c>
      <c r="Y38" s="9">
        <v>191446.42</v>
      </c>
      <c r="Z38" s="9">
        <v>199437.5</v>
      </c>
      <c r="AA38" s="9">
        <v>191964.48</v>
      </c>
      <c r="AB38" s="9">
        <v>191205.04</v>
      </c>
      <c r="AC38" s="9">
        <v>190225.01</v>
      </c>
      <c r="AD38" s="9">
        <v>190590.48</v>
      </c>
      <c r="AE38" s="9">
        <v>198946.64</v>
      </c>
    </row>
    <row r="39" spans="1:31" x14ac:dyDescent="0.25">
      <c r="A39" s="4" t="s">
        <v>134</v>
      </c>
      <c r="B39" s="9">
        <v>214633</v>
      </c>
      <c r="C39" s="9">
        <v>212643</v>
      </c>
      <c r="D39" s="9">
        <v>217180</v>
      </c>
      <c r="E39" s="9">
        <v>219237</v>
      </c>
      <c r="F39" s="9">
        <v>219237</v>
      </c>
      <c r="G39" s="9">
        <v>214667</v>
      </c>
      <c r="H39" s="9">
        <v>213553</v>
      </c>
      <c r="I39" s="9">
        <v>214122.71</v>
      </c>
      <c r="J39" s="9">
        <v>214989.62</v>
      </c>
      <c r="K39" s="9">
        <v>215734.53</v>
      </c>
      <c r="L39" s="9">
        <v>216355.03</v>
      </c>
      <c r="M39" s="9">
        <v>215764.07</v>
      </c>
      <c r="N39" s="9">
        <v>216326.09</v>
      </c>
      <c r="O39" s="9">
        <v>216253.33</v>
      </c>
      <c r="P39" s="9">
        <v>221629.83</v>
      </c>
      <c r="Q39" s="9">
        <v>215615.82</v>
      </c>
      <c r="R39" s="9">
        <v>215167.95</v>
      </c>
      <c r="S39" s="9">
        <v>215742.49</v>
      </c>
      <c r="T39" s="9">
        <v>214617.17</v>
      </c>
      <c r="U39" s="9">
        <v>226661</v>
      </c>
      <c r="V39" s="9">
        <v>216753.59</v>
      </c>
      <c r="W39" s="9">
        <v>216106.95</v>
      </c>
      <c r="X39" s="9">
        <v>217393.91</v>
      </c>
      <c r="Y39" s="9">
        <v>216250.49</v>
      </c>
      <c r="Z39" s="9">
        <v>231642.64</v>
      </c>
      <c r="AA39" s="9">
        <v>215959.76</v>
      </c>
      <c r="AB39" s="9">
        <v>215475.7</v>
      </c>
      <c r="AC39" s="9">
        <v>217652.9</v>
      </c>
      <c r="AD39" s="9">
        <v>216355.23</v>
      </c>
      <c r="AE39" s="9">
        <v>235935.48</v>
      </c>
    </row>
    <row r="40" spans="1:31" x14ac:dyDescent="0.25">
      <c r="A40" s="3" t="s">
        <v>133</v>
      </c>
      <c r="B40" s="9">
        <v>8214</v>
      </c>
      <c r="C40" s="9">
        <v>6408</v>
      </c>
      <c r="D40" s="9">
        <v>6333</v>
      </c>
      <c r="E40" s="9">
        <v>5135</v>
      </c>
      <c r="F40" s="9">
        <v>5135</v>
      </c>
      <c r="G40" s="9">
        <v>2238</v>
      </c>
      <c r="H40" s="9">
        <v>6117</v>
      </c>
      <c r="I40" s="9">
        <v>6117</v>
      </c>
      <c r="J40" s="9">
        <v>6117</v>
      </c>
      <c r="K40" s="9">
        <v>5992.91</v>
      </c>
      <c r="L40" s="9">
        <v>6117</v>
      </c>
      <c r="M40" s="9">
        <v>6117</v>
      </c>
      <c r="N40" s="9">
        <v>6117</v>
      </c>
      <c r="O40" s="9">
        <v>6117</v>
      </c>
      <c r="P40" s="9">
        <v>5999.9</v>
      </c>
      <c r="Q40" s="9">
        <v>6117</v>
      </c>
      <c r="R40" s="9">
        <v>6117</v>
      </c>
      <c r="S40" s="9">
        <v>6117</v>
      </c>
      <c r="T40" s="9">
        <v>6117</v>
      </c>
      <c r="U40" s="9">
        <v>5990.1</v>
      </c>
      <c r="V40" s="9">
        <v>6117</v>
      </c>
      <c r="W40" s="9">
        <v>6117</v>
      </c>
      <c r="X40" s="9">
        <v>6117</v>
      </c>
      <c r="Y40" s="9">
        <v>6117</v>
      </c>
      <c r="Z40" s="9">
        <v>6018.8</v>
      </c>
      <c r="AA40" s="9">
        <v>6117</v>
      </c>
      <c r="AB40" s="9">
        <v>6117</v>
      </c>
      <c r="AC40" s="9">
        <v>6117</v>
      </c>
      <c r="AD40" s="9">
        <v>6117</v>
      </c>
      <c r="AE40" s="9">
        <v>6007.89</v>
      </c>
    </row>
    <row r="41" spans="1:31" x14ac:dyDescent="0.25">
      <c r="A41" s="3" t="s">
        <v>132</v>
      </c>
      <c r="B41" s="9">
        <v>1136</v>
      </c>
      <c r="C41" s="9">
        <v>1157</v>
      </c>
      <c r="D41" s="9">
        <v>1157</v>
      </c>
      <c r="E41" s="9">
        <v>1163</v>
      </c>
      <c r="F41" s="9">
        <v>1163</v>
      </c>
      <c r="G41" s="9">
        <v>1155</v>
      </c>
      <c r="H41" s="9">
        <v>1178</v>
      </c>
      <c r="I41" s="9">
        <v>1178.98</v>
      </c>
      <c r="J41" s="9">
        <v>1178.98</v>
      </c>
      <c r="K41" s="9">
        <v>1172.55</v>
      </c>
      <c r="L41" s="9">
        <v>1179.18</v>
      </c>
      <c r="M41" s="9">
        <v>1179.18</v>
      </c>
      <c r="N41" s="9">
        <v>1180.3699999999999</v>
      </c>
      <c r="O41" s="9">
        <v>1180.3699999999999</v>
      </c>
      <c r="P41" s="9">
        <v>1169.45</v>
      </c>
      <c r="Q41" s="9">
        <v>1178</v>
      </c>
      <c r="R41" s="9">
        <v>1178</v>
      </c>
      <c r="S41" s="9">
        <v>1178</v>
      </c>
      <c r="T41" s="9">
        <v>1178</v>
      </c>
      <c r="U41" s="9">
        <v>1161.68</v>
      </c>
      <c r="V41" s="9">
        <v>1178</v>
      </c>
      <c r="W41" s="9">
        <v>1178</v>
      </c>
      <c r="X41" s="9">
        <v>1178</v>
      </c>
      <c r="Y41" s="9">
        <v>1178</v>
      </c>
      <c r="Z41" s="9">
        <v>1176.5</v>
      </c>
      <c r="AA41" s="9">
        <v>1178</v>
      </c>
      <c r="AB41" s="9">
        <v>1178</v>
      </c>
      <c r="AC41" s="9">
        <v>1178</v>
      </c>
      <c r="AD41" s="9">
        <v>1178</v>
      </c>
      <c r="AE41" s="9">
        <v>1176.33</v>
      </c>
    </row>
    <row r="42" spans="1:31" x14ac:dyDescent="0.25">
      <c r="A42" s="3" t="s">
        <v>131</v>
      </c>
      <c r="B42" s="9">
        <v>3305</v>
      </c>
      <c r="C42" s="9">
        <v>3343</v>
      </c>
      <c r="D42" s="9">
        <v>3550</v>
      </c>
      <c r="E42" s="9">
        <v>3814</v>
      </c>
      <c r="F42" s="9">
        <v>3814</v>
      </c>
      <c r="G42" s="9">
        <v>3639</v>
      </c>
      <c r="H42" s="9">
        <v>3620</v>
      </c>
      <c r="I42" s="9">
        <v>3623.29</v>
      </c>
      <c r="J42" s="9">
        <v>3623.29</v>
      </c>
      <c r="K42" s="9">
        <v>3711.31</v>
      </c>
      <c r="L42" s="9">
        <v>3624.02</v>
      </c>
      <c r="M42" s="9">
        <v>3624.02</v>
      </c>
      <c r="N42" s="9">
        <v>3628.08</v>
      </c>
      <c r="O42" s="9">
        <v>3628.08</v>
      </c>
      <c r="P42" s="9">
        <v>3749.33</v>
      </c>
      <c r="Q42" s="9">
        <v>3620</v>
      </c>
      <c r="R42" s="9">
        <v>3620</v>
      </c>
      <c r="S42" s="9">
        <v>3620</v>
      </c>
      <c r="T42" s="9">
        <v>3620</v>
      </c>
      <c r="U42" s="9">
        <v>3811.99</v>
      </c>
      <c r="V42" s="9">
        <v>3620</v>
      </c>
      <c r="W42" s="9">
        <v>3620</v>
      </c>
      <c r="X42" s="9">
        <v>3620</v>
      </c>
      <c r="Y42" s="9">
        <v>3620</v>
      </c>
      <c r="Z42" s="9">
        <v>3641.56</v>
      </c>
      <c r="AA42" s="9">
        <v>3620</v>
      </c>
      <c r="AB42" s="9">
        <v>3620</v>
      </c>
      <c r="AC42" s="9">
        <v>3620</v>
      </c>
      <c r="AD42" s="9">
        <v>3620</v>
      </c>
      <c r="AE42" s="9">
        <v>3641.56</v>
      </c>
    </row>
    <row r="43" spans="1:31" x14ac:dyDescent="0.25">
      <c r="A43" s="4" t="s">
        <v>130</v>
      </c>
      <c r="B43" s="9">
        <v>12655</v>
      </c>
      <c r="C43" s="9">
        <v>10908</v>
      </c>
      <c r="D43" s="9">
        <v>11040</v>
      </c>
      <c r="E43" s="9">
        <v>10112</v>
      </c>
      <c r="F43" s="9">
        <v>10112</v>
      </c>
      <c r="G43" s="9">
        <v>7032</v>
      </c>
      <c r="H43" s="9">
        <v>10915</v>
      </c>
      <c r="I43" s="9">
        <v>10819.5</v>
      </c>
      <c r="J43" s="9">
        <v>10819.5</v>
      </c>
      <c r="K43" s="9">
        <v>10776.09</v>
      </c>
      <c r="L43" s="9">
        <v>10800.4</v>
      </c>
      <c r="M43" s="9">
        <v>10800.4</v>
      </c>
      <c r="N43" s="9">
        <v>10805.24</v>
      </c>
      <c r="O43" s="9">
        <v>10805.24</v>
      </c>
      <c r="P43" s="9">
        <v>10815.78</v>
      </c>
      <c r="Q43" s="9">
        <v>10676.2</v>
      </c>
      <c r="R43" s="9">
        <v>10676.2</v>
      </c>
      <c r="S43" s="9">
        <v>10676.2</v>
      </c>
      <c r="T43" s="9">
        <v>10676.2</v>
      </c>
      <c r="U43" s="9">
        <v>10837.7</v>
      </c>
      <c r="V43" s="9">
        <v>10915</v>
      </c>
      <c r="W43" s="9">
        <v>10915</v>
      </c>
      <c r="X43" s="9">
        <v>10915</v>
      </c>
      <c r="Y43" s="9">
        <v>10915</v>
      </c>
      <c r="Z43" s="9">
        <v>10825.78</v>
      </c>
      <c r="AA43" s="9">
        <v>10915</v>
      </c>
      <c r="AB43" s="9">
        <v>10915</v>
      </c>
      <c r="AC43" s="9">
        <v>10915</v>
      </c>
      <c r="AD43" s="9">
        <v>10915</v>
      </c>
      <c r="AE43" s="9">
        <v>10825.78</v>
      </c>
    </row>
    <row r="44" spans="1:31" x14ac:dyDescent="0.25">
      <c r="A44" s="3" t="s">
        <v>129</v>
      </c>
      <c r="B44" s="9">
        <v>7900</v>
      </c>
      <c r="C44" s="9">
        <v>7802</v>
      </c>
      <c r="D44" s="9">
        <v>9193</v>
      </c>
      <c r="E44" s="9">
        <v>10280</v>
      </c>
      <c r="F44" s="9">
        <v>10280</v>
      </c>
      <c r="G44" s="9">
        <v>9522</v>
      </c>
      <c r="H44" s="9">
        <v>8774</v>
      </c>
      <c r="I44" s="9">
        <v>8926.27</v>
      </c>
      <c r="J44" s="9">
        <v>9673.6200000000008</v>
      </c>
      <c r="K44" s="9">
        <v>9759.58</v>
      </c>
      <c r="L44" s="9">
        <v>9226.6299999999992</v>
      </c>
      <c r="M44" s="9">
        <v>8844.09</v>
      </c>
      <c r="N44" s="9">
        <v>9018.76</v>
      </c>
      <c r="O44" s="9">
        <v>9834.7800000000007</v>
      </c>
      <c r="P44" s="9">
        <v>9778.15</v>
      </c>
      <c r="Q44" s="9">
        <v>9259.26</v>
      </c>
      <c r="R44" s="9">
        <v>9011.92</v>
      </c>
      <c r="S44" s="9">
        <v>9087.15</v>
      </c>
      <c r="T44" s="9">
        <v>9373.94</v>
      </c>
      <c r="U44" s="9">
        <v>9749.9</v>
      </c>
      <c r="V44" s="9">
        <v>8774.9</v>
      </c>
      <c r="W44" s="9">
        <v>8482.34</v>
      </c>
      <c r="X44" s="9">
        <v>8671.57</v>
      </c>
      <c r="Y44" s="9">
        <v>9055.7999999999993</v>
      </c>
      <c r="Z44" s="9">
        <v>9472.18</v>
      </c>
      <c r="AA44" s="9">
        <v>8738.34</v>
      </c>
      <c r="AB44" s="9">
        <v>8441.7000000000007</v>
      </c>
      <c r="AC44" s="9">
        <v>8716.06</v>
      </c>
      <c r="AD44" s="9">
        <v>9229.08</v>
      </c>
      <c r="AE44" s="9">
        <v>9600.64</v>
      </c>
    </row>
    <row r="45" spans="1:31" x14ac:dyDescent="0.25">
      <c r="A45" s="3" t="s">
        <v>128</v>
      </c>
      <c r="B45" s="9">
        <v>1193</v>
      </c>
      <c r="C45" s="9">
        <v>1217</v>
      </c>
      <c r="D45" s="9">
        <v>1487</v>
      </c>
      <c r="E45" s="9">
        <v>1533</v>
      </c>
      <c r="F45" s="9">
        <v>1533</v>
      </c>
      <c r="G45" s="9">
        <v>1468</v>
      </c>
      <c r="H45" s="9">
        <v>1439</v>
      </c>
      <c r="I45" s="9">
        <v>1480.78</v>
      </c>
      <c r="J45" s="9">
        <v>1482.38</v>
      </c>
      <c r="K45" s="9">
        <v>1489.15</v>
      </c>
      <c r="L45" s="9">
        <v>1465.65</v>
      </c>
      <c r="M45" s="9">
        <v>1462.03</v>
      </c>
      <c r="N45" s="9">
        <v>1468.53</v>
      </c>
      <c r="O45" s="9">
        <v>1484.8</v>
      </c>
      <c r="P45" s="9">
        <v>1508.24</v>
      </c>
      <c r="Q45" s="9">
        <v>1510.97</v>
      </c>
      <c r="R45" s="9">
        <v>1503.21</v>
      </c>
      <c r="S45" s="9">
        <v>1514.11</v>
      </c>
      <c r="T45" s="9">
        <v>1543.31</v>
      </c>
      <c r="U45" s="9">
        <v>1544.68</v>
      </c>
      <c r="V45" s="9">
        <v>1503.33</v>
      </c>
      <c r="W45" s="9">
        <v>1489.46</v>
      </c>
      <c r="X45" s="9">
        <v>1499.7</v>
      </c>
      <c r="Y45" s="9">
        <v>1532.93</v>
      </c>
      <c r="Z45" s="9">
        <v>1492.68</v>
      </c>
      <c r="AA45" s="9">
        <v>1515.13</v>
      </c>
      <c r="AB45" s="9">
        <v>1500.34</v>
      </c>
      <c r="AC45" s="9">
        <v>1510.35</v>
      </c>
      <c r="AD45" s="9">
        <v>1543.71</v>
      </c>
      <c r="AE45" s="9">
        <v>1498.83</v>
      </c>
    </row>
    <row r="46" spans="1:31" x14ac:dyDescent="0.25">
      <c r="A46" s="3" t="s">
        <v>127</v>
      </c>
      <c r="B46" s="9">
        <v>1881</v>
      </c>
      <c r="C46" s="9">
        <v>2175</v>
      </c>
      <c r="D46" s="9">
        <v>2581</v>
      </c>
      <c r="E46" s="9">
        <v>2575</v>
      </c>
      <c r="F46" s="9">
        <v>2575</v>
      </c>
      <c r="G46" s="9">
        <v>2322</v>
      </c>
      <c r="H46" s="9">
        <v>2426</v>
      </c>
      <c r="I46" s="9">
        <v>2872.29</v>
      </c>
      <c r="J46" s="9">
        <v>2818.94</v>
      </c>
      <c r="K46" s="9">
        <v>2808.47</v>
      </c>
      <c r="L46" s="9">
        <v>2809.2</v>
      </c>
      <c r="M46" s="9">
        <v>2783.65</v>
      </c>
      <c r="N46" s="9">
        <v>2777.66</v>
      </c>
      <c r="O46" s="9">
        <v>2787.12</v>
      </c>
      <c r="P46" s="9">
        <v>2776.56</v>
      </c>
      <c r="Q46" s="9">
        <v>2876.03</v>
      </c>
      <c r="R46" s="9">
        <v>2866.09</v>
      </c>
      <c r="S46" s="9">
        <v>2886.98</v>
      </c>
      <c r="T46" s="9">
        <v>2938.4</v>
      </c>
      <c r="U46" s="9">
        <v>2850.47</v>
      </c>
      <c r="V46" s="9">
        <v>2520.8200000000002</v>
      </c>
      <c r="W46" s="9">
        <v>2497.9</v>
      </c>
      <c r="X46" s="9">
        <v>2514.83</v>
      </c>
      <c r="Y46" s="9">
        <v>2569.79</v>
      </c>
      <c r="Z46" s="9">
        <v>2585.19</v>
      </c>
      <c r="AA46" s="9">
        <v>2540.34</v>
      </c>
      <c r="AB46" s="9">
        <v>2515.88</v>
      </c>
      <c r="AC46" s="9">
        <v>2532.44</v>
      </c>
      <c r="AD46" s="9">
        <v>2587.6</v>
      </c>
      <c r="AE46" s="9">
        <v>2597.0700000000002</v>
      </c>
    </row>
    <row r="47" spans="1:31" x14ac:dyDescent="0.25">
      <c r="A47" s="4" t="s">
        <v>126</v>
      </c>
      <c r="B47" s="9">
        <v>3074</v>
      </c>
      <c r="C47" s="9">
        <v>3392</v>
      </c>
      <c r="D47" s="9">
        <v>4068</v>
      </c>
      <c r="E47" s="9">
        <v>4108</v>
      </c>
      <c r="F47" s="9">
        <v>4108</v>
      </c>
      <c r="G47" s="9">
        <v>3790</v>
      </c>
      <c r="H47" s="9">
        <v>3865</v>
      </c>
      <c r="I47" s="9">
        <v>4312.5</v>
      </c>
      <c r="J47" s="9">
        <v>4265.59</v>
      </c>
      <c r="K47" s="9">
        <v>4213.41</v>
      </c>
      <c r="L47" s="9">
        <v>4274.8500000000004</v>
      </c>
      <c r="M47" s="9">
        <v>4245.68</v>
      </c>
      <c r="N47" s="9">
        <v>4246.2</v>
      </c>
      <c r="O47" s="9">
        <v>4271.92</v>
      </c>
      <c r="P47" s="9">
        <v>4215.04</v>
      </c>
      <c r="Q47" s="9">
        <v>4387</v>
      </c>
      <c r="R47" s="9">
        <v>4369.3</v>
      </c>
      <c r="S47" s="9">
        <v>4401.09</v>
      </c>
      <c r="T47" s="9">
        <v>4481.71</v>
      </c>
      <c r="U47" s="9">
        <v>4189.72</v>
      </c>
      <c r="V47" s="9">
        <v>4024.15</v>
      </c>
      <c r="W47" s="9">
        <v>3987.36</v>
      </c>
      <c r="X47" s="9">
        <v>4014.54</v>
      </c>
      <c r="Y47" s="9">
        <v>4102.72</v>
      </c>
      <c r="Z47" s="9">
        <v>3879.35</v>
      </c>
      <c r="AA47" s="9">
        <v>4055.47</v>
      </c>
      <c r="AB47" s="9">
        <v>4016.22</v>
      </c>
      <c r="AC47" s="9">
        <v>4042.79</v>
      </c>
      <c r="AD47" s="9">
        <v>4131.3100000000004</v>
      </c>
      <c r="AE47" s="9">
        <v>3905.1</v>
      </c>
    </row>
    <row r="48" spans="1:31" x14ac:dyDescent="0.25">
      <c r="A48" s="4" t="s">
        <v>125</v>
      </c>
      <c r="B48" s="9">
        <v>23629</v>
      </c>
      <c r="C48" s="9">
        <v>22102</v>
      </c>
      <c r="D48" s="9">
        <v>24301</v>
      </c>
      <c r="E48" s="9">
        <v>24500</v>
      </c>
      <c r="F48" s="9">
        <v>24500</v>
      </c>
      <c r="G48" s="9">
        <v>20344</v>
      </c>
      <c r="H48" s="9">
        <v>23554</v>
      </c>
      <c r="I48" s="9">
        <v>23537.18</v>
      </c>
      <c r="J48" s="9">
        <v>24352.43</v>
      </c>
      <c r="K48" s="9">
        <v>24399.91</v>
      </c>
      <c r="L48" s="9">
        <v>24446.5</v>
      </c>
      <c r="M48" s="9">
        <v>24170.13</v>
      </c>
      <c r="N48" s="9">
        <v>24361.200000000001</v>
      </c>
      <c r="O48" s="9">
        <v>25352.89</v>
      </c>
      <c r="P48" s="9">
        <v>24515.97</v>
      </c>
      <c r="Q48" s="9">
        <v>24194.39</v>
      </c>
      <c r="R48" s="9">
        <v>23973.52</v>
      </c>
      <c r="S48" s="9">
        <v>24062.7</v>
      </c>
      <c r="T48" s="9">
        <v>24368.87</v>
      </c>
      <c r="U48" s="9">
        <v>24478.05</v>
      </c>
      <c r="V48" s="9">
        <v>23682.04</v>
      </c>
      <c r="W48" s="9">
        <v>23418.560000000001</v>
      </c>
      <c r="X48" s="9">
        <v>23591.69</v>
      </c>
      <c r="Y48" s="9">
        <v>23969.62</v>
      </c>
      <c r="Z48" s="9">
        <v>23964.67</v>
      </c>
      <c r="AA48" s="9">
        <v>23708.81</v>
      </c>
      <c r="AB48" s="9">
        <v>23372.92</v>
      </c>
      <c r="AC48" s="9">
        <v>23673.85</v>
      </c>
      <c r="AD48" s="9">
        <v>24275.39</v>
      </c>
      <c r="AE48" s="9">
        <v>24010.76</v>
      </c>
    </row>
    <row r="49" spans="1:31" x14ac:dyDescent="0.25">
      <c r="A49" s="3" t="s">
        <v>124</v>
      </c>
      <c r="B49" s="9">
        <v>76033</v>
      </c>
      <c r="C49" s="9">
        <v>75018</v>
      </c>
      <c r="D49" s="9">
        <v>76365</v>
      </c>
      <c r="E49" s="9">
        <v>79649</v>
      </c>
      <c r="F49" s="9">
        <v>79649</v>
      </c>
      <c r="G49" s="9">
        <v>83809</v>
      </c>
      <c r="H49" s="9">
        <v>78504</v>
      </c>
      <c r="I49" s="9">
        <v>79701.84</v>
      </c>
      <c r="J49" s="9">
        <v>81266.25</v>
      </c>
      <c r="K49" s="9">
        <v>81574.05</v>
      </c>
      <c r="L49" s="9">
        <v>85566.87</v>
      </c>
      <c r="M49" s="9">
        <v>86263.19</v>
      </c>
      <c r="N49" s="9">
        <v>87094.25</v>
      </c>
      <c r="O49" s="9">
        <v>87563.14</v>
      </c>
      <c r="P49" s="9">
        <v>88780.74</v>
      </c>
      <c r="Q49" s="9">
        <v>91755.57</v>
      </c>
      <c r="R49" s="9">
        <v>92826.78</v>
      </c>
      <c r="S49" s="9">
        <v>94179.87</v>
      </c>
      <c r="T49" s="9">
        <v>94155.39</v>
      </c>
      <c r="U49" s="9">
        <v>94791.61</v>
      </c>
      <c r="V49" s="9">
        <v>93972.02</v>
      </c>
      <c r="W49" s="9">
        <v>94005.64</v>
      </c>
      <c r="X49" s="9">
        <v>95646.78</v>
      </c>
      <c r="Y49" s="9">
        <v>96250.41</v>
      </c>
      <c r="Z49" s="9">
        <v>98745.57</v>
      </c>
      <c r="AA49" s="9">
        <v>91774.57</v>
      </c>
      <c r="AB49" s="9">
        <v>91477.77</v>
      </c>
      <c r="AC49" s="9">
        <v>93312.91</v>
      </c>
      <c r="AD49" s="9">
        <v>93156.92</v>
      </c>
      <c r="AE49" s="9">
        <v>99488.639999999999</v>
      </c>
    </row>
    <row r="50" spans="1:31" x14ac:dyDescent="0.25">
      <c r="A50" s="3" t="s">
        <v>123</v>
      </c>
      <c r="B50" s="9">
        <v>1497</v>
      </c>
      <c r="C50" s="9">
        <v>1497</v>
      </c>
      <c r="D50" s="9">
        <v>1498</v>
      </c>
      <c r="E50" s="9">
        <v>1498</v>
      </c>
      <c r="F50" s="9">
        <v>1498</v>
      </c>
      <c r="G50" s="8" t="s">
        <v>54</v>
      </c>
      <c r="H50" s="8" t="s">
        <v>54</v>
      </c>
      <c r="I50" s="8" t="s">
        <v>54</v>
      </c>
      <c r="J50" s="8" t="s">
        <v>54</v>
      </c>
      <c r="K50" s="9">
        <v>1498</v>
      </c>
      <c r="L50" s="8" t="s">
        <v>54</v>
      </c>
      <c r="M50" s="8" t="s">
        <v>54</v>
      </c>
      <c r="N50" s="8" t="s">
        <v>54</v>
      </c>
      <c r="O50" s="8" t="s">
        <v>54</v>
      </c>
      <c r="P50" s="9">
        <v>1498</v>
      </c>
      <c r="Q50" s="8" t="s">
        <v>54</v>
      </c>
      <c r="R50" s="8" t="s">
        <v>54</v>
      </c>
      <c r="S50" s="8" t="s">
        <v>54</v>
      </c>
      <c r="T50" s="8" t="s">
        <v>54</v>
      </c>
      <c r="U50" s="9">
        <v>1498</v>
      </c>
      <c r="V50" s="8" t="s">
        <v>54</v>
      </c>
      <c r="W50" s="8" t="s">
        <v>54</v>
      </c>
      <c r="X50" s="8" t="s">
        <v>54</v>
      </c>
      <c r="Y50" s="8" t="s">
        <v>54</v>
      </c>
      <c r="Z50" s="9">
        <v>1498</v>
      </c>
      <c r="AA50" s="8" t="s">
        <v>54</v>
      </c>
      <c r="AB50" s="8" t="s">
        <v>54</v>
      </c>
      <c r="AC50" s="8" t="s">
        <v>54</v>
      </c>
      <c r="AD50" s="8" t="s">
        <v>54</v>
      </c>
      <c r="AE50" s="9">
        <v>1498</v>
      </c>
    </row>
    <row r="51" spans="1:31" x14ac:dyDescent="0.25">
      <c r="A51" s="4" t="s">
        <v>122</v>
      </c>
      <c r="B51" s="9">
        <v>77530</v>
      </c>
      <c r="C51" s="9">
        <v>76515</v>
      </c>
      <c r="D51" s="9">
        <v>77863</v>
      </c>
      <c r="E51" s="9">
        <v>81147</v>
      </c>
      <c r="F51" s="9">
        <v>81147</v>
      </c>
      <c r="G51" s="9">
        <v>83809</v>
      </c>
      <c r="H51" s="9">
        <v>78504</v>
      </c>
      <c r="I51" s="9">
        <v>79691.59</v>
      </c>
      <c r="J51" s="9">
        <v>81240.78</v>
      </c>
      <c r="K51" s="9">
        <v>81691.600000000006</v>
      </c>
      <c r="L51" s="9">
        <v>85663.06</v>
      </c>
      <c r="M51" s="9">
        <v>86568.81</v>
      </c>
      <c r="N51" s="9">
        <v>87597.04</v>
      </c>
      <c r="O51" s="9">
        <v>88296.04</v>
      </c>
      <c r="P51" s="9">
        <v>89295.75</v>
      </c>
      <c r="Q51" s="9">
        <v>91755.57</v>
      </c>
      <c r="R51" s="9">
        <v>92826.78</v>
      </c>
      <c r="S51" s="9">
        <v>94179.87</v>
      </c>
      <c r="T51" s="9">
        <v>94155.39</v>
      </c>
      <c r="U51" s="9">
        <v>94504.75</v>
      </c>
      <c r="V51" s="9">
        <v>93972.02</v>
      </c>
      <c r="W51" s="9">
        <v>94005.64</v>
      </c>
      <c r="X51" s="9">
        <v>95646.78</v>
      </c>
      <c r="Y51" s="9">
        <v>96250.41</v>
      </c>
      <c r="Z51" s="9">
        <v>97515.33</v>
      </c>
      <c r="AA51" s="9">
        <v>91774.57</v>
      </c>
      <c r="AB51" s="9">
        <v>91477.77</v>
      </c>
      <c r="AC51" s="9">
        <v>93312.91</v>
      </c>
      <c r="AD51" s="9">
        <v>93156.92</v>
      </c>
      <c r="AE51" s="9">
        <v>97796.21</v>
      </c>
    </row>
    <row r="52" spans="1:31" x14ac:dyDescent="0.25">
      <c r="A52" s="3" t="s">
        <v>121</v>
      </c>
      <c r="B52" s="9">
        <v>1117</v>
      </c>
      <c r="C52" s="9">
        <v>1188</v>
      </c>
      <c r="D52" s="9">
        <v>1186</v>
      </c>
      <c r="E52" s="9">
        <v>1107</v>
      </c>
      <c r="F52" s="9">
        <v>1107</v>
      </c>
      <c r="G52" s="9">
        <v>1024</v>
      </c>
      <c r="H52" s="9">
        <v>1121</v>
      </c>
      <c r="I52" s="9">
        <v>1121.93</v>
      </c>
      <c r="J52" s="9">
        <v>1121.93</v>
      </c>
      <c r="K52" s="9">
        <v>1115.8499999999999</v>
      </c>
      <c r="L52" s="9">
        <v>1122.1199999999999</v>
      </c>
      <c r="M52" s="9">
        <v>1122.1199999999999</v>
      </c>
      <c r="N52" s="9">
        <v>1123.25</v>
      </c>
      <c r="O52" s="9">
        <v>1123.25</v>
      </c>
      <c r="P52" s="9">
        <v>1112.9000000000001</v>
      </c>
      <c r="Q52" s="9">
        <v>1121</v>
      </c>
      <c r="R52" s="9">
        <v>1121</v>
      </c>
      <c r="S52" s="9">
        <v>1121</v>
      </c>
      <c r="T52" s="9">
        <v>1121</v>
      </c>
      <c r="U52" s="9">
        <v>1105.51</v>
      </c>
      <c r="V52" s="9">
        <v>1121</v>
      </c>
      <c r="W52" s="9">
        <v>1121</v>
      </c>
      <c r="X52" s="9">
        <v>1121</v>
      </c>
      <c r="Y52" s="9">
        <v>1121</v>
      </c>
      <c r="Z52" s="9">
        <v>1119.44</v>
      </c>
      <c r="AA52" s="9">
        <v>1121</v>
      </c>
      <c r="AB52" s="9">
        <v>1121</v>
      </c>
      <c r="AC52" s="9">
        <v>1121</v>
      </c>
      <c r="AD52" s="9">
        <v>1121</v>
      </c>
      <c r="AE52" s="9">
        <v>1119.44</v>
      </c>
    </row>
    <row r="53" spans="1:31" x14ac:dyDescent="0.25">
      <c r="A53" s="3" t="s">
        <v>120</v>
      </c>
      <c r="B53" s="9">
        <v>25974</v>
      </c>
      <c r="C53" s="9">
        <v>25646</v>
      </c>
      <c r="D53" s="9">
        <v>26780</v>
      </c>
      <c r="E53" s="9">
        <v>26371</v>
      </c>
      <c r="F53" s="9">
        <v>26371</v>
      </c>
      <c r="G53" s="9">
        <v>25856</v>
      </c>
      <c r="H53" s="9">
        <v>25438</v>
      </c>
      <c r="I53" s="9">
        <v>25392.99</v>
      </c>
      <c r="J53" s="9">
        <v>25346.62</v>
      </c>
      <c r="K53" s="9">
        <v>25594.01</v>
      </c>
      <c r="L53" s="9">
        <v>25333.64</v>
      </c>
      <c r="M53" s="9">
        <v>25282.54</v>
      </c>
      <c r="N53" s="9">
        <v>25257.53</v>
      </c>
      <c r="O53" s="9">
        <v>25230.63</v>
      </c>
      <c r="P53" s="9">
        <v>25418.02</v>
      </c>
      <c r="Q53" s="9">
        <v>24816.6</v>
      </c>
      <c r="R53" s="9">
        <v>24714.400000000001</v>
      </c>
      <c r="S53" s="9">
        <v>24613</v>
      </c>
      <c r="T53" s="9">
        <v>24559.200000000001</v>
      </c>
      <c r="U53" s="9">
        <v>25222.73</v>
      </c>
      <c r="V53" s="9">
        <v>25584</v>
      </c>
      <c r="W53" s="9">
        <v>25581.25</v>
      </c>
      <c r="X53" s="9">
        <v>25579.5</v>
      </c>
      <c r="Y53" s="9">
        <v>25637.25</v>
      </c>
      <c r="Z53" s="9">
        <v>25743.67</v>
      </c>
      <c r="AA53" s="9">
        <v>25631.75</v>
      </c>
      <c r="AB53" s="9">
        <v>25629</v>
      </c>
      <c r="AC53" s="9">
        <v>25627.25</v>
      </c>
      <c r="AD53" s="9">
        <v>25685</v>
      </c>
      <c r="AE53" s="9">
        <v>25772.46</v>
      </c>
    </row>
    <row r="54" spans="1:31" x14ac:dyDescent="0.25">
      <c r="A54" s="3" t="s">
        <v>119</v>
      </c>
      <c r="B54" s="9">
        <v>4139</v>
      </c>
      <c r="C54" s="9">
        <v>4014</v>
      </c>
      <c r="D54" s="9">
        <v>3783</v>
      </c>
      <c r="E54" s="9">
        <v>3794</v>
      </c>
      <c r="F54" s="9">
        <v>3794</v>
      </c>
      <c r="G54" s="9">
        <v>3993</v>
      </c>
      <c r="H54" s="9">
        <v>3985</v>
      </c>
      <c r="I54" s="9">
        <v>3908.06</v>
      </c>
      <c r="J54" s="9">
        <v>3868.74</v>
      </c>
      <c r="K54" s="9">
        <v>3871.61</v>
      </c>
      <c r="L54" s="9">
        <v>3890.66</v>
      </c>
      <c r="M54" s="9">
        <v>3944.28</v>
      </c>
      <c r="N54" s="9">
        <v>3973.72</v>
      </c>
      <c r="O54" s="9">
        <v>4018.12</v>
      </c>
      <c r="P54" s="9">
        <v>4024.68</v>
      </c>
      <c r="Q54" s="9">
        <v>4147.59</v>
      </c>
      <c r="R54" s="9">
        <v>4255.34</v>
      </c>
      <c r="S54" s="9">
        <v>4286.63</v>
      </c>
      <c r="T54" s="9">
        <v>4371.67</v>
      </c>
      <c r="U54" s="9">
        <v>4199.6400000000003</v>
      </c>
      <c r="V54" s="9">
        <v>4502.16</v>
      </c>
      <c r="W54" s="9">
        <v>4613.6000000000004</v>
      </c>
      <c r="X54" s="9">
        <v>4665.6499999999996</v>
      </c>
      <c r="Y54" s="9">
        <v>4784.1000000000004</v>
      </c>
      <c r="Z54" s="9">
        <v>4318.9399999999996</v>
      </c>
      <c r="AA54" s="9">
        <v>4890.42</v>
      </c>
      <c r="AB54" s="9">
        <v>5023.62</v>
      </c>
      <c r="AC54" s="9">
        <v>5097.43</v>
      </c>
      <c r="AD54" s="9">
        <v>5237.6000000000004</v>
      </c>
      <c r="AE54" s="9">
        <v>4520.49</v>
      </c>
    </row>
    <row r="55" spans="1:31" x14ac:dyDescent="0.25">
      <c r="A55" s="3" t="s">
        <v>118</v>
      </c>
      <c r="B55" s="9">
        <v>3634</v>
      </c>
      <c r="C55" s="9">
        <v>3603</v>
      </c>
      <c r="D55" s="9">
        <v>3568</v>
      </c>
      <c r="E55" s="9">
        <v>3532</v>
      </c>
      <c r="F55" s="9">
        <v>3532</v>
      </c>
      <c r="G55" s="9">
        <v>3496</v>
      </c>
      <c r="H55" s="9">
        <v>3461</v>
      </c>
      <c r="I55" s="9">
        <v>3463.47</v>
      </c>
      <c r="J55" s="9">
        <v>3463.47</v>
      </c>
      <c r="K55" s="9">
        <v>3452.92</v>
      </c>
      <c r="L55" s="9">
        <v>3464.46</v>
      </c>
      <c r="M55" s="9">
        <v>3464.46</v>
      </c>
      <c r="N55" s="9">
        <v>3467.96</v>
      </c>
      <c r="O55" s="9">
        <v>3467.96</v>
      </c>
      <c r="P55" s="9">
        <v>3436.18</v>
      </c>
      <c r="Q55" s="9">
        <v>3461</v>
      </c>
      <c r="R55" s="9">
        <v>3461</v>
      </c>
      <c r="S55" s="9">
        <v>3461</v>
      </c>
      <c r="T55" s="9">
        <v>3461</v>
      </c>
      <c r="U55" s="9">
        <v>3406.25</v>
      </c>
      <c r="V55" s="9">
        <v>3461</v>
      </c>
      <c r="W55" s="9">
        <v>3461</v>
      </c>
      <c r="X55" s="9">
        <v>3461</v>
      </c>
      <c r="Y55" s="9">
        <v>3461</v>
      </c>
      <c r="Z55" s="9">
        <v>3394.73</v>
      </c>
      <c r="AA55" s="9">
        <v>3461</v>
      </c>
      <c r="AB55" s="9">
        <v>3461</v>
      </c>
      <c r="AC55" s="9">
        <v>3461</v>
      </c>
      <c r="AD55" s="9">
        <v>3461</v>
      </c>
      <c r="AE55" s="9">
        <v>3376.55</v>
      </c>
    </row>
    <row r="56" spans="1:31" x14ac:dyDescent="0.25">
      <c r="A56" s="3" t="s">
        <v>117</v>
      </c>
      <c r="B56" s="9">
        <v>17505</v>
      </c>
      <c r="C56" s="9">
        <v>18468</v>
      </c>
      <c r="D56" s="9">
        <v>19222</v>
      </c>
      <c r="E56" s="9">
        <v>19583</v>
      </c>
      <c r="F56" s="9">
        <v>19583</v>
      </c>
      <c r="G56" s="9">
        <v>20266</v>
      </c>
      <c r="H56" s="9">
        <v>21225</v>
      </c>
      <c r="I56" s="9">
        <v>21790.639999999999</v>
      </c>
      <c r="J56" s="9">
        <v>22251.25</v>
      </c>
      <c r="K56" s="9">
        <v>22095.58</v>
      </c>
      <c r="L56" s="9">
        <v>22438.31</v>
      </c>
      <c r="M56" s="9">
        <v>22645.13</v>
      </c>
      <c r="N56" s="9">
        <v>22854.32</v>
      </c>
      <c r="O56" s="9">
        <v>23059.68</v>
      </c>
      <c r="P56" s="9">
        <v>23057.439999999999</v>
      </c>
      <c r="Q56" s="9">
        <v>24018.77</v>
      </c>
      <c r="R56" s="9">
        <v>24294.82</v>
      </c>
      <c r="S56" s="9">
        <v>24570.03</v>
      </c>
      <c r="T56" s="9">
        <v>24859.81</v>
      </c>
      <c r="U56" s="9">
        <v>24133.119999999999</v>
      </c>
      <c r="V56" s="9">
        <v>24699.77</v>
      </c>
      <c r="W56" s="9">
        <v>24965.71</v>
      </c>
      <c r="X56" s="9">
        <v>25230.9</v>
      </c>
      <c r="Y56" s="9">
        <v>25514.89</v>
      </c>
      <c r="Z56" s="9">
        <v>25077.33</v>
      </c>
      <c r="AA56" s="9">
        <v>25596</v>
      </c>
      <c r="AB56" s="9">
        <v>25675.98</v>
      </c>
      <c r="AC56" s="9">
        <v>25755.25</v>
      </c>
      <c r="AD56" s="9">
        <v>25844.61</v>
      </c>
      <c r="AE56" s="9">
        <v>25480.67</v>
      </c>
    </row>
    <row r="57" spans="1:31" x14ac:dyDescent="0.25">
      <c r="A57" s="4" t="s">
        <v>116</v>
      </c>
      <c r="B57" s="9">
        <v>129899</v>
      </c>
      <c r="C57" s="9">
        <v>129434</v>
      </c>
      <c r="D57" s="9">
        <v>132402</v>
      </c>
      <c r="E57" s="9">
        <v>135534</v>
      </c>
      <c r="F57" s="9">
        <v>135534</v>
      </c>
      <c r="G57" s="9">
        <v>138444</v>
      </c>
      <c r="H57" s="9">
        <v>133734</v>
      </c>
      <c r="I57" s="9">
        <v>135538.15</v>
      </c>
      <c r="J57" s="9">
        <v>137322.07</v>
      </c>
      <c r="K57" s="9">
        <v>137778.10999999999</v>
      </c>
      <c r="L57" s="9">
        <v>141819.6</v>
      </c>
      <c r="M57" s="9">
        <v>142915.66</v>
      </c>
      <c r="N57" s="9">
        <v>144142.29999999999</v>
      </c>
      <c r="O57" s="9">
        <v>145043.9</v>
      </c>
      <c r="P57" s="9">
        <v>147001.85999999999</v>
      </c>
      <c r="Q57" s="9">
        <v>148931.37</v>
      </c>
      <c r="R57" s="9">
        <v>150237.25</v>
      </c>
      <c r="S57" s="9">
        <v>151761.25</v>
      </c>
      <c r="T57" s="9">
        <v>152004.29999999999</v>
      </c>
      <c r="U57" s="9">
        <v>152984.48000000001</v>
      </c>
      <c r="V57" s="9">
        <v>152512.35999999999</v>
      </c>
      <c r="W57" s="9">
        <v>152845.68</v>
      </c>
      <c r="X57" s="9">
        <v>154739.22</v>
      </c>
      <c r="Y57" s="9">
        <v>155711.01</v>
      </c>
      <c r="Z57" s="9">
        <v>157258.41</v>
      </c>
      <c r="AA57" s="9">
        <v>152474.74</v>
      </c>
      <c r="AB57" s="9">
        <v>152388.38</v>
      </c>
      <c r="AC57" s="9">
        <v>154374.84</v>
      </c>
      <c r="AD57" s="9">
        <v>154506.13</v>
      </c>
      <c r="AE57" s="9">
        <v>158826.45000000001</v>
      </c>
    </row>
    <row r="58" spans="1:31" x14ac:dyDescent="0.25">
      <c r="A58" s="4" t="s">
        <v>115</v>
      </c>
      <c r="B58" s="9">
        <v>153528</v>
      </c>
      <c r="C58" s="9">
        <v>151536</v>
      </c>
      <c r="D58" s="9">
        <v>156703</v>
      </c>
      <c r="E58" s="9">
        <v>160034</v>
      </c>
      <c r="F58" s="9">
        <v>160034</v>
      </c>
      <c r="G58" s="9">
        <v>158788</v>
      </c>
      <c r="H58" s="9">
        <v>157288</v>
      </c>
      <c r="I58" s="9">
        <v>159146.74</v>
      </c>
      <c r="J58" s="9">
        <v>161790.25</v>
      </c>
      <c r="K58" s="9">
        <v>162257.57999999999</v>
      </c>
      <c r="L58" s="9">
        <v>166266.1</v>
      </c>
      <c r="M58" s="9">
        <v>167085.79</v>
      </c>
      <c r="N58" s="9">
        <v>168503.5</v>
      </c>
      <c r="O58" s="9">
        <v>170396.79</v>
      </c>
      <c r="P58" s="9">
        <v>171915.91</v>
      </c>
      <c r="Q58" s="9">
        <v>173125.76000000001</v>
      </c>
      <c r="R58" s="9">
        <v>174210.76</v>
      </c>
      <c r="S58" s="9">
        <v>175823.95</v>
      </c>
      <c r="T58" s="9">
        <v>176373.17</v>
      </c>
      <c r="U58" s="9">
        <v>178050.96</v>
      </c>
      <c r="V58" s="9">
        <v>176194.4</v>
      </c>
      <c r="W58" s="9">
        <v>176264.24</v>
      </c>
      <c r="X58" s="9">
        <v>178330.9</v>
      </c>
      <c r="Y58" s="9">
        <v>179680.63</v>
      </c>
      <c r="Z58" s="9">
        <v>182236.16</v>
      </c>
      <c r="AA58" s="9">
        <v>176183.55</v>
      </c>
      <c r="AB58" s="9">
        <v>175761.3</v>
      </c>
      <c r="AC58" s="9">
        <v>178048.69</v>
      </c>
      <c r="AD58" s="9">
        <v>178781.51</v>
      </c>
      <c r="AE58" s="9">
        <v>184458.37</v>
      </c>
    </row>
    <row r="59" spans="1:31" x14ac:dyDescent="0.25">
      <c r="A59" s="3" t="s">
        <v>114</v>
      </c>
      <c r="B59" s="9">
        <v>23085</v>
      </c>
      <c r="C59" s="9">
        <v>25569</v>
      </c>
      <c r="D59" s="9">
        <v>28064</v>
      </c>
      <c r="E59" s="9">
        <v>30545</v>
      </c>
      <c r="F59" s="9">
        <v>30545</v>
      </c>
      <c r="G59" s="9">
        <v>35497</v>
      </c>
      <c r="H59" s="9">
        <v>37667</v>
      </c>
      <c r="I59" s="9">
        <v>39239.5</v>
      </c>
      <c r="J59" s="9">
        <v>40835.730000000003</v>
      </c>
      <c r="K59" s="9">
        <v>40915.33</v>
      </c>
      <c r="L59" s="9">
        <v>43227.79</v>
      </c>
      <c r="M59" s="9">
        <v>45136.72</v>
      </c>
      <c r="N59" s="9">
        <v>47064</v>
      </c>
      <c r="O59" s="9">
        <v>49010.080000000002</v>
      </c>
      <c r="P59" s="9">
        <v>48246.23</v>
      </c>
      <c r="Q59" s="9">
        <v>51427.13</v>
      </c>
      <c r="R59" s="9">
        <v>53999.27</v>
      </c>
      <c r="S59" s="9">
        <v>56595.72</v>
      </c>
      <c r="T59" s="9">
        <v>59217.08</v>
      </c>
      <c r="U59" s="9">
        <v>56673.34</v>
      </c>
      <c r="V59" s="9">
        <v>67913.210000000006</v>
      </c>
      <c r="W59" s="9">
        <v>71254.55</v>
      </c>
      <c r="X59" s="9">
        <v>74629.41</v>
      </c>
      <c r="Y59" s="9">
        <v>78038.64</v>
      </c>
      <c r="Z59" s="9">
        <v>68657.2</v>
      </c>
      <c r="AA59" s="9">
        <v>71339.67</v>
      </c>
      <c r="AB59" s="9">
        <v>74006.33</v>
      </c>
      <c r="AC59" s="9">
        <v>76673</v>
      </c>
      <c r="AD59" s="9">
        <v>79339.67</v>
      </c>
      <c r="AE59" s="9">
        <v>72160.289999999994</v>
      </c>
    </row>
    <row r="60" spans="1:31" x14ac:dyDescent="0.25">
      <c r="A60" s="3" t="s">
        <v>113</v>
      </c>
      <c r="B60" s="10">
        <v>-989</v>
      </c>
      <c r="C60" s="10">
        <v>-908</v>
      </c>
      <c r="D60" s="10">
        <v>-881</v>
      </c>
      <c r="E60" s="10">
        <v>-848</v>
      </c>
      <c r="F60" s="10">
        <v>-848</v>
      </c>
      <c r="G60" s="10">
        <v>-835</v>
      </c>
      <c r="H60" s="10">
        <v>-635</v>
      </c>
      <c r="I60" s="10">
        <v>-610.89</v>
      </c>
      <c r="J60" s="10">
        <v>-587.66999999999996</v>
      </c>
      <c r="K60" s="10">
        <v>-635</v>
      </c>
      <c r="L60" s="10">
        <v>-635</v>
      </c>
      <c r="M60" s="10">
        <v>-635</v>
      </c>
      <c r="N60" s="10">
        <v>-635</v>
      </c>
      <c r="O60" s="10">
        <v>-635</v>
      </c>
      <c r="P60" s="10">
        <v>-558.54999999999995</v>
      </c>
      <c r="Q60" s="10">
        <v>-635</v>
      </c>
      <c r="R60" s="10">
        <v>-635</v>
      </c>
      <c r="S60" s="10">
        <v>-635</v>
      </c>
      <c r="T60" s="10">
        <v>-635</v>
      </c>
      <c r="U60" s="10">
        <v>-466.8</v>
      </c>
      <c r="V60" s="10">
        <v>-635</v>
      </c>
      <c r="W60" s="10">
        <v>-635</v>
      </c>
      <c r="X60" s="10">
        <v>-635</v>
      </c>
      <c r="Y60" s="10">
        <v>-635</v>
      </c>
      <c r="Z60" s="10">
        <v>-293</v>
      </c>
      <c r="AA60" s="10">
        <v>-635</v>
      </c>
      <c r="AB60" s="10">
        <v>-635</v>
      </c>
      <c r="AC60" s="10">
        <v>-635</v>
      </c>
      <c r="AD60" s="10">
        <v>-635</v>
      </c>
      <c r="AE60" s="10">
        <v>-124</v>
      </c>
    </row>
    <row r="61" spans="1:31" x14ac:dyDescent="0.25">
      <c r="A61" s="3" t="s">
        <v>112</v>
      </c>
      <c r="B61" s="9">
        <v>16342</v>
      </c>
      <c r="C61" s="9">
        <v>18576</v>
      </c>
      <c r="D61" s="9">
        <v>20155</v>
      </c>
      <c r="E61" s="9">
        <v>21136</v>
      </c>
      <c r="F61" s="9">
        <v>21136</v>
      </c>
      <c r="G61" s="9">
        <v>22541</v>
      </c>
      <c r="H61" s="9">
        <v>24688</v>
      </c>
      <c r="I61" s="9">
        <v>24845.19</v>
      </c>
      <c r="J61" s="9">
        <v>23892.14</v>
      </c>
      <c r="K61" s="9">
        <v>24719.27</v>
      </c>
      <c r="L61" s="9">
        <v>22183.13</v>
      </c>
      <c r="M61" s="9">
        <v>23389.09</v>
      </c>
      <c r="N61" s="9">
        <v>25028.34</v>
      </c>
      <c r="O61" s="9">
        <v>24500.77</v>
      </c>
      <c r="P61" s="9">
        <v>30431.5</v>
      </c>
      <c r="Q61" s="9">
        <v>22652.58</v>
      </c>
      <c r="R61" s="9">
        <v>23907.14</v>
      </c>
      <c r="S61" s="9">
        <v>25349.49</v>
      </c>
      <c r="T61" s="9">
        <v>26100.34</v>
      </c>
      <c r="U61" s="9">
        <v>37393.83</v>
      </c>
      <c r="V61" s="9">
        <v>37320.300000000003</v>
      </c>
      <c r="W61" s="9">
        <v>39837.97</v>
      </c>
      <c r="X61" s="9">
        <v>42331.34</v>
      </c>
      <c r="Y61" s="9">
        <v>42778.32</v>
      </c>
      <c r="Z61" s="9">
        <v>52435.66</v>
      </c>
      <c r="AA61" s="9">
        <v>39592.050000000003</v>
      </c>
      <c r="AB61" s="9">
        <v>42156.639999999999</v>
      </c>
      <c r="AC61" s="9">
        <v>44685.53</v>
      </c>
      <c r="AD61" s="9">
        <v>44738.28</v>
      </c>
      <c r="AE61" s="9">
        <v>62487.56</v>
      </c>
    </row>
    <row r="62" spans="1:31" x14ac:dyDescent="0.25">
      <c r="A62" s="3" t="s">
        <v>111</v>
      </c>
      <c r="B62" s="9">
        <v>68837</v>
      </c>
      <c r="C62" s="9">
        <v>69008</v>
      </c>
      <c r="D62" s="9">
        <v>69267</v>
      </c>
      <c r="E62" s="9">
        <v>69460</v>
      </c>
      <c r="F62" s="9">
        <v>69460</v>
      </c>
      <c r="G62" s="9">
        <v>69670</v>
      </c>
      <c r="H62" s="9">
        <v>69879</v>
      </c>
      <c r="I62" s="9">
        <v>69476.09</v>
      </c>
      <c r="J62" s="9">
        <v>69188.67</v>
      </c>
      <c r="K62" s="9">
        <v>69316.009999999995</v>
      </c>
      <c r="L62" s="9">
        <v>69974</v>
      </c>
      <c r="M62" s="9">
        <v>70011.17</v>
      </c>
      <c r="N62" s="9">
        <v>70048.83</v>
      </c>
      <c r="O62" s="9">
        <v>70087</v>
      </c>
      <c r="P62" s="9">
        <v>67922.03</v>
      </c>
      <c r="Q62" s="9">
        <v>69879</v>
      </c>
      <c r="R62" s="9">
        <v>69879</v>
      </c>
      <c r="S62" s="9">
        <v>69879</v>
      </c>
      <c r="T62" s="9">
        <v>69879</v>
      </c>
      <c r="U62" s="9">
        <v>65982.960000000006</v>
      </c>
      <c r="V62" s="9">
        <v>69879</v>
      </c>
      <c r="W62" s="9">
        <v>69879</v>
      </c>
      <c r="X62" s="9">
        <v>69879</v>
      </c>
      <c r="Y62" s="9">
        <v>69879</v>
      </c>
      <c r="Z62" s="9">
        <v>61793.29</v>
      </c>
      <c r="AA62" s="9">
        <v>69879</v>
      </c>
      <c r="AB62" s="9">
        <v>69879</v>
      </c>
      <c r="AC62" s="9">
        <v>69879</v>
      </c>
      <c r="AD62" s="9">
        <v>69879</v>
      </c>
      <c r="AE62" s="9">
        <v>56623.040000000001</v>
      </c>
    </row>
    <row r="63" spans="1:31" x14ac:dyDescent="0.25">
      <c r="A63" s="4" t="s">
        <v>110</v>
      </c>
      <c r="B63" s="9">
        <v>61105</v>
      </c>
      <c r="C63" s="9">
        <v>61107</v>
      </c>
      <c r="D63" s="9">
        <v>60477</v>
      </c>
      <c r="E63" s="9">
        <v>59203</v>
      </c>
      <c r="F63" s="9">
        <v>59203</v>
      </c>
      <c r="G63" s="9">
        <v>55879</v>
      </c>
      <c r="H63" s="9">
        <v>56265</v>
      </c>
      <c r="I63" s="9">
        <v>54989.53</v>
      </c>
      <c r="J63" s="9">
        <v>53280.14</v>
      </c>
      <c r="K63" s="9">
        <v>53573.01</v>
      </c>
      <c r="L63" s="9">
        <v>50586.18</v>
      </c>
      <c r="M63" s="9">
        <v>49333.48</v>
      </c>
      <c r="N63" s="9">
        <v>47822.59</v>
      </c>
      <c r="O63" s="9">
        <v>45856.54</v>
      </c>
      <c r="P63" s="9">
        <v>50300.73</v>
      </c>
      <c r="Q63" s="9">
        <v>42490.07</v>
      </c>
      <c r="R63" s="9">
        <v>40957.19</v>
      </c>
      <c r="S63" s="9">
        <v>39918.54</v>
      </c>
      <c r="T63" s="9">
        <v>38244</v>
      </c>
      <c r="U63" s="9">
        <v>49756.42</v>
      </c>
      <c r="V63" s="9">
        <v>40559.19</v>
      </c>
      <c r="W63" s="9">
        <v>39842.71</v>
      </c>
      <c r="X63" s="9">
        <v>39063.01</v>
      </c>
      <c r="Y63" s="9">
        <v>36569.870000000003</v>
      </c>
      <c r="Z63" s="9">
        <v>49390.48</v>
      </c>
      <c r="AA63" s="9">
        <v>39776.21</v>
      </c>
      <c r="AB63" s="9">
        <v>39714.410000000003</v>
      </c>
      <c r="AC63" s="9">
        <v>39604.21</v>
      </c>
      <c r="AD63" s="9">
        <v>37573.72</v>
      </c>
      <c r="AE63" s="9">
        <v>51459.89</v>
      </c>
    </row>
    <row r="64" spans="1:31" x14ac:dyDescent="0.25">
      <c r="A64" s="4" t="s">
        <v>109</v>
      </c>
      <c r="B64" s="9">
        <v>214633</v>
      </c>
      <c r="C64" s="9">
        <v>212643</v>
      </c>
      <c r="D64" s="9">
        <v>217180</v>
      </c>
      <c r="E64" s="9">
        <v>219237</v>
      </c>
      <c r="F64" s="9">
        <v>219237</v>
      </c>
      <c r="G64" s="9">
        <v>214667</v>
      </c>
      <c r="H64" s="9">
        <v>213553</v>
      </c>
      <c r="I64" s="9">
        <v>214074.77</v>
      </c>
      <c r="J64" s="9">
        <v>214907.39</v>
      </c>
      <c r="K64" s="9">
        <v>215700.15</v>
      </c>
      <c r="L64" s="9">
        <v>216426.36</v>
      </c>
      <c r="M64" s="9">
        <v>215906.72</v>
      </c>
      <c r="N64" s="9">
        <v>216326.09</v>
      </c>
      <c r="O64" s="9">
        <v>216253.33</v>
      </c>
      <c r="P64" s="9">
        <v>221986.35</v>
      </c>
      <c r="Q64" s="9">
        <v>215615.82</v>
      </c>
      <c r="R64" s="9">
        <v>215167.95</v>
      </c>
      <c r="S64" s="9">
        <v>215742.49</v>
      </c>
      <c r="T64" s="9">
        <v>214617.17</v>
      </c>
      <c r="U64" s="9">
        <v>227474.28</v>
      </c>
      <c r="V64" s="9">
        <v>216753.59</v>
      </c>
      <c r="W64" s="9">
        <v>216106.95</v>
      </c>
      <c r="X64" s="9">
        <v>217393.91</v>
      </c>
      <c r="Y64" s="9">
        <v>216250.49</v>
      </c>
      <c r="Z64" s="9">
        <v>231626.64</v>
      </c>
      <c r="AA64" s="9">
        <v>215959.76</v>
      </c>
      <c r="AB64" s="9">
        <v>215475.7</v>
      </c>
      <c r="AC64" s="9">
        <v>217652.9</v>
      </c>
      <c r="AD64" s="9">
        <v>216355.23</v>
      </c>
      <c r="AE64" s="9">
        <v>235918.25</v>
      </c>
    </row>
    <row r="65" spans="1:31" x14ac:dyDescent="0.25">
      <c r="A65" s="4" t="s">
        <v>65</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25">
      <c r="A66" s="4" t="s">
        <v>108</v>
      </c>
      <c r="B66" s="9">
        <v>87997</v>
      </c>
      <c r="C66" s="9">
        <v>85268</v>
      </c>
      <c r="D66" s="9">
        <v>86539</v>
      </c>
      <c r="E66" s="9">
        <v>88552</v>
      </c>
      <c r="F66" s="9">
        <v>88552</v>
      </c>
      <c r="G66" s="9">
        <v>88226</v>
      </c>
      <c r="H66" s="9">
        <v>86920</v>
      </c>
      <c r="I66" s="9">
        <v>87894.51</v>
      </c>
      <c r="J66" s="9">
        <v>89357.57</v>
      </c>
      <c r="K66" s="9">
        <v>89662.69</v>
      </c>
      <c r="L66" s="9">
        <v>93152.75</v>
      </c>
      <c r="M66" s="9">
        <v>93736.17</v>
      </c>
      <c r="N66" s="9">
        <v>95402.92</v>
      </c>
      <c r="O66" s="9">
        <v>96236.33</v>
      </c>
      <c r="P66" s="9">
        <v>98892.53</v>
      </c>
      <c r="Q66" s="9">
        <v>98609.5</v>
      </c>
      <c r="R66" s="9">
        <v>99276.33</v>
      </c>
      <c r="S66" s="9">
        <v>100976.5</v>
      </c>
      <c r="T66" s="9">
        <v>100976.67</v>
      </c>
      <c r="U66" s="9">
        <v>103994.89</v>
      </c>
      <c r="V66" s="9">
        <v>102243.5</v>
      </c>
      <c r="W66" s="9">
        <v>102243.67</v>
      </c>
      <c r="X66" s="9">
        <v>104577.17</v>
      </c>
      <c r="Y66" s="9">
        <v>104577.33</v>
      </c>
      <c r="Z66" s="9">
        <v>108521.71</v>
      </c>
      <c r="AA66" s="9">
        <v>105827.5</v>
      </c>
      <c r="AB66" s="9">
        <v>105827.67</v>
      </c>
      <c r="AC66" s="9">
        <v>108494.5</v>
      </c>
      <c r="AD66" s="9">
        <v>108494.67</v>
      </c>
      <c r="AE66" s="9">
        <v>112505.38</v>
      </c>
    </row>
    <row r="67" spans="1:31" x14ac:dyDescent="0.25">
      <c r="A67" s="4" t="s">
        <v>107</v>
      </c>
      <c r="B67" s="9">
        <v>75994</v>
      </c>
      <c r="C67" s="9">
        <v>75009</v>
      </c>
      <c r="D67" s="9">
        <v>83229</v>
      </c>
      <c r="E67" s="9">
        <v>82954</v>
      </c>
      <c r="F67" s="9">
        <v>82954</v>
      </c>
      <c r="G67" s="9">
        <v>84706</v>
      </c>
      <c r="H67" s="9">
        <v>84095</v>
      </c>
      <c r="I67" s="9">
        <v>82469.48</v>
      </c>
      <c r="J67" s="9">
        <v>83366.16</v>
      </c>
      <c r="K67" s="9">
        <v>83868.37</v>
      </c>
      <c r="L67" s="9">
        <v>84582.83</v>
      </c>
      <c r="M67" s="9">
        <v>84406.8</v>
      </c>
      <c r="N67" s="9">
        <v>86201.93</v>
      </c>
      <c r="O67" s="9">
        <v>86785.64</v>
      </c>
      <c r="P67" s="9">
        <v>89207.88</v>
      </c>
      <c r="Q67" s="9">
        <v>93877.87</v>
      </c>
      <c r="R67" s="9">
        <v>95245.78</v>
      </c>
      <c r="S67" s="9">
        <v>97315.03</v>
      </c>
      <c r="T67" s="9">
        <v>99362.36</v>
      </c>
      <c r="U67" s="9">
        <v>94112.14</v>
      </c>
      <c r="V67" s="9">
        <v>97882.28</v>
      </c>
      <c r="W67" s="9">
        <v>97832.05</v>
      </c>
      <c r="X67" s="9">
        <v>99769.919999999998</v>
      </c>
      <c r="Y67" s="9">
        <v>100871.31</v>
      </c>
      <c r="Z67" s="9">
        <v>94882.46</v>
      </c>
      <c r="AA67" s="9">
        <v>98932.84</v>
      </c>
      <c r="AB67" s="9">
        <v>98349.14</v>
      </c>
      <c r="AC67" s="9">
        <v>97098.86</v>
      </c>
      <c r="AD67" s="9">
        <v>99179.41</v>
      </c>
      <c r="AE67" s="9">
        <v>93867.98</v>
      </c>
    </row>
  </sheetData>
  <mergeCells count="1">
    <mergeCell ref="A1:D1"/>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4976-41A9-44A4-8D54-F2D54A33DF40}">
  <dimension ref="A1:AE59"/>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16.85546875" customWidth="1"/>
    <col min="12" max="15" width="18" customWidth="1"/>
    <col min="16" max="16" width="16.85546875" customWidth="1"/>
    <col min="17" max="20" width="18" customWidth="1"/>
    <col min="21" max="21" width="16.85546875" customWidth="1"/>
    <col min="22" max="25" width="18" customWidth="1"/>
    <col min="26" max="26" width="16.85546875" customWidth="1"/>
    <col min="27" max="30" width="18" customWidth="1"/>
    <col min="31" max="31" width="16.85546875" customWidth="1"/>
  </cols>
  <sheetData>
    <row r="1" spans="1:31" ht="39.950000000000003" customHeight="1" x14ac:dyDescent="0.25">
      <c r="A1" s="45"/>
      <c r="B1" s="45"/>
      <c r="C1" s="45"/>
      <c r="D1" s="45"/>
    </row>
    <row r="2" spans="1:31" ht="30" customHeight="1" x14ac:dyDescent="0.3">
      <c r="A2" s="1" t="s">
        <v>106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3" t="s">
        <v>105</v>
      </c>
      <c r="B16" s="9">
        <v>2953</v>
      </c>
      <c r="C16" s="9">
        <v>3222</v>
      </c>
      <c r="D16" s="9">
        <v>2714</v>
      </c>
      <c r="E16" s="9">
        <v>2103</v>
      </c>
      <c r="F16" s="9">
        <v>10992</v>
      </c>
      <c r="G16" s="9">
        <v>2504</v>
      </c>
      <c r="H16" s="9">
        <v>3239</v>
      </c>
      <c r="I16" s="9">
        <v>3111.44</v>
      </c>
      <c r="J16" s="9">
        <v>2942.99</v>
      </c>
      <c r="K16" s="9">
        <v>11787.12</v>
      </c>
      <c r="L16" s="9">
        <v>3552.08</v>
      </c>
      <c r="M16" s="9">
        <v>3770.03</v>
      </c>
      <c r="N16" s="9">
        <v>3782.45</v>
      </c>
      <c r="O16" s="9">
        <v>3630.11</v>
      </c>
      <c r="P16" s="9">
        <v>14606.32</v>
      </c>
      <c r="Q16" s="9">
        <v>4174.21</v>
      </c>
      <c r="R16" s="9">
        <v>4376</v>
      </c>
      <c r="S16" s="9">
        <v>4309.3599999999997</v>
      </c>
      <c r="T16" s="9">
        <v>4142.3599999999997</v>
      </c>
      <c r="U16" s="9">
        <v>16969.87</v>
      </c>
      <c r="V16" s="9">
        <v>4530</v>
      </c>
      <c r="W16" s="9">
        <v>4754.99</v>
      </c>
      <c r="X16" s="9">
        <v>4684.12</v>
      </c>
      <c r="Y16" s="9">
        <v>4503.24</v>
      </c>
      <c r="Z16" s="9">
        <v>18845.189999999999</v>
      </c>
      <c r="AA16" s="9">
        <v>4898.0200000000004</v>
      </c>
      <c r="AB16" s="9">
        <v>5159.29</v>
      </c>
      <c r="AC16" s="9">
        <v>5075.01</v>
      </c>
      <c r="AD16" s="9">
        <v>4872.54</v>
      </c>
      <c r="AE16" s="9">
        <v>20474.16</v>
      </c>
    </row>
    <row r="17" spans="1:31" x14ac:dyDescent="0.25">
      <c r="A17" s="3" t="s">
        <v>104</v>
      </c>
      <c r="B17" s="9">
        <v>3198</v>
      </c>
      <c r="C17" s="9">
        <v>3146</v>
      </c>
      <c r="D17" s="9">
        <v>3408</v>
      </c>
      <c r="E17" s="9">
        <v>3756</v>
      </c>
      <c r="F17" s="9">
        <v>13508</v>
      </c>
      <c r="G17" s="9">
        <v>3817</v>
      </c>
      <c r="H17" s="9">
        <v>3434</v>
      </c>
      <c r="I17" s="9">
        <v>3561.8</v>
      </c>
      <c r="J17" s="9">
        <v>3568.61</v>
      </c>
      <c r="K17" s="9">
        <v>14368.1</v>
      </c>
      <c r="L17" s="9">
        <v>3559.12</v>
      </c>
      <c r="M17" s="9">
        <v>3486.42</v>
      </c>
      <c r="N17" s="9">
        <v>3518.33</v>
      </c>
      <c r="O17" s="9">
        <v>3532.78</v>
      </c>
      <c r="P17" s="9">
        <v>14144.3</v>
      </c>
      <c r="Q17" s="9">
        <v>3528.41</v>
      </c>
      <c r="R17" s="9">
        <v>3462.92</v>
      </c>
      <c r="S17" s="9">
        <v>3504.13</v>
      </c>
      <c r="T17" s="9">
        <v>3512.84</v>
      </c>
      <c r="U17" s="9">
        <v>13953.72</v>
      </c>
      <c r="V17" s="9">
        <v>3524.11</v>
      </c>
      <c r="W17" s="9">
        <v>3443.97</v>
      </c>
      <c r="X17" s="9">
        <v>3499.6</v>
      </c>
      <c r="Y17" s="9">
        <v>3512.66</v>
      </c>
      <c r="Z17" s="9">
        <v>13929.13</v>
      </c>
      <c r="AA17" s="9">
        <v>3610.93</v>
      </c>
      <c r="AB17" s="9">
        <v>3479.38</v>
      </c>
      <c r="AC17" s="9">
        <v>3544.58</v>
      </c>
      <c r="AD17" s="9">
        <v>3566.1</v>
      </c>
      <c r="AE17" s="9">
        <v>14071.57</v>
      </c>
    </row>
    <row r="18" spans="1:31" x14ac:dyDescent="0.25">
      <c r="A18" s="3" t="s">
        <v>103</v>
      </c>
      <c r="B18" s="9">
        <v>186</v>
      </c>
      <c r="C18" s="9">
        <v>200</v>
      </c>
      <c r="D18" s="9">
        <v>227</v>
      </c>
      <c r="E18" s="9">
        <v>216</v>
      </c>
      <c r="F18" s="9">
        <v>829</v>
      </c>
      <c r="G18" s="9">
        <v>209</v>
      </c>
      <c r="H18" s="9">
        <v>214</v>
      </c>
      <c r="I18" s="9">
        <v>206.82</v>
      </c>
      <c r="J18" s="9">
        <v>218.31</v>
      </c>
      <c r="K18" s="9">
        <v>847.75</v>
      </c>
      <c r="L18" s="9">
        <v>205.62</v>
      </c>
      <c r="M18" s="9">
        <v>209.8</v>
      </c>
      <c r="N18" s="9">
        <v>214.8</v>
      </c>
      <c r="O18" s="9">
        <v>220.1</v>
      </c>
      <c r="P18" s="9">
        <v>865.37</v>
      </c>
      <c r="Q18" s="9">
        <v>203.6</v>
      </c>
      <c r="R18" s="9">
        <v>206.22</v>
      </c>
      <c r="S18" s="9">
        <v>207.26</v>
      </c>
      <c r="T18" s="9">
        <v>211.83</v>
      </c>
      <c r="U18" s="9">
        <v>891.55</v>
      </c>
      <c r="V18" s="9">
        <v>215.99</v>
      </c>
      <c r="W18" s="9">
        <v>220.93</v>
      </c>
      <c r="X18" s="9">
        <v>220.68</v>
      </c>
      <c r="Y18" s="9">
        <v>219.01</v>
      </c>
      <c r="Z18" s="9">
        <v>930.28</v>
      </c>
      <c r="AA18" s="9">
        <v>222.35</v>
      </c>
      <c r="AB18" s="9">
        <v>227.37</v>
      </c>
      <c r="AC18" s="9">
        <v>222.66</v>
      </c>
      <c r="AD18" s="9">
        <v>224.18</v>
      </c>
      <c r="AE18" s="9">
        <v>968.12</v>
      </c>
    </row>
    <row r="19" spans="1:31" x14ac:dyDescent="0.25">
      <c r="A19" s="3" t="s">
        <v>102</v>
      </c>
      <c r="B19" s="10">
        <v>-93</v>
      </c>
      <c r="C19" s="10">
        <v>-338</v>
      </c>
      <c r="D19" s="10">
        <v>-366</v>
      </c>
      <c r="E19" s="9">
        <v>42</v>
      </c>
      <c r="F19" s="10">
        <v>-755</v>
      </c>
      <c r="G19" s="10">
        <v>-162</v>
      </c>
      <c r="H19" s="10">
        <v>-498</v>
      </c>
      <c r="I19" s="10">
        <v>-416.57</v>
      </c>
      <c r="J19" s="10">
        <v>-459.68</v>
      </c>
      <c r="K19" s="10">
        <v>-1197.75</v>
      </c>
      <c r="L19" s="10">
        <v>-304.11</v>
      </c>
      <c r="M19" s="10">
        <v>-249.02</v>
      </c>
      <c r="N19" s="10">
        <v>-234.28</v>
      </c>
      <c r="O19" s="10">
        <v>-433.53</v>
      </c>
      <c r="P19" s="10">
        <v>-885.69</v>
      </c>
      <c r="Q19" s="10">
        <v>-332.44</v>
      </c>
      <c r="R19" s="10">
        <v>-534.22</v>
      </c>
      <c r="S19" s="10">
        <v>-534.07000000000005</v>
      </c>
      <c r="T19" s="10">
        <v>-534.27</v>
      </c>
      <c r="U19" s="10">
        <v>-969.03</v>
      </c>
      <c r="V19" s="10">
        <v>-400</v>
      </c>
      <c r="W19" s="10">
        <v>-400</v>
      </c>
      <c r="X19" s="10">
        <v>-400</v>
      </c>
      <c r="Y19" s="10">
        <v>-400</v>
      </c>
      <c r="Z19" s="10">
        <v>-1044.1500000000001</v>
      </c>
      <c r="AA19" s="10">
        <v>-400</v>
      </c>
      <c r="AB19" s="10">
        <v>-400</v>
      </c>
      <c r="AC19" s="10">
        <v>-400</v>
      </c>
      <c r="AD19" s="10">
        <v>-400</v>
      </c>
      <c r="AE19" s="10">
        <v>-1169.51</v>
      </c>
    </row>
    <row r="20" spans="1:31" x14ac:dyDescent="0.25">
      <c r="A20" s="3" t="s">
        <v>101</v>
      </c>
      <c r="B20" s="10">
        <v>-318</v>
      </c>
      <c r="C20" s="9">
        <v>264</v>
      </c>
      <c r="D20" s="10">
        <v>-537</v>
      </c>
      <c r="E20" s="10">
        <v>-24</v>
      </c>
      <c r="F20" s="10">
        <v>-615</v>
      </c>
      <c r="G20" s="9">
        <v>86</v>
      </c>
      <c r="H20" s="9">
        <v>142</v>
      </c>
      <c r="I20" s="10">
        <v>-184.81</v>
      </c>
      <c r="J20" s="10">
        <v>-209.09</v>
      </c>
      <c r="K20" s="10">
        <v>-15.55</v>
      </c>
      <c r="L20" s="9">
        <v>223.14</v>
      </c>
      <c r="M20" s="9">
        <v>193.49</v>
      </c>
      <c r="N20" s="10">
        <v>-202.83</v>
      </c>
      <c r="O20" s="10">
        <v>-355.41</v>
      </c>
      <c r="P20" s="10">
        <v>-113.53</v>
      </c>
      <c r="Q20" s="9">
        <v>57.66</v>
      </c>
      <c r="R20" s="9">
        <v>61.52</v>
      </c>
      <c r="S20" s="10">
        <v>-277.94</v>
      </c>
      <c r="T20" s="9">
        <v>64.75</v>
      </c>
      <c r="U20" s="10">
        <v>-85.71</v>
      </c>
      <c r="V20" s="9">
        <v>86</v>
      </c>
      <c r="W20" s="9">
        <v>142</v>
      </c>
      <c r="X20" s="10">
        <v>-537</v>
      </c>
      <c r="Y20" s="9">
        <v>150</v>
      </c>
      <c r="Z20" s="10">
        <v>-58.79</v>
      </c>
      <c r="AA20" s="9">
        <v>86</v>
      </c>
      <c r="AB20" s="9">
        <v>142</v>
      </c>
      <c r="AC20" s="10">
        <v>-537</v>
      </c>
      <c r="AD20" s="9">
        <v>150</v>
      </c>
      <c r="AE20" s="10">
        <v>-68.319999999999993</v>
      </c>
    </row>
    <row r="21" spans="1:31" x14ac:dyDescent="0.25">
      <c r="A21" s="3" t="s">
        <v>100</v>
      </c>
      <c r="B21" s="10">
        <v>-195</v>
      </c>
      <c r="C21" s="10">
        <v>-723</v>
      </c>
      <c r="D21" s="9">
        <v>366</v>
      </c>
      <c r="E21" s="10">
        <v>-243</v>
      </c>
      <c r="F21" s="10">
        <v>-1024</v>
      </c>
      <c r="G21" s="10">
        <v>-360</v>
      </c>
      <c r="H21" s="10">
        <v>-339</v>
      </c>
      <c r="I21" s="10">
        <v>-60.06</v>
      </c>
      <c r="J21" s="10">
        <v>-55.12</v>
      </c>
      <c r="K21" s="10">
        <v>-612.36</v>
      </c>
      <c r="L21" s="10">
        <v>-321.31</v>
      </c>
      <c r="M21" s="10">
        <v>-475.37</v>
      </c>
      <c r="N21" s="10">
        <v>-78.14</v>
      </c>
      <c r="O21" s="9">
        <v>148.29</v>
      </c>
      <c r="P21" s="10">
        <v>-429.21</v>
      </c>
      <c r="Q21" s="10">
        <v>-196.71</v>
      </c>
      <c r="R21" s="10">
        <v>-527.95000000000005</v>
      </c>
      <c r="S21" s="10">
        <v>-184.56</v>
      </c>
      <c r="T21" s="10">
        <v>-28.28</v>
      </c>
      <c r="U21" s="10">
        <v>-764.77</v>
      </c>
      <c r="V21" s="10">
        <v>-596.85</v>
      </c>
      <c r="W21" s="10">
        <v>-407.62</v>
      </c>
      <c r="X21" s="9">
        <v>264.97000000000003</v>
      </c>
      <c r="Y21" s="9">
        <v>762.94</v>
      </c>
      <c r="Z21" s="10">
        <v>-1043.52</v>
      </c>
      <c r="AA21" s="10">
        <v>-577.41999999999996</v>
      </c>
      <c r="AB21" s="10">
        <v>-403.28</v>
      </c>
      <c r="AC21" s="9">
        <v>447.71</v>
      </c>
      <c r="AD21" s="9">
        <v>651.54</v>
      </c>
      <c r="AE21" s="10">
        <v>-916.25</v>
      </c>
    </row>
    <row r="22" spans="1:31" x14ac:dyDescent="0.25">
      <c r="A22" s="4" t="s">
        <v>99</v>
      </c>
      <c r="B22" s="10">
        <v>-776</v>
      </c>
      <c r="C22" s="10">
        <v>-658</v>
      </c>
      <c r="D22" s="10">
        <v>-537</v>
      </c>
      <c r="E22" s="10">
        <v>-423</v>
      </c>
      <c r="F22" s="10">
        <v>-2394</v>
      </c>
      <c r="G22" s="10">
        <v>-436</v>
      </c>
      <c r="H22" s="10">
        <v>-886</v>
      </c>
      <c r="I22" s="10">
        <v>-450.15</v>
      </c>
      <c r="J22" s="10">
        <v>-503.76</v>
      </c>
      <c r="K22" s="10">
        <v>-1817.71</v>
      </c>
      <c r="L22" s="10">
        <v>-495.63</v>
      </c>
      <c r="M22" s="10">
        <v>-497.88</v>
      </c>
      <c r="N22" s="10">
        <v>-381.1</v>
      </c>
      <c r="O22" s="10">
        <v>-317.24</v>
      </c>
      <c r="P22" s="10">
        <v>-1317.46</v>
      </c>
      <c r="Q22" s="10">
        <v>-562.79999999999995</v>
      </c>
      <c r="R22" s="10">
        <v>-604.55999999999995</v>
      </c>
      <c r="S22" s="10">
        <v>-544.41999999999996</v>
      </c>
      <c r="T22" s="10">
        <v>-227.96</v>
      </c>
      <c r="U22" s="10">
        <v>-1534.01</v>
      </c>
      <c r="V22" s="10">
        <v>-759.12</v>
      </c>
      <c r="W22" s="10">
        <v>-442.63</v>
      </c>
      <c r="X22" s="10">
        <v>-310.83999999999997</v>
      </c>
      <c r="Y22" s="9">
        <v>27.53</v>
      </c>
      <c r="Z22" s="10">
        <v>-1611.9</v>
      </c>
      <c r="AA22" s="10">
        <v>-769.02</v>
      </c>
      <c r="AB22" s="10">
        <v>-297.43</v>
      </c>
      <c r="AC22" s="10">
        <v>-111.62</v>
      </c>
      <c r="AD22" s="9">
        <v>305.18</v>
      </c>
      <c r="AE22" s="10">
        <v>-1453.27</v>
      </c>
    </row>
    <row r="23" spans="1:31" x14ac:dyDescent="0.25">
      <c r="A23" s="3" t="s">
        <v>98</v>
      </c>
      <c r="B23" s="9">
        <v>1286</v>
      </c>
      <c r="C23" s="9">
        <v>1082</v>
      </c>
      <c r="D23" s="9">
        <v>1645</v>
      </c>
      <c r="E23" s="9">
        <v>1002</v>
      </c>
      <c r="F23" s="9">
        <v>5015</v>
      </c>
      <c r="G23" s="9">
        <v>1128</v>
      </c>
      <c r="H23" s="9">
        <v>1308</v>
      </c>
      <c r="I23" s="9">
        <v>819.93</v>
      </c>
      <c r="J23" s="9">
        <v>706.51</v>
      </c>
      <c r="K23" s="9">
        <v>3765.17</v>
      </c>
      <c r="L23" s="9">
        <v>625.67999999999995</v>
      </c>
      <c r="M23" s="9">
        <v>504.4</v>
      </c>
      <c r="N23" s="9">
        <v>513.14</v>
      </c>
      <c r="O23" s="9">
        <v>756.27</v>
      </c>
      <c r="P23" s="9">
        <v>1987.26</v>
      </c>
      <c r="Q23" s="9">
        <v>744.5</v>
      </c>
      <c r="R23" s="9">
        <v>615.79999999999995</v>
      </c>
      <c r="S23" s="9">
        <v>580.67999999999995</v>
      </c>
      <c r="T23" s="9">
        <v>617.94000000000005</v>
      </c>
      <c r="U23" s="9">
        <v>2148.63</v>
      </c>
      <c r="V23" s="9">
        <v>564.4</v>
      </c>
      <c r="W23" s="9">
        <v>553.42999999999995</v>
      </c>
      <c r="X23" s="9">
        <v>547.32000000000005</v>
      </c>
      <c r="Y23" s="9">
        <v>593.48</v>
      </c>
      <c r="Z23" s="9">
        <v>2129.41</v>
      </c>
      <c r="AA23" s="9">
        <v>321.77999999999997</v>
      </c>
      <c r="AB23" s="9">
        <v>316.2</v>
      </c>
      <c r="AC23" s="9">
        <v>317.23</v>
      </c>
      <c r="AD23" s="9">
        <v>335.11</v>
      </c>
      <c r="AE23" s="9">
        <v>1656.4</v>
      </c>
    </row>
    <row r="24" spans="1:31" x14ac:dyDescent="0.25">
      <c r="A24" s="4" t="s">
        <v>97</v>
      </c>
      <c r="B24" s="9">
        <v>6847</v>
      </c>
      <c r="C24" s="9">
        <v>6992</v>
      </c>
      <c r="D24" s="9">
        <v>7457</v>
      </c>
      <c r="E24" s="9">
        <v>6654</v>
      </c>
      <c r="F24" s="9">
        <v>27950</v>
      </c>
      <c r="G24" s="9">
        <v>7222</v>
      </c>
      <c r="H24" s="9">
        <v>7500</v>
      </c>
      <c r="I24" s="9">
        <v>7326.45</v>
      </c>
      <c r="J24" s="9">
        <v>6846.41</v>
      </c>
      <c r="K24" s="9">
        <v>28834.58</v>
      </c>
      <c r="L24" s="9">
        <v>7527.63</v>
      </c>
      <c r="M24" s="9">
        <v>7430.78</v>
      </c>
      <c r="N24" s="9">
        <v>7535.92</v>
      </c>
      <c r="O24" s="9">
        <v>7734.28</v>
      </c>
      <c r="P24" s="9">
        <v>30085.439999999999</v>
      </c>
      <c r="Q24" s="9">
        <v>7979.06</v>
      </c>
      <c r="R24" s="9">
        <v>7972.36</v>
      </c>
      <c r="S24" s="9">
        <v>7980.28</v>
      </c>
      <c r="T24" s="9">
        <v>8172.11</v>
      </c>
      <c r="U24" s="9">
        <v>32164.83</v>
      </c>
      <c r="V24" s="9">
        <v>7948.74</v>
      </c>
      <c r="W24" s="9">
        <v>8407.24</v>
      </c>
      <c r="X24" s="9">
        <v>8519.58</v>
      </c>
      <c r="Y24" s="9">
        <v>8719.5400000000009</v>
      </c>
      <c r="Z24" s="9">
        <v>33981.54</v>
      </c>
      <c r="AA24" s="9">
        <v>8155.88</v>
      </c>
      <c r="AB24" s="9">
        <v>8757.27</v>
      </c>
      <c r="AC24" s="9">
        <v>8921.48</v>
      </c>
      <c r="AD24" s="9">
        <v>9171.7099999999991</v>
      </c>
      <c r="AE24" s="9">
        <v>35439.440000000002</v>
      </c>
    </row>
    <row r="25" spans="1:31" x14ac:dyDescent="0.25">
      <c r="A25" s="3" t="s">
        <v>96</v>
      </c>
      <c r="B25" s="9">
        <v>2451</v>
      </c>
      <c r="C25" s="9">
        <v>2396</v>
      </c>
      <c r="D25" s="9">
        <v>2639</v>
      </c>
      <c r="E25" s="9">
        <v>2469</v>
      </c>
      <c r="F25" s="9">
        <v>9955</v>
      </c>
      <c r="G25" s="9">
        <v>2623</v>
      </c>
      <c r="H25" s="9">
        <v>2703</v>
      </c>
      <c r="I25" s="9">
        <v>2425.62</v>
      </c>
      <c r="J25" s="9">
        <v>2334.25</v>
      </c>
      <c r="K25" s="9">
        <v>10079.49</v>
      </c>
      <c r="L25" s="9">
        <v>2455.9</v>
      </c>
      <c r="M25" s="9">
        <v>2512.9299999999998</v>
      </c>
      <c r="N25" s="9">
        <v>2428.23</v>
      </c>
      <c r="O25" s="9">
        <v>2399.77</v>
      </c>
      <c r="P25" s="9">
        <v>9859.0300000000007</v>
      </c>
      <c r="Q25" s="9">
        <v>2529.8000000000002</v>
      </c>
      <c r="R25" s="9">
        <v>2587.52</v>
      </c>
      <c r="S25" s="9">
        <v>2422.58</v>
      </c>
      <c r="T25" s="9">
        <v>2357.25</v>
      </c>
      <c r="U25" s="9">
        <v>10063.629999999999</v>
      </c>
      <c r="V25" s="9">
        <v>2598.15</v>
      </c>
      <c r="W25" s="9">
        <v>2627.42</v>
      </c>
      <c r="X25" s="9">
        <v>2439.7199999999998</v>
      </c>
      <c r="Y25" s="9">
        <v>2436.36</v>
      </c>
      <c r="Z25" s="9">
        <v>10372.5</v>
      </c>
      <c r="AA25" s="9">
        <v>2644.12</v>
      </c>
      <c r="AB25" s="9">
        <v>2663.14</v>
      </c>
      <c r="AC25" s="9">
        <v>2496.64</v>
      </c>
      <c r="AD25" s="9">
        <v>2555.87</v>
      </c>
      <c r="AE25" s="9">
        <v>10826.58</v>
      </c>
    </row>
    <row r="26" spans="1:31" x14ac:dyDescent="0.25">
      <c r="A26" s="3" t="s">
        <v>95</v>
      </c>
      <c r="B26" s="9">
        <v>7</v>
      </c>
      <c r="C26" s="9">
        <v>2066</v>
      </c>
      <c r="D26" s="9">
        <v>18</v>
      </c>
      <c r="E26" s="9">
        <v>77</v>
      </c>
      <c r="F26" s="9">
        <v>2168</v>
      </c>
      <c r="G26" s="9">
        <v>95</v>
      </c>
      <c r="H26" s="9">
        <v>16</v>
      </c>
      <c r="I26" s="8" t="s">
        <v>54</v>
      </c>
      <c r="J26" s="8" t="s">
        <v>54</v>
      </c>
      <c r="K26" s="9">
        <v>111</v>
      </c>
      <c r="L26" s="8" t="s">
        <v>54</v>
      </c>
      <c r="M26" s="8" t="s">
        <v>54</v>
      </c>
      <c r="N26" s="8" t="s">
        <v>54</v>
      </c>
      <c r="O26" s="8" t="s">
        <v>54</v>
      </c>
      <c r="P26" s="8" t="s">
        <v>54</v>
      </c>
      <c r="Q26" s="8" t="s">
        <v>54</v>
      </c>
      <c r="R26" s="8" t="s">
        <v>54</v>
      </c>
      <c r="S26" s="8" t="s">
        <v>54</v>
      </c>
      <c r="T26" s="8" t="s">
        <v>54</v>
      </c>
      <c r="U26" s="8" t="s">
        <v>54</v>
      </c>
      <c r="V26" s="8" t="s">
        <v>54</v>
      </c>
      <c r="W26" s="8" t="s">
        <v>54</v>
      </c>
      <c r="X26" s="8" t="s">
        <v>54</v>
      </c>
      <c r="Y26" s="8" t="s">
        <v>54</v>
      </c>
      <c r="Z26" s="8" t="s">
        <v>54</v>
      </c>
      <c r="AA26" s="8" t="s">
        <v>54</v>
      </c>
      <c r="AB26" s="8" t="s">
        <v>54</v>
      </c>
      <c r="AC26" s="8" t="s">
        <v>54</v>
      </c>
      <c r="AD26" s="8" t="s">
        <v>54</v>
      </c>
      <c r="AE26" s="8" t="s">
        <v>54</v>
      </c>
    </row>
    <row r="27" spans="1:31" x14ac:dyDescent="0.25">
      <c r="A27" s="3" t="s">
        <v>94</v>
      </c>
      <c r="B27" s="9">
        <v>73</v>
      </c>
      <c r="C27" s="9">
        <v>842</v>
      </c>
      <c r="D27" s="9">
        <v>1590</v>
      </c>
      <c r="E27" s="9">
        <v>63</v>
      </c>
      <c r="F27" s="9">
        <v>2568</v>
      </c>
      <c r="G27" s="9">
        <v>26</v>
      </c>
      <c r="H27" s="9">
        <v>484</v>
      </c>
      <c r="I27" s="10">
        <v>-878.78</v>
      </c>
      <c r="J27" s="9">
        <v>995.67</v>
      </c>
      <c r="K27" s="9">
        <v>983.12</v>
      </c>
      <c r="L27" s="9">
        <v>168.75</v>
      </c>
      <c r="M27" s="9">
        <v>168.75</v>
      </c>
      <c r="N27" s="9">
        <v>3695.83</v>
      </c>
      <c r="O27" s="9">
        <v>168.75</v>
      </c>
      <c r="P27" s="9">
        <v>6754.55</v>
      </c>
      <c r="Q27" s="9">
        <v>125</v>
      </c>
      <c r="R27" s="9">
        <v>1968.75</v>
      </c>
      <c r="S27" s="9">
        <v>2593.75</v>
      </c>
      <c r="T27" s="9">
        <v>2131.25</v>
      </c>
      <c r="U27" s="9">
        <v>5604.17</v>
      </c>
      <c r="V27" s="9">
        <v>62.5</v>
      </c>
      <c r="W27" s="9">
        <v>62.5</v>
      </c>
      <c r="X27" s="9">
        <v>3375</v>
      </c>
      <c r="Y27" s="9">
        <v>62.5</v>
      </c>
      <c r="Z27" s="9">
        <v>6700</v>
      </c>
      <c r="AA27" s="9">
        <v>62.5</v>
      </c>
      <c r="AB27" s="9">
        <v>62.5</v>
      </c>
      <c r="AC27" s="9">
        <v>62.5</v>
      </c>
      <c r="AD27" s="9">
        <v>1341.67</v>
      </c>
      <c r="AE27" s="9">
        <v>2980.32</v>
      </c>
    </row>
    <row r="28" spans="1:31" x14ac:dyDescent="0.25">
      <c r="A28" s="3" t="s">
        <v>93</v>
      </c>
      <c r="B28" s="9">
        <v>586</v>
      </c>
      <c r="C28" s="9">
        <v>2160.5</v>
      </c>
      <c r="D28" s="10">
        <v>-1642.5</v>
      </c>
      <c r="E28" s="9">
        <v>1309</v>
      </c>
      <c r="F28" s="9">
        <v>1804</v>
      </c>
      <c r="G28" s="9">
        <v>1158.5</v>
      </c>
      <c r="H28" s="9">
        <v>1304</v>
      </c>
      <c r="I28" s="10">
        <v>-135</v>
      </c>
      <c r="J28" s="9">
        <v>200</v>
      </c>
      <c r="K28" s="9">
        <v>4990</v>
      </c>
      <c r="L28" s="8" t="s">
        <v>54</v>
      </c>
      <c r="M28" s="8" t="s">
        <v>54</v>
      </c>
      <c r="N28" s="8" t="s">
        <v>54</v>
      </c>
      <c r="O28" s="8" t="s">
        <v>54</v>
      </c>
      <c r="P28" s="8" t="s">
        <v>54</v>
      </c>
      <c r="Q28" s="8" t="s">
        <v>54</v>
      </c>
      <c r="R28" s="8" t="s">
        <v>54</v>
      </c>
      <c r="S28" s="8" t="s">
        <v>54</v>
      </c>
      <c r="T28" s="8" t="s">
        <v>54</v>
      </c>
      <c r="U28" s="8" t="s">
        <v>54</v>
      </c>
      <c r="V28" s="8" t="s">
        <v>54</v>
      </c>
      <c r="W28" s="8" t="s">
        <v>54</v>
      </c>
      <c r="X28" s="8" t="s">
        <v>54</v>
      </c>
      <c r="Y28" s="8" t="s">
        <v>54</v>
      </c>
      <c r="Z28" s="8" t="s">
        <v>54</v>
      </c>
      <c r="AA28" s="8" t="s">
        <v>54</v>
      </c>
      <c r="AB28" s="8" t="s">
        <v>54</v>
      </c>
      <c r="AC28" s="8" t="s">
        <v>54</v>
      </c>
      <c r="AD28" s="8" t="s">
        <v>54</v>
      </c>
      <c r="AE28" s="8" t="s">
        <v>54</v>
      </c>
    </row>
    <row r="29" spans="1:31" x14ac:dyDescent="0.25">
      <c r="A29" s="3" t="s">
        <v>92</v>
      </c>
      <c r="B29" s="10">
        <v>-727</v>
      </c>
      <c r="C29" s="9">
        <v>1</v>
      </c>
      <c r="D29" s="10">
        <v>-2797</v>
      </c>
      <c r="E29" s="9">
        <v>51</v>
      </c>
      <c r="F29" s="10">
        <v>-3523</v>
      </c>
      <c r="G29" s="10">
        <v>-1</v>
      </c>
      <c r="H29" s="10">
        <v>-672.5</v>
      </c>
      <c r="I29" s="9">
        <v>675</v>
      </c>
      <c r="J29" s="10">
        <v>-172.1</v>
      </c>
      <c r="K29" s="9">
        <v>67.09</v>
      </c>
      <c r="L29" s="10">
        <v>-125</v>
      </c>
      <c r="M29" s="10">
        <v>-1062.5</v>
      </c>
      <c r="N29" s="10">
        <v>-125</v>
      </c>
      <c r="O29" s="10">
        <v>-312.5</v>
      </c>
      <c r="P29" s="10">
        <v>-5350</v>
      </c>
      <c r="Q29" s="10">
        <v>-500</v>
      </c>
      <c r="R29" s="10">
        <v>-500</v>
      </c>
      <c r="S29" s="8" t="s">
        <v>54</v>
      </c>
      <c r="T29" s="8" t="s">
        <v>54</v>
      </c>
      <c r="U29" s="10">
        <v>-1008.33</v>
      </c>
      <c r="V29" s="8" t="s">
        <v>54</v>
      </c>
      <c r="W29" s="8" t="s">
        <v>54</v>
      </c>
      <c r="X29" s="8" t="s">
        <v>54</v>
      </c>
      <c r="Y29" s="8" t="s">
        <v>54</v>
      </c>
      <c r="Z29" s="10">
        <v>-1000</v>
      </c>
      <c r="AA29" s="8" t="s">
        <v>54</v>
      </c>
      <c r="AB29" s="8" t="s">
        <v>54</v>
      </c>
      <c r="AC29" s="8" t="s">
        <v>54</v>
      </c>
      <c r="AD29" s="8" t="s">
        <v>54</v>
      </c>
      <c r="AE29" s="10">
        <v>-3000</v>
      </c>
    </row>
    <row r="30" spans="1:31" x14ac:dyDescent="0.25">
      <c r="A30" s="4" t="s">
        <v>91</v>
      </c>
      <c r="B30" s="10">
        <v>-727</v>
      </c>
      <c r="C30" s="9">
        <v>1</v>
      </c>
      <c r="D30" s="10">
        <v>-2797</v>
      </c>
      <c r="E30" s="9">
        <v>693</v>
      </c>
      <c r="F30" s="10">
        <v>-3523</v>
      </c>
      <c r="G30" s="10">
        <v>-1</v>
      </c>
      <c r="H30" s="10">
        <v>-13.67</v>
      </c>
      <c r="I30" s="9">
        <v>405</v>
      </c>
      <c r="J30" s="9">
        <v>13.95</v>
      </c>
      <c r="K30" s="9">
        <v>435.3</v>
      </c>
      <c r="L30" s="10">
        <v>-5062.5</v>
      </c>
      <c r="M30" s="10">
        <v>-1062.5</v>
      </c>
      <c r="N30" s="10">
        <v>-125</v>
      </c>
      <c r="O30" s="10">
        <v>-312.5</v>
      </c>
      <c r="P30" s="10">
        <v>-6125</v>
      </c>
      <c r="Q30" s="10">
        <v>-500</v>
      </c>
      <c r="R30" s="10">
        <v>-500</v>
      </c>
      <c r="S30" s="8" t="s">
        <v>54</v>
      </c>
      <c r="T30" s="8" t="s">
        <v>54</v>
      </c>
      <c r="U30" s="10">
        <v>-1008.33</v>
      </c>
      <c r="V30" s="8" t="s">
        <v>54</v>
      </c>
      <c r="W30" s="8" t="s">
        <v>54</v>
      </c>
      <c r="X30" s="8" t="s">
        <v>54</v>
      </c>
      <c r="Y30" s="8" t="s">
        <v>54</v>
      </c>
      <c r="Z30" s="10">
        <v>-1000</v>
      </c>
      <c r="AA30" s="8" t="s">
        <v>54</v>
      </c>
      <c r="AB30" s="8" t="s">
        <v>54</v>
      </c>
      <c r="AC30" s="8" t="s">
        <v>54</v>
      </c>
      <c r="AD30" s="8" t="s">
        <v>54</v>
      </c>
      <c r="AE30" s="10">
        <v>-3000</v>
      </c>
    </row>
    <row r="31" spans="1:31" x14ac:dyDescent="0.25">
      <c r="A31" s="3" t="s">
        <v>90</v>
      </c>
      <c r="B31" s="10">
        <v>-165</v>
      </c>
      <c r="C31" s="9">
        <v>1678</v>
      </c>
      <c r="D31" s="10">
        <v>-3113</v>
      </c>
      <c r="E31" s="9">
        <v>32</v>
      </c>
      <c r="F31" s="10">
        <v>-1561</v>
      </c>
      <c r="G31" s="10">
        <v>-199</v>
      </c>
      <c r="H31" s="9">
        <v>135</v>
      </c>
      <c r="I31" s="10">
        <v>-887.5</v>
      </c>
      <c r="J31" s="10">
        <v>-4825</v>
      </c>
      <c r="K31" s="10">
        <v>-1647.95</v>
      </c>
      <c r="L31" s="10">
        <v>-5000</v>
      </c>
      <c r="M31" s="8" t="s">
        <v>54</v>
      </c>
      <c r="N31" s="8" t="s">
        <v>54</v>
      </c>
      <c r="O31" s="10">
        <v>-5750</v>
      </c>
      <c r="P31" s="10">
        <v>-8117.18</v>
      </c>
      <c r="Q31" s="10">
        <v>-3000</v>
      </c>
      <c r="R31" s="10">
        <v>-1000</v>
      </c>
      <c r="S31" s="10">
        <v>-2000</v>
      </c>
      <c r="T31" s="10">
        <v>-4500</v>
      </c>
      <c r="U31" s="10">
        <v>-6367.03</v>
      </c>
      <c r="V31" s="8" t="s">
        <v>54</v>
      </c>
      <c r="W31" s="8" t="s">
        <v>54</v>
      </c>
      <c r="X31" s="8" t="s">
        <v>54</v>
      </c>
      <c r="Y31" s="10">
        <v>-7000</v>
      </c>
      <c r="Z31" s="10">
        <v>-7000</v>
      </c>
      <c r="AA31" s="8" t="s">
        <v>54</v>
      </c>
      <c r="AB31" s="8" t="s">
        <v>54</v>
      </c>
      <c r="AC31" s="8" t="s">
        <v>54</v>
      </c>
      <c r="AD31" s="10">
        <v>-6500</v>
      </c>
      <c r="AE31" s="10">
        <v>-6500</v>
      </c>
    </row>
    <row r="32" spans="1:31" x14ac:dyDescent="0.25">
      <c r="A32" s="4" t="s">
        <v>89</v>
      </c>
      <c r="B32" s="10">
        <v>-3409</v>
      </c>
      <c r="C32" s="10">
        <v>-1559</v>
      </c>
      <c r="D32" s="10">
        <v>-10139</v>
      </c>
      <c r="E32" s="10">
        <v>-2500</v>
      </c>
      <c r="F32" s="10">
        <v>-17607</v>
      </c>
      <c r="G32" s="10">
        <v>-2849</v>
      </c>
      <c r="H32" s="10">
        <v>-3052</v>
      </c>
      <c r="I32" s="10">
        <v>-2185.4</v>
      </c>
      <c r="J32" s="10">
        <v>-3751.54</v>
      </c>
      <c r="K32" s="10">
        <v>-11918.01</v>
      </c>
      <c r="L32" s="10">
        <v>-3772.56</v>
      </c>
      <c r="M32" s="10">
        <v>-2746.26</v>
      </c>
      <c r="N32" s="10">
        <v>-4455.5</v>
      </c>
      <c r="O32" s="10">
        <v>-3563.41</v>
      </c>
      <c r="P32" s="10">
        <v>-18059.97</v>
      </c>
      <c r="Q32" s="10">
        <v>-3175.64</v>
      </c>
      <c r="R32" s="10">
        <v>-4150.0200000000004</v>
      </c>
      <c r="S32" s="10">
        <v>-4485.08</v>
      </c>
      <c r="T32" s="10">
        <v>-4528.09</v>
      </c>
      <c r="U32" s="10">
        <v>-16078.52</v>
      </c>
      <c r="V32" s="10">
        <v>-2623.15</v>
      </c>
      <c r="W32" s="10">
        <v>-2652.42</v>
      </c>
      <c r="X32" s="10">
        <v>-4464.72</v>
      </c>
      <c r="Y32" s="10">
        <v>-3861.36</v>
      </c>
      <c r="Z32" s="10">
        <v>-13908.22</v>
      </c>
      <c r="AA32" s="10">
        <v>-2675.37</v>
      </c>
      <c r="AB32" s="10">
        <v>-2694.39</v>
      </c>
      <c r="AC32" s="10">
        <v>-2527.89</v>
      </c>
      <c r="AD32" s="10">
        <v>-5187.12</v>
      </c>
      <c r="AE32" s="10">
        <v>-13165.17</v>
      </c>
    </row>
    <row r="33" spans="1:31" x14ac:dyDescent="0.25">
      <c r="A33" s="3" t="s">
        <v>88</v>
      </c>
      <c r="B33" s="9">
        <v>6980</v>
      </c>
      <c r="C33" s="10">
        <v>-3594</v>
      </c>
      <c r="D33" s="10">
        <v>-648</v>
      </c>
      <c r="E33" s="9">
        <v>1821</v>
      </c>
      <c r="F33" s="9">
        <v>4559</v>
      </c>
      <c r="G33" s="10">
        <v>-341</v>
      </c>
      <c r="H33" s="10">
        <v>-1701</v>
      </c>
      <c r="I33" s="9">
        <v>1389.45</v>
      </c>
      <c r="J33" s="9">
        <v>1530.06</v>
      </c>
      <c r="K33" s="9">
        <v>222.37</v>
      </c>
      <c r="L33" s="9">
        <v>6851.08</v>
      </c>
      <c r="M33" s="9">
        <v>1570.08</v>
      </c>
      <c r="N33" s="9">
        <v>1494.64</v>
      </c>
      <c r="O33" s="9">
        <v>1748.12</v>
      </c>
      <c r="P33" s="9">
        <v>9561.52</v>
      </c>
      <c r="Q33" s="9">
        <v>1315.83</v>
      </c>
      <c r="R33" s="9">
        <v>2320.25</v>
      </c>
      <c r="S33" s="9">
        <v>1985.12</v>
      </c>
      <c r="T33" s="10">
        <v>-103.17</v>
      </c>
      <c r="U33" s="9">
        <v>3647.13</v>
      </c>
      <c r="V33" s="9">
        <v>500.25</v>
      </c>
      <c r="W33" s="9">
        <v>483.25</v>
      </c>
      <c r="X33" s="9">
        <v>2833.5</v>
      </c>
      <c r="Y33" s="9">
        <v>1650.25</v>
      </c>
      <c r="Z33" s="9">
        <v>3114.58</v>
      </c>
      <c r="AA33" s="9">
        <v>0.5</v>
      </c>
      <c r="AB33" s="9">
        <v>0.5</v>
      </c>
      <c r="AC33" s="9">
        <v>4000.25</v>
      </c>
      <c r="AD33" s="9">
        <v>0.5</v>
      </c>
      <c r="AE33" s="9">
        <v>2035.42</v>
      </c>
    </row>
    <row r="34" spans="1:31" x14ac:dyDescent="0.25">
      <c r="A34" s="3" t="s">
        <v>87</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row>
    <row r="35" spans="1:31" x14ac:dyDescent="0.25">
      <c r="A35" s="3" t="s">
        <v>86</v>
      </c>
      <c r="B35" s="9">
        <v>2494</v>
      </c>
      <c r="C35" s="9">
        <v>2555</v>
      </c>
      <c r="D35" s="9">
        <v>2479</v>
      </c>
      <c r="E35" s="9">
        <v>2446</v>
      </c>
      <c r="F35" s="9">
        <v>9974</v>
      </c>
      <c r="G35" s="9">
        <v>4826</v>
      </c>
      <c r="H35" s="9">
        <v>2320</v>
      </c>
      <c r="I35" s="9">
        <v>2549.9</v>
      </c>
      <c r="J35" s="9">
        <v>2497</v>
      </c>
      <c r="K35" s="9">
        <v>11993.55</v>
      </c>
      <c r="L35" s="9">
        <v>2875.14</v>
      </c>
      <c r="M35" s="9">
        <v>2874.29</v>
      </c>
      <c r="N35" s="9">
        <v>3039.86</v>
      </c>
      <c r="O35" s="9">
        <v>3035.14</v>
      </c>
      <c r="P35" s="9">
        <v>11342.82</v>
      </c>
      <c r="Q35" s="9">
        <v>3833.33</v>
      </c>
      <c r="R35" s="9">
        <v>3833.33</v>
      </c>
      <c r="S35" s="9">
        <v>3833.33</v>
      </c>
      <c r="T35" s="9">
        <v>3833.33</v>
      </c>
      <c r="U35" s="9">
        <v>13596.38</v>
      </c>
      <c r="V35" s="9">
        <v>4375</v>
      </c>
      <c r="W35" s="9">
        <v>4375</v>
      </c>
      <c r="X35" s="9">
        <v>4375</v>
      </c>
      <c r="Y35" s="9">
        <v>4375</v>
      </c>
      <c r="Z35" s="9">
        <v>15582.81</v>
      </c>
      <c r="AA35" s="9">
        <v>4375</v>
      </c>
      <c r="AB35" s="9">
        <v>4375</v>
      </c>
      <c r="AC35" s="9">
        <v>4375</v>
      </c>
      <c r="AD35" s="9">
        <v>4375</v>
      </c>
      <c r="AE35" s="9">
        <v>16228.52</v>
      </c>
    </row>
    <row r="36" spans="1:31" x14ac:dyDescent="0.25">
      <c r="A36" s="3" t="s">
        <v>85</v>
      </c>
      <c r="B36" s="8" t="s">
        <v>54</v>
      </c>
      <c r="C36" s="8" t="s">
        <v>54</v>
      </c>
      <c r="D36" s="8" t="s">
        <v>54</v>
      </c>
      <c r="E36" s="8" t="s">
        <v>54</v>
      </c>
      <c r="F36" s="8" t="s">
        <v>54</v>
      </c>
      <c r="G36" s="8" t="s">
        <v>54</v>
      </c>
      <c r="H36" s="8" t="s">
        <v>54</v>
      </c>
      <c r="I36" s="8" t="s">
        <v>54</v>
      </c>
      <c r="J36" s="8" t="s">
        <v>54</v>
      </c>
      <c r="K36" s="8" t="s">
        <v>54</v>
      </c>
      <c r="L36" s="8" t="s">
        <v>54</v>
      </c>
      <c r="M36" s="8" t="s">
        <v>54</v>
      </c>
      <c r="N36" s="8" t="s">
        <v>54</v>
      </c>
      <c r="O36" s="8" t="s">
        <v>54</v>
      </c>
      <c r="P36" s="8" t="s">
        <v>54</v>
      </c>
      <c r="Q36" s="8" t="s">
        <v>54</v>
      </c>
      <c r="R36" s="8" t="s">
        <v>54</v>
      </c>
      <c r="S36" s="8" t="s">
        <v>54</v>
      </c>
      <c r="T36" s="8" t="s">
        <v>54</v>
      </c>
      <c r="U36" s="8" t="s">
        <v>54</v>
      </c>
      <c r="V36" s="8" t="s">
        <v>54</v>
      </c>
      <c r="W36" s="8" t="s">
        <v>54</v>
      </c>
      <c r="X36" s="8" t="s">
        <v>54</v>
      </c>
      <c r="Y36" s="8" t="s">
        <v>54</v>
      </c>
      <c r="Z36" s="8" t="s">
        <v>54</v>
      </c>
      <c r="AA36" s="8" t="s">
        <v>54</v>
      </c>
      <c r="AB36" s="8" t="s">
        <v>54</v>
      </c>
      <c r="AC36" s="8" t="s">
        <v>54</v>
      </c>
      <c r="AD36" s="8" t="s">
        <v>54</v>
      </c>
      <c r="AE36" s="8" t="s">
        <v>54</v>
      </c>
    </row>
    <row r="37" spans="1:31" x14ac:dyDescent="0.25">
      <c r="A37" s="4" t="s">
        <v>84</v>
      </c>
      <c r="B37" s="10">
        <v>-2494</v>
      </c>
      <c r="C37" s="10">
        <v>-2555</v>
      </c>
      <c r="D37" s="10">
        <v>-2479</v>
      </c>
      <c r="E37" s="10">
        <v>-2446</v>
      </c>
      <c r="F37" s="10">
        <v>-9974</v>
      </c>
      <c r="G37" s="10">
        <v>-4826</v>
      </c>
      <c r="H37" s="10">
        <v>-2320</v>
      </c>
      <c r="I37" s="10">
        <v>-2510.48</v>
      </c>
      <c r="J37" s="10">
        <v>-2419.2800000000002</v>
      </c>
      <c r="K37" s="10">
        <v>-11920.31</v>
      </c>
      <c r="L37" s="10">
        <v>-2901.44</v>
      </c>
      <c r="M37" s="10">
        <v>-3338.76</v>
      </c>
      <c r="N37" s="10">
        <v>-3049.85</v>
      </c>
      <c r="O37" s="10">
        <v>-3079.35</v>
      </c>
      <c r="P37" s="10">
        <v>-11401.48</v>
      </c>
      <c r="Q37" s="10">
        <v>-3832.03</v>
      </c>
      <c r="R37" s="10">
        <v>-3851.79</v>
      </c>
      <c r="S37" s="10">
        <v>-3872.04</v>
      </c>
      <c r="T37" s="10">
        <v>-3892.8</v>
      </c>
      <c r="U37" s="10">
        <v>-13301.83</v>
      </c>
      <c r="V37" s="10">
        <v>-4196.8900000000003</v>
      </c>
      <c r="W37" s="10">
        <v>-4223.0600000000004</v>
      </c>
      <c r="X37" s="10">
        <v>-4249.8900000000003</v>
      </c>
      <c r="Y37" s="10">
        <v>-4277.3900000000003</v>
      </c>
      <c r="Z37" s="10">
        <v>-15292.65</v>
      </c>
      <c r="AA37" s="10">
        <v>-3937.5</v>
      </c>
      <c r="AB37" s="10">
        <v>-3937.5</v>
      </c>
      <c r="AC37" s="10">
        <v>-3937.5</v>
      </c>
      <c r="AD37" s="10">
        <v>-3937.5</v>
      </c>
      <c r="AE37" s="10">
        <v>-15643.67</v>
      </c>
    </row>
    <row r="38" spans="1:31" x14ac:dyDescent="0.25">
      <c r="A38" s="3" t="s">
        <v>83</v>
      </c>
      <c r="B38" s="9">
        <v>1003</v>
      </c>
      <c r="C38" s="9">
        <v>996</v>
      </c>
      <c r="D38" s="9">
        <v>987</v>
      </c>
      <c r="E38" s="9">
        <v>1135</v>
      </c>
      <c r="F38" s="9">
        <v>4121</v>
      </c>
      <c r="G38" s="9">
        <v>1120</v>
      </c>
      <c r="H38" s="9">
        <v>1101</v>
      </c>
      <c r="I38" s="9">
        <v>1089</v>
      </c>
      <c r="J38" s="9">
        <v>1172.05</v>
      </c>
      <c r="K38" s="9">
        <v>4472.32</v>
      </c>
      <c r="L38" s="9">
        <v>1195.22</v>
      </c>
      <c r="M38" s="9">
        <v>1180.24</v>
      </c>
      <c r="N38" s="9">
        <v>1159.42</v>
      </c>
      <c r="O38" s="9">
        <v>1231.67</v>
      </c>
      <c r="P38" s="9">
        <v>4819.88</v>
      </c>
      <c r="Q38" s="9">
        <v>1253.1400000000001</v>
      </c>
      <c r="R38" s="9">
        <v>1231.6099999999999</v>
      </c>
      <c r="S38" s="9">
        <v>1201.43</v>
      </c>
      <c r="T38" s="9">
        <v>1307.78</v>
      </c>
      <c r="U38" s="9">
        <v>5164.08</v>
      </c>
      <c r="V38" s="9">
        <v>1314.75</v>
      </c>
      <c r="W38" s="9">
        <v>1289.8900000000001</v>
      </c>
      <c r="X38" s="9">
        <v>1254.3</v>
      </c>
      <c r="Y38" s="9">
        <v>1363.44</v>
      </c>
      <c r="Z38" s="9">
        <v>5483.59</v>
      </c>
      <c r="AA38" s="9">
        <v>1361.77</v>
      </c>
      <c r="AB38" s="9">
        <v>1338.19</v>
      </c>
      <c r="AC38" s="9">
        <v>1300.8900000000001</v>
      </c>
      <c r="AD38" s="9">
        <v>1398.89</v>
      </c>
      <c r="AE38" s="9">
        <v>5835.06</v>
      </c>
    </row>
    <row r="39" spans="1:31" x14ac:dyDescent="0.25">
      <c r="A39" s="3" t="s">
        <v>82</v>
      </c>
      <c r="B39" s="10">
        <v>-290</v>
      </c>
      <c r="C39" s="10">
        <v>-60</v>
      </c>
      <c r="D39" s="10">
        <v>-124</v>
      </c>
      <c r="E39" s="10">
        <v>-71</v>
      </c>
      <c r="F39" s="10">
        <v>-545</v>
      </c>
      <c r="G39" s="10">
        <v>-153</v>
      </c>
      <c r="H39" s="10">
        <v>-60</v>
      </c>
      <c r="I39" s="10">
        <v>-125.5</v>
      </c>
      <c r="J39" s="10">
        <v>-39.75</v>
      </c>
      <c r="K39" s="10">
        <v>-307.20999999999998</v>
      </c>
      <c r="L39" s="10">
        <v>-170</v>
      </c>
      <c r="M39" s="10">
        <v>-170</v>
      </c>
      <c r="N39" s="10">
        <v>-170</v>
      </c>
      <c r="O39" s="10">
        <v>-170</v>
      </c>
      <c r="P39" s="10">
        <v>-680</v>
      </c>
      <c r="Q39" s="10">
        <v>-170</v>
      </c>
      <c r="R39" s="10">
        <v>-170</v>
      </c>
      <c r="S39" s="10">
        <v>-170</v>
      </c>
      <c r="T39" s="10">
        <v>-170</v>
      </c>
      <c r="U39" s="10">
        <v>-680</v>
      </c>
      <c r="V39" s="10">
        <v>-210</v>
      </c>
      <c r="W39" s="10">
        <v>-210</v>
      </c>
      <c r="X39" s="10">
        <v>-210</v>
      </c>
      <c r="Y39" s="10">
        <v>-210</v>
      </c>
      <c r="Z39" s="10">
        <v>-840</v>
      </c>
      <c r="AA39" s="10">
        <v>-210</v>
      </c>
      <c r="AB39" s="10">
        <v>-210</v>
      </c>
      <c r="AC39" s="10">
        <v>-210</v>
      </c>
      <c r="AD39" s="10">
        <v>-210</v>
      </c>
      <c r="AE39" s="10">
        <v>-840</v>
      </c>
    </row>
    <row r="40" spans="1:31" x14ac:dyDescent="0.25">
      <c r="A40" s="4" t="s">
        <v>81</v>
      </c>
      <c r="B40" s="9">
        <v>3193</v>
      </c>
      <c r="C40" s="10">
        <v>-7205</v>
      </c>
      <c r="D40" s="10">
        <v>-4238</v>
      </c>
      <c r="E40" s="10">
        <v>-1831</v>
      </c>
      <c r="F40" s="10">
        <v>-10081</v>
      </c>
      <c r="G40" s="10">
        <v>-6440</v>
      </c>
      <c r="H40" s="10">
        <v>-5182</v>
      </c>
      <c r="I40" s="10">
        <v>-3086.04</v>
      </c>
      <c r="J40" s="10">
        <v>-2400.12</v>
      </c>
      <c r="K40" s="10">
        <v>-16485.88</v>
      </c>
      <c r="L40" s="10">
        <v>-90.73</v>
      </c>
      <c r="M40" s="10">
        <v>-3859.87</v>
      </c>
      <c r="N40" s="10">
        <v>-3303.2</v>
      </c>
      <c r="O40" s="10">
        <v>-3733.47</v>
      </c>
      <c r="P40" s="10">
        <v>-8869.7999999999993</v>
      </c>
      <c r="Q40" s="10">
        <v>-3632.33</v>
      </c>
      <c r="R40" s="10">
        <v>-4128.8500000000004</v>
      </c>
      <c r="S40" s="10">
        <v>-3837.05</v>
      </c>
      <c r="T40" s="10">
        <v>-5341.71</v>
      </c>
      <c r="U40" s="10">
        <v>-14763.14</v>
      </c>
      <c r="V40" s="10">
        <v>-4402.3</v>
      </c>
      <c r="W40" s="10">
        <v>-5521.34</v>
      </c>
      <c r="X40" s="10">
        <v>-3905.05</v>
      </c>
      <c r="Y40" s="10">
        <v>-5079.1899999999996</v>
      </c>
      <c r="Z40" s="10">
        <v>-17707.07</v>
      </c>
      <c r="AA40" s="10">
        <v>-4514.72</v>
      </c>
      <c r="AB40" s="10">
        <v>-5624.98</v>
      </c>
      <c r="AC40" s="10">
        <v>-3455.75</v>
      </c>
      <c r="AD40" s="10">
        <v>-5544.88</v>
      </c>
      <c r="AE40" s="10">
        <v>-19429.66</v>
      </c>
    </row>
    <row r="41" spans="1:31" x14ac:dyDescent="0.25">
      <c r="A41" s="3" t="s">
        <v>80</v>
      </c>
      <c r="B41" s="8" t="s">
        <v>54</v>
      </c>
      <c r="C41" s="9">
        <v>13</v>
      </c>
      <c r="D41" s="8" t="s">
        <v>54</v>
      </c>
      <c r="E41" s="10">
        <v>-12</v>
      </c>
      <c r="F41" s="9">
        <v>1</v>
      </c>
      <c r="G41" s="8" t="s">
        <v>54</v>
      </c>
      <c r="H41" s="8" t="s">
        <v>54</v>
      </c>
      <c r="I41" s="8" t="s">
        <v>54</v>
      </c>
      <c r="J41" s="8" t="s">
        <v>54</v>
      </c>
      <c r="K41" s="8" t="s">
        <v>54</v>
      </c>
      <c r="L41" s="8" t="s">
        <v>54</v>
      </c>
      <c r="M41" s="8" t="s">
        <v>54</v>
      </c>
      <c r="N41" s="8" t="s">
        <v>54</v>
      </c>
      <c r="O41" s="8" t="s">
        <v>54</v>
      </c>
      <c r="P41" s="8" t="s">
        <v>54</v>
      </c>
      <c r="Q41" s="8" t="s">
        <v>54</v>
      </c>
      <c r="R41" s="8" t="s">
        <v>54</v>
      </c>
      <c r="S41" s="8" t="s">
        <v>54</v>
      </c>
      <c r="T41" s="8" t="s">
        <v>54</v>
      </c>
      <c r="U41" s="8" t="s">
        <v>54</v>
      </c>
      <c r="V41" s="8" t="s">
        <v>54</v>
      </c>
      <c r="W41" s="8" t="s">
        <v>54</v>
      </c>
      <c r="X41" s="8" t="s">
        <v>54</v>
      </c>
      <c r="Y41" s="8" t="s">
        <v>54</v>
      </c>
      <c r="Z41" s="8" t="s">
        <v>54</v>
      </c>
      <c r="AA41" s="8" t="s">
        <v>54</v>
      </c>
      <c r="AB41" s="8" t="s">
        <v>54</v>
      </c>
      <c r="AC41" s="8" t="s">
        <v>54</v>
      </c>
      <c r="AD41" s="8" t="s">
        <v>54</v>
      </c>
      <c r="AE41" s="8" t="s">
        <v>54</v>
      </c>
    </row>
    <row r="42" spans="1:31" x14ac:dyDescent="0.25">
      <c r="A42" s="4" t="s">
        <v>79</v>
      </c>
      <c r="B42" s="9">
        <v>6631</v>
      </c>
      <c r="C42" s="10">
        <v>-1772</v>
      </c>
      <c r="D42" s="10">
        <v>-6920</v>
      </c>
      <c r="E42" s="9">
        <v>2323</v>
      </c>
      <c r="F42" s="9">
        <v>262</v>
      </c>
      <c r="G42" s="10">
        <v>-2067</v>
      </c>
      <c r="H42" s="10">
        <v>-734</v>
      </c>
      <c r="I42" s="9">
        <v>2032.75</v>
      </c>
      <c r="J42" s="9">
        <v>776.27</v>
      </c>
      <c r="K42" s="9">
        <v>332.2</v>
      </c>
      <c r="L42" s="9">
        <v>3870.86</v>
      </c>
      <c r="M42" s="9">
        <v>886.43</v>
      </c>
      <c r="N42" s="10">
        <v>-209.25</v>
      </c>
      <c r="O42" s="9">
        <v>440.48</v>
      </c>
      <c r="P42" s="9">
        <v>3907.22</v>
      </c>
      <c r="Q42" s="9">
        <v>1405.31</v>
      </c>
      <c r="R42" s="10">
        <v>-367.81</v>
      </c>
      <c r="S42" s="10">
        <v>-410.23</v>
      </c>
      <c r="T42" s="10">
        <v>-2037.23</v>
      </c>
      <c r="U42" s="9">
        <v>1037.49</v>
      </c>
      <c r="V42" s="9">
        <v>1154.1099999999999</v>
      </c>
      <c r="W42" s="9">
        <v>291.85000000000002</v>
      </c>
      <c r="X42" s="9">
        <v>187.26</v>
      </c>
      <c r="Y42" s="10">
        <v>-276.26</v>
      </c>
      <c r="Z42" s="9">
        <v>3048.04</v>
      </c>
      <c r="AA42" s="9">
        <v>1287.73</v>
      </c>
      <c r="AB42" s="9">
        <v>583.87</v>
      </c>
      <c r="AC42" s="9">
        <v>3917.12</v>
      </c>
      <c r="AD42" s="10">
        <v>-2080.39</v>
      </c>
      <c r="AE42" s="9">
        <v>3953.05</v>
      </c>
    </row>
    <row r="43" spans="1:31" x14ac:dyDescent="0.25">
      <c r="A43" s="4" t="s">
        <v>78</v>
      </c>
      <c r="B43" s="9">
        <v>5713</v>
      </c>
      <c r="C43" s="9">
        <v>12344</v>
      </c>
      <c r="D43" s="9">
        <v>10585</v>
      </c>
      <c r="E43" s="9">
        <v>3665</v>
      </c>
      <c r="F43" s="9">
        <v>5713</v>
      </c>
      <c r="G43" s="9">
        <v>5976</v>
      </c>
      <c r="H43" s="9">
        <v>3909</v>
      </c>
      <c r="I43" s="9">
        <v>3128.07</v>
      </c>
      <c r="J43" s="9">
        <v>5255.11</v>
      </c>
      <c r="K43" s="9">
        <v>7180.31</v>
      </c>
      <c r="L43" s="9">
        <v>6313.93</v>
      </c>
      <c r="M43" s="9">
        <v>10521.72</v>
      </c>
      <c r="N43" s="9">
        <v>11487.78</v>
      </c>
      <c r="O43" s="9">
        <v>11278.53</v>
      </c>
      <c r="P43" s="9">
        <v>7256.78</v>
      </c>
      <c r="Q43" s="9">
        <v>8088.97</v>
      </c>
      <c r="R43" s="9">
        <v>9494.27</v>
      </c>
      <c r="S43" s="9">
        <v>9126.4699999999993</v>
      </c>
      <c r="T43" s="9">
        <v>8716.24</v>
      </c>
      <c r="U43" s="9">
        <v>10307.19</v>
      </c>
      <c r="V43" s="9">
        <v>7578.98</v>
      </c>
      <c r="W43" s="9">
        <v>8733.09</v>
      </c>
      <c r="X43" s="9">
        <v>9024.9500000000007</v>
      </c>
      <c r="Y43" s="9">
        <v>9212.2000000000007</v>
      </c>
      <c r="Z43" s="9">
        <v>12514.31</v>
      </c>
      <c r="AA43" s="9">
        <v>5723.6</v>
      </c>
      <c r="AB43" s="9">
        <v>7011.32</v>
      </c>
      <c r="AC43" s="9">
        <v>7595.19</v>
      </c>
      <c r="AD43" s="9">
        <v>11512.31</v>
      </c>
      <c r="AE43" s="9">
        <v>12526.37</v>
      </c>
    </row>
    <row r="44" spans="1:31" x14ac:dyDescent="0.25">
      <c r="A44" s="4" t="s">
        <v>77</v>
      </c>
      <c r="B44" s="9">
        <v>12344</v>
      </c>
      <c r="C44" s="9">
        <v>10585</v>
      </c>
      <c r="D44" s="9">
        <v>3665</v>
      </c>
      <c r="E44" s="9">
        <v>5976</v>
      </c>
      <c r="F44" s="9">
        <v>5976</v>
      </c>
      <c r="G44" s="9">
        <v>3909</v>
      </c>
      <c r="H44" s="9">
        <v>3175</v>
      </c>
      <c r="I44" s="9">
        <v>5255.11</v>
      </c>
      <c r="J44" s="9">
        <v>6312.52</v>
      </c>
      <c r="K44" s="9">
        <v>7256.78</v>
      </c>
      <c r="L44" s="9">
        <v>10521.72</v>
      </c>
      <c r="M44" s="9">
        <v>11487.78</v>
      </c>
      <c r="N44" s="9">
        <v>11278.53</v>
      </c>
      <c r="O44" s="9">
        <v>11719.01</v>
      </c>
      <c r="P44" s="9">
        <v>11488.8</v>
      </c>
      <c r="Q44" s="9">
        <v>9494.27</v>
      </c>
      <c r="R44" s="9">
        <v>9126.4699999999993</v>
      </c>
      <c r="S44" s="9">
        <v>8716.24</v>
      </c>
      <c r="T44" s="9">
        <v>6679.01</v>
      </c>
      <c r="U44" s="9">
        <v>12670.28</v>
      </c>
      <c r="V44" s="9">
        <v>8733.09</v>
      </c>
      <c r="W44" s="9">
        <v>9024.9500000000007</v>
      </c>
      <c r="X44" s="9">
        <v>9212.2000000000007</v>
      </c>
      <c r="Y44" s="9">
        <v>8935.94</v>
      </c>
      <c r="Z44" s="9">
        <v>16113.27</v>
      </c>
      <c r="AA44" s="9">
        <v>7011.32</v>
      </c>
      <c r="AB44" s="9">
        <v>7595.19</v>
      </c>
      <c r="AC44" s="9">
        <v>11512.31</v>
      </c>
      <c r="AD44" s="9">
        <v>9431.92</v>
      </c>
      <c r="AE44" s="9">
        <v>16905.650000000001</v>
      </c>
    </row>
    <row r="45" spans="1:31" x14ac:dyDescent="0.25">
      <c r="A45" s="4" t="s">
        <v>65</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25">
      <c r="A46" s="4" t="s">
        <v>76</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25">
      <c r="A47" s="3" t="s">
        <v>75</v>
      </c>
      <c r="B47" s="9">
        <v>6847</v>
      </c>
      <c r="C47" s="9">
        <v>6992</v>
      </c>
      <c r="D47" s="9">
        <v>7457</v>
      </c>
      <c r="E47" s="9">
        <v>6654</v>
      </c>
      <c r="F47" s="9">
        <v>27950</v>
      </c>
      <c r="G47" s="9">
        <v>7222</v>
      </c>
      <c r="H47" s="9">
        <v>7500</v>
      </c>
      <c r="I47" s="9">
        <v>7326.45</v>
      </c>
      <c r="J47" s="9">
        <v>6846.41</v>
      </c>
      <c r="K47" s="9">
        <v>28834.58</v>
      </c>
      <c r="L47" s="9">
        <v>7527.63</v>
      </c>
      <c r="M47" s="9">
        <v>7430.78</v>
      </c>
      <c r="N47" s="9">
        <v>7535.92</v>
      </c>
      <c r="O47" s="9">
        <v>7734.28</v>
      </c>
      <c r="P47" s="9">
        <v>30085.439999999999</v>
      </c>
      <c r="Q47" s="9">
        <v>7979.06</v>
      </c>
      <c r="R47" s="9">
        <v>7972.36</v>
      </c>
      <c r="S47" s="9">
        <v>7980.28</v>
      </c>
      <c r="T47" s="9">
        <v>8172.11</v>
      </c>
      <c r="U47" s="9">
        <v>32164.83</v>
      </c>
      <c r="V47" s="9">
        <v>7948.74</v>
      </c>
      <c r="W47" s="9">
        <v>8407.24</v>
      </c>
      <c r="X47" s="9">
        <v>8519.58</v>
      </c>
      <c r="Y47" s="9">
        <v>8719.5400000000009</v>
      </c>
      <c r="Z47" s="9">
        <v>33981.54</v>
      </c>
      <c r="AA47" s="9">
        <v>8155.88</v>
      </c>
      <c r="AB47" s="9">
        <v>8757.27</v>
      </c>
      <c r="AC47" s="9">
        <v>8921.48</v>
      </c>
      <c r="AD47" s="9">
        <v>9171.7099999999991</v>
      </c>
      <c r="AE47" s="9">
        <v>35439.440000000002</v>
      </c>
    </row>
    <row r="48" spans="1:31" x14ac:dyDescent="0.25">
      <c r="A48" s="3" t="s">
        <v>74</v>
      </c>
      <c r="B48" s="9">
        <v>2451</v>
      </c>
      <c r="C48" s="9">
        <v>2396</v>
      </c>
      <c r="D48" s="9">
        <v>2639</v>
      </c>
      <c r="E48" s="9">
        <v>2469</v>
      </c>
      <c r="F48" s="9">
        <v>9955</v>
      </c>
      <c r="G48" s="9">
        <v>2623</v>
      </c>
      <c r="H48" s="9">
        <v>2703</v>
      </c>
      <c r="I48" s="9">
        <v>2425.62</v>
      </c>
      <c r="J48" s="9">
        <v>2334.25</v>
      </c>
      <c r="K48" s="9">
        <v>10079.49</v>
      </c>
      <c r="L48" s="9">
        <v>2455.9</v>
      </c>
      <c r="M48" s="9">
        <v>2512.9299999999998</v>
      </c>
      <c r="N48" s="9">
        <v>2428.23</v>
      </c>
      <c r="O48" s="9">
        <v>2399.77</v>
      </c>
      <c r="P48" s="9">
        <v>9859.0300000000007</v>
      </c>
      <c r="Q48" s="9">
        <v>2529.8000000000002</v>
      </c>
      <c r="R48" s="9">
        <v>2587.52</v>
      </c>
      <c r="S48" s="9">
        <v>2422.58</v>
      </c>
      <c r="T48" s="9">
        <v>2357.25</v>
      </c>
      <c r="U48" s="9">
        <v>10063.629999999999</v>
      </c>
      <c r="V48" s="9">
        <v>2598.15</v>
      </c>
      <c r="W48" s="9">
        <v>2627.42</v>
      </c>
      <c r="X48" s="9">
        <v>2439.7199999999998</v>
      </c>
      <c r="Y48" s="9">
        <v>2436.36</v>
      </c>
      <c r="Z48" s="9">
        <v>10372.5</v>
      </c>
      <c r="AA48" s="9">
        <v>2644.12</v>
      </c>
      <c r="AB48" s="9">
        <v>2663.14</v>
      </c>
      <c r="AC48" s="9">
        <v>2496.64</v>
      </c>
      <c r="AD48" s="9">
        <v>2555.87</v>
      </c>
      <c r="AE48" s="9">
        <v>10826.58</v>
      </c>
    </row>
    <row r="49" spans="1:31" x14ac:dyDescent="0.25">
      <c r="A49" s="4" t="s">
        <v>73</v>
      </c>
      <c r="B49" s="9">
        <v>4396</v>
      </c>
      <c r="C49" s="9">
        <v>4596</v>
      </c>
      <c r="D49" s="9">
        <v>4818</v>
      </c>
      <c r="E49" s="9">
        <v>4185</v>
      </c>
      <c r="F49" s="9">
        <v>17995</v>
      </c>
      <c r="G49" s="9">
        <v>4599</v>
      </c>
      <c r="H49" s="9">
        <v>4797</v>
      </c>
      <c r="I49" s="9">
        <v>4900.79</v>
      </c>
      <c r="J49" s="9">
        <v>4513.08</v>
      </c>
      <c r="K49" s="9">
        <v>18756.22</v>
      </c>
      <c r="L49" s="9">
        <v>5071.1899999999996</v>
      </c>
      <c r="M49" s="9">
        <v>4925.76</v>
      </c>
      <c r="N49" s="9">
        <v>5134.87</v>
      </c>
      <c r="O49" s="9">
        <v>5364.54</v>
      </c>
      <c r="P49" s="9">
        <v>20257.509999999998</v>
      </c>
      <c r="Q49" s="9">
        <v>5449.26</v>
      </c>
      <c r="R49" s="9">
        <v>5384.85</v>
      </c>
      <c r="S49" s="9">
        <v>5557.69</v>
      </c>
      <c r="T49" s="9">
        <v>5814.86</v>
      </c>
      <c r="U49" s="9">
        <v>22101.200000000001</v>
      </c>
      <c r="V49" s="9">
        <v>5350.59</v>
      </c>
      <c r="W49" s="9">
        <v>5779.82</v>
      </c>
      <c r="X49" s="9">
        <v>6079.86</v>
      </c>
      <c r="Y49" s="9">
        <v>6283.18</v>
      </c>
      <c r="Z49" s="9">
        <v>23609.040000000001</v>
      </c>
      <c r="AA49" s="9">
        <v>5511.76</v>
      </c>
      <c r="AB49" s="9">
        <v>6094.13</v>
      </c>
      <c r="AC49" s="9">
        <v>6424.84</v>
      </c>
      <c r="AD49" s="9">
        <v>6615.84</v>
      </c>
      <c r="AE49" s="9">
        <v>24612.86</v>
      </c>
    </row>
    <row r="50" spans="1:31" x14ac:dyDescent="0.25">
      <c r="A50" s="3" t="s">
        <v>72</v>
      </c>
      <c r="B50" s="9">
        <v>2643</v>
      </c>
      <c r="C50" s="9">
        <v>2643</v>
      </c>
      <c r="D50" s="9">
        <v>2625</v>
      </c>
      <c r="E50" s="9">
        <v>2586</v>
      </c>
      <c r="F50" s="9">
        <v>10497</v>
      </c>
      <c r="G50" s="9">
        <v>2517</v>
      </c>
      <c r="H50" s="9">
        <v>2473</v>
      </c>
      <c r="I50" s="8" t="s">
        <v>54</v>
      </c>
      <c r="J50" s="8" t="s">
        <v>54</v>
      </c>
      <c r="K50" s="9">
        <v>4990</v>
      </c>
      <c r="L50" s="8" t="s">
        <v>54</v>
      </c>
      <c r="M50" s="8" t="s">
        <v>54</v>
      </c>
      <c r="N50" s="8" t="s">
        <v>54</v>
      </c>
      <c r="O50" s="8" t="s">
        <v>54</v>
      </c>
      <c r="P50" s="8" t="s">
        <v>54</v>
      </c>
      <c r="Q50" s="8" t="s">
        <v>54</v>
      </c>
      <c r="R50" s="8" t="s">
        <v>54</v>
      </c>
      <c r="S50" s="8" t="s">
        <v>54</v>
      </c>
      <c r="T50" s="8" t="s">
        <v>54</v>
      </c>
      <c r="U50" s="8" t="s">
        <v>54</v>
      </c>
      <c r="V50" s="8" t="s">
        <v>54</v>
      </c>
      <c r="W50" s="8" t="s">
        <v>54</v>
      </c>
      <c r="X50" s="8" t="s">
        <v>54</v>
      </c>
      <c r="Y50" s="8" t="s">
        <v>54</v>
      </c>
      <c r="Z50" s="8" t="s">
        <v>54</v>
      </c>
      <c r="AA50" s="8" t="s">
        <v>54</v>
      </c>
      <c r="AB50" s="8" t="s">
        <v>54</v>
      </c>
      <c r="AC50" s="8" t="s">
        <v>54</v>
      </c>
      <c r="AD50" s="8" t="s">
        <v>54</v>
      </c>
      <c r="AE50" s="8" t="s">
        <v>54</v>
      </c>
    </row>
    <row r="51" spans="1:31" x14ac:dyDescent="0.25">
      <c r="A51" s="3" t="s">
        <v>71</v>
      </c>
      <c r="B51" s="10">
        <v>-2643</v>
      </c>
      <c r="C51" s="10">
        <v>-2643</v>
      </c>
      <c r="D51" s="10">
        <v>-2625</v>
      </c>
      <c r="E51" s="10">
        <v>-2586</v>
      </c>
      <c r="F51" s="10">
        <v>-10497</v>
      </c>
      <c r="G51" s="10">
        <v>-2517</v>
      </c>
      <c r="H51" s="10">
        <v>-2473</v>
      </c>
      <c r="I51" s="8" t="s">
        <v>54</v>
      </c>
      <c r="J51" s="8" t="s">
        <v>54</v>
      </c>
      <c r="K51" s="10">
        <v>-4990</v>
      </c>
      <c r="L51" s="8" t="s">
        <v>54</v>
      </c>
      <c r="M51" s="8" t="s">
        <v>54</v>
      </c>
      <c r="N51" s="8" t="s">
        <v>54</v>
      </c>
      <c r="O51" s="8" t="s">
        <v>54</v>
      </c>
      <c r="P51" s="8" t="s">
        <v>54</v>
      </c>
      <c r="Q51" s="8" t="s">
        <v>54</v>
      </c>
      <c r="R51" s="8" t="s">
        <v>54</v>
      </c>
      <c r="S51" s="8" t="s">
        <v>54</v>
      </c>
      <c r="T51" s="8" t="s">
        <v>54</v>
      </c>
      <c r="U51" s="8" t="s">
        <v>54</v>
      </c>
      <c r="V51" s="8" t="s">
        <v>54</v>
      </c>
      <c r="W51" s="8" t="s">
        <v>54</v>
      </c>
      <c r="X51" s="8" t="s">
        <v>54</v>
      </c>
      <c r="Y51" s="8" t="s">
        <v>54</v>
      </c>
      <c r="Z51" s="8" t="s">
        <v>54</v>
      </c>
      <c r="AA51" s="8" t="s">
        <v>54</v>
      </c>
      <c r="AB51" s="8" t="s">
        <v>54</v>
      </c>
      <c r="AC51" s="8" t="s">
        <v>54</v>
      </c>
      <c r="AD51" s="8" t="s">
        <v>54</v>
      </c>
      <c r="AE51" s="8" t="s">
        <v>54</v>
      </c>
    </row>
    <row r="52" spans="1:31" x14ac:dyDescent="0.25">
      <c r="A52" s="3" t="s">
        <v>70</v>
      </c>
      <c r="B52" s="8" t="s">
        <v>54</v>
      </c>
      <c r="C52" s="8" t="s">
        <v>54</v>
      </c>
      <c r="D52" s="8" t="s">
        <v>54</v>
      </c>
      <c r="E52" s="8" t="s">
        <v>54</v>
      </c>
      <c r="F52" s="8" t="s">
        <v>54</v>
      </c>
      <c r="G52" s="8" t="s">
        <v>54</v>
      </c>
      <c r="H52" s="8" t="s">
        <v>54</v>
      </c>
      <c r="I52" s="8" t="s">
        <v>54</v>
      </c>
      <c r="J52" s="8" t="s">
        <v>54</v>
      </c>
      <c r="K52" s="8" t="s">
        <v>54</v>
      </c>
      <c r="L52" s="8" t="s">
        <v>54</v>
      </c>
      <c r="M52" s="8" t="s">
        <v>54</v>
      </c>
      <c r="N52" s="8" t="s">
        <v>54</v>
      </c>
      <c r="O52" s="8" t="s">
        <v>54</v>
      </c>
      <c r="P52" s="8" t="s">
        <v>54</v>
      </c>
      <c r="Q52" s="8" t="s">
        <v>54</v>
      </c>
      <c r="R52" s="8" t="s">
        <v>54</v>
      </c>
      <c r="S52" s="8" t="s">
        <v>54</v>
      </c>
      <c r="T52" s="8" t="s">
        <v>54</v>
      </c>
      <c r="U52" s="8" t="s">
        <v>54</v>
      </c>
      <c r="V52" s="8" t="s">
        <v>54</v>
      </c>
      <c r="W52" s="8" t="s">
        <v>54</v>
      </c>
      <c r="X52" s="8" t="s">
        <v>54</v>
      </c>
      <c r="Y52" s="8" t="s">
        <v>54</v>
      </c>
      <c r="Z52" s="8" t="s">
        <v>54</v>
      </c>
      <c r="AA52" s="8" t="s">
        <v>54</v>
      </c>
      <c r="AB52" s="8" t="s">
        <v>54</v>
      </c>
      <c r="AC52" s="8" t="s">
        <v>54</v>
      </c>
      <c r="AD52" s="8" t="s">
        <v>54</v>
      </c>
      <c r="AE52" s="8" t="s">
        <v>54</v>
      </c>
    </row>
    <row r="53" spans="1:31" x14ac:dyDescent="0.25">
      <c r="A53" s="3" t="s">
        <v>69</v>
      </c>
      <c r="B53" s="8" t="s">
        <v>54</v>
      </c>
      <c r="C53" s="8" t="s">
        <v>54</v>
      </c>
      <c r="D53" s="8" t="s">
        <v>54</v>
      </c>
      <c r="E53" s="8" t="s">
        <v>54</v>
      </c>
      <c r="F53" s="8" t="s">
        <v>54</v>
      </c>
      <c r="G53" s="8" t="s">
        <v>54</v>
      </c>
      <c r="H53" s="8" t="s">
        <v>54</v>
      </c>
      <c r="I53" s="8" t="s">
        <v>54</v>
      </c>
      <c r="J53" s="8" t="s">
        <v>54</v>
      </c>
      <c r="K53" s="8" t="s">
        <v>54</v>
      </c>
      <c r="L53" s="8" t="s">
        <v>54</v>
      </c>
      <c r="M53" s="8" t="s">
        <v>54</v>
      </c>
      <c r="N53" s="8" t="s">
        <v>54</v>
      </c>
      <c r="O53" s="8" t="s">
        <v>54</v>
      </c>
      <c r="P53" s="8" t="s">
        <v>54</v>
      </c>
      <c r="Q53" s="8" t="s">
        <v>54</v>
      </c>
      <c r="R53" s="8" t="s">
        <v>54</v>
      </c>
      <c r="S53" s="8" t="s">
        <v>54</v>
      </c>
      <c r="T53" s="8" t="s">
        <v>54</v>
      </c>
      <c r="U53" s="8" t="s">
        <v>54</v>
      </c>
      <c r="V53" s="8" t="s">
        <v>54</v>
      </c>
      <c r="W53" s="8" t="s">
        <v>54</v>
      </c>
      <c r="X53" s="8" t="s">
        <v>54</v>
      </c>
      <c r="Y53" s="8" t="s">
        <v>54</v>
      </c>
      <c r="Z53" s="8" t="s">
        <v>54</v>
      </c>
      <c r="AA53" s="8" t="s">
        <v>54</v>
      </c>
      <c r="AB53" s="8" t="s">
        <v>54</v>
      </c>
      <c r="AC53" s="8" t="s">
        <v>54</v>
      </c>
      <c r="AD53" s="8" t="s">
        <v>54</v>
      </c>
      <c r="AE53" s="8" t="s">
        <v>54</v>
      </c>
    </row>
    <row r="54" spans="1:31" x14ac:dyDescent="0.25">
      <c r="A54" s="4" t="s">
        <v>68</v>
      </c>
      <c r="B54" s="9">
        <v>4396</v>
      </c>
      <c r="C54" s="9">
        <v>4596</v>
      </c>
      <c r="D54" s="9">
        <v>4818</v>
      </c>
      <c r="E54" s="9">
        <v>4185</v>
      </c>
      <c r="F54" s="9">
        <v>17995</v>
      </c>
      <c r="G54" s="9">
        <v>4599</v>
      </c>
      <c r="H54" s="9">
        <v>4797</v>
      </c>
      <c r="I54" s="9">
        <v>4859.12</v>
      </c>
      <c r="J54" s="9">
        <v>4563.45</v>
      </c>
      <c r="K54" s="9">
        <v>18813.259999999998</v>
      </c>
      <c r="L54" s="9">
        <v>5126.5</v>
      </c>
      <c r="M54" s="9">
        <v>4852.46</v>
      </c>
      <c r="N54" s="9">
        <v>5077.74</v>
      </c>
      <c r="O54" s="9">
        <v>5423.22</v>
      </c>
      <c r="P54" s="9">
        <v>20267.810000000001</v>
      </c>
      <c r="Q54" s="9">
        <v>5449.26</v>
      </c>
      <c r="R54" s="9">
        <v>5384.85</v>
      </c>
      <c r="S54" s="9">
        <v>5557.69</v>
      </c>
      <c r="T54" s="9">
        <v>5814.86</v>
      </c>
      <c r="U54" s="9">
        <v>22081.03</v>
      </c>
      <c r="V54" s="9">
        <v>5350.59</v>
      </c>
      <c r="W54" s="9">
        <v>5779.82</v>
      </c>
      <c r="X54" s="9">
        <v>6079.86</v>
      </c>
      <c r="Y54" s="9">
        <v>6283.18</v>
      </c>
      <c r="Z54" s="9">
        <v>23580.58</v>
      </c>
      <c r="AA54" s="9">
        <v>5511.76</v>
      </c>
      <c r="AB54" s="9">
        <v>6094.13</v>
      </c>
      <c r="AC54" s="9">
        <v>6424.84</v>
      </c>
      <c r="AD54" s="9">
        <v>6615.84</v>
      </c>
      <c r="AE54" s="9">
        <v>24639.07</v>
      </c>
    </row>
    <row r="55" spans="1:31" x14ac:dyDescent="0.25">
      <c r="A55" s="3" t="s">
        <v>67</v>
      </c>
      <c r="B55" s="10">
        <v>-70</v>
      </c>
      <c r="C55" s="10">
        <v>-92</v>
      </c>
      <c r="D55" s="10">
        <v>-96</v>
      </c>
      <c r="E55" s="10">
        <v>-100</v>
      </c>
      <c r="F55" s="10">
        <v>-358</v>
      </c>
      <c r="G55" s="10">
        <v>-153</v>
      </c>
      <c r="H55" s="10">
        <v>-181</v>
      </c>
      <c r="I55" s="10">
        <v>-378.11</v>
      </c>
      <c r="J55" s="10">
        <v>-415.19</v>
      </c>
      <c r="K55" s="10">
        <v>-1159.5899999999999</v>
      </c>
      <c r="L55" s="10">
        <v>-235.5</v>
      </c>
      <c r="M55" s="10">
        <v>-288</v>
      </c>
      <c r="N55" s="10">
        <v>-235.5</v>
      </c>
      <c r="O55" s="10">
        <v>-176.67</v>
      </c>
      <c r="P55" s="10">
        <v>-967.83</v>
      </c>
      <c r="Q55" s="8" t="s">
        <v>54</v>
      </c>
      <c r="R55" s="8" t="s">
        <v>54</v>
      </c>
      <c r="S55" s="8" t="s">
        <v>54</v>
      </c>
      <c r="T55" s="8" t="s">
        <v>54</v>
      </c>
      <c r="U55" s="10">
        <v>-500</v>
      </c>
      <c r="V55" s="8" t="s">
        <v>54</v>
      </c>
      <c r="W55" s="8" t="s">
        <v>54</v>
      </c>
      <c r="X55" s="8" t="s">
        <v>54</v>
      </c>
      <c r="Y55" s="8" t="s">
        <v>54</v>
      </c>
      <c r="Z55" s="8" t="s">
        <v>54</v>
      </c>
      <c r="AA55" s="8" t="s">
        <v>54</v>
      </c>
      <c r="AB55" s="8" t="s">
        <v>54</v>
      </c>
      <c r="AC55" s="8" t="s">
        <v>54</v>
      </c>
      <c r="AD55" s="8" t="s">
        <v>54</v>
      </c>
      <c r="AE55" s="8" t="s">
        <v>54</v>
      </c>
    </row>
    <row r="56" spans="1:31" x14ac:dyDescent="0.25">
      <c r="A56" s="4" t="s">
        <v>66</v>
      </c>
      <c r="B56" s="9">
        <v>4466</v>
      </c>
      <c r="C56" s="9">
        <v>4688</v>
      </c>
      <c r="D56" s="9">
        <v>4914</v>
      </c>
      <c r="E56" s="9">
        <v>4285</v>
      </c>
      <c r="F56" s="9">
        <v>18353</v>
      </c>
      <c r="G56" s="9">
        <v>4752</v>
      </c>
      <c r="H56" s="9">
        <v>4978</v>
      </c>
      <c r="I56" s="9">
        <v>5164.1899999999996</v>
      </c>
      <c r="J56" s="9">
        <v>4972.6899999999996</v>
      </c>
      <c r="K56" s="9">
        <v>19862.22</v>
      </c>
      <c r="L56" s="9">
        <v>5815.63</v>
      </c>
      <c r="M56" s="9">
        <v>4750.42</v>
      </c>
      <c r="N56" s="9">
        <v>4946.9799999999996</v>
      </c>
      <c r="O56" s="9">
        <v>5606.22</v>
      </c>
      <c r="P56" s="9">
        <v>21065.65</v>
      </c>
      <c r="Q56" s="9">
        <v>5922.15</v>
      </c>
      <c r="R56" s="9">
        <v>4899.4399999999996</v>
      </c>
      <c r="S56" s="9">
        <v>5155.8500000000004</v>
      </c>
      <c r="T56" s="9">
        <v>5273.56</v>
      </c>
      <c r="U56" s="9">
        <v>22187.3</v>
      </c>
      <c r="V56" s="9">
        <v>4985.53</v>
      </c>
      <c r="W56" s="9">
        <v>5265.94</v>
      </c>
      <c r="X56" s="9">
        <v>6041.7</v>
      </c>
      <c r="Y56" s="9">
        <v>5772.53</v>
      </c>
      <c r="Z56" s="9">
        <v>23457.14</v>
      </c>
      <c r="AA56" s="9">
        <v>5001.0200000000004</v>
      </c>
      <c r="AB56" s="9">
        <v>5272.44</v>
      </c>
      <c r="AC56" s="9">
        <v>6394.68</v>
      </c>
      <c r="AD56" s="9">
        <v>6299.11</v>
      </c>
      <c r="AE56" s="9">
        <v>24486.74</v>
      </c>
    </row>
    <row r="57" spans="1:31" x14ac:dyDescent="0.25">
      <c r="A57" s="4" t="s">
        <v>65</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25">
      <c r="A58" s="4" t="s">
        <v>64</v>
      </c>
      <c r="B58" s="9">
        <v>3.84</v>
      </c>
      <c r="C58" s="9">
        <v>4.05</v>
      </c>
      <c r="D58" s="9">
        <v>4.28</v>
      </c>
      <c r="E58" s="9">
        <v>3.75</v>
      </c>
      <c r="F58" s="9">
        <v>15.91</v>
      </c>
      <c r="G58" s="9">
        <v>4.17</v>
      </c>
      <c r="H58" s="9">
        <v>4.43</v>
      </c>
      <c r="I58" s="9">
        <v>4.4800000000000004</v>
      </c>
      <c r="J58" s="9">
        <v>4.32</v>
      </c>
      <c r="K58" s="9">
        <v>17.38</v>
      </c>
      <c r="L58" s="9">
        <v>4.79</v>
      </c>
      <c r="M58" s="9">
        <v>4.7300000000000004</v>
      </c>
      <c r="N58" s="9">
        <v>5.04</v>
      </c>
      <c r="O58" s="9">
        <v>5.35</v>
      </c>
      <c r="P58" s="9">
        <v>19.739999999999998</v>
      </c>
      <c r="Q58" s="9">
        <v>5.57</v>
      </c>
      <c r="R58" s="9">
        <v>5.6</v>
      </c>
      <c r="S58" s="9">
        <v>5.88</v>
      </c>
      <c r="T58" s="9">
        <v>6.26</v>
      </c>
      <c r="U58" s="9">
        <v>22.65</v>
      </c>
      <c r="V58" s="9">
        <v>5.91</v>
      </c>
      <c r="W58" s="9">
        <v>6.49</v>
      </c>
      <c r="X58" s="9">
        <v>6.96</v>
      </c>
      <c r="Y58" s="9">
        <v>7.34</v>
      </c>
      <c r="Z58" s="9">
        <v>25.79</v>
      </c>
      <c r="AA58" s="9">
        <v>6.43</v>
      </c>
      <c r="AB58" s="9">
        <v>7.22</v>
      </c>
      <c r="AC58" s="9">
        <v>7.73</v>
      </c>
      <c r="AD58" s="9">
        <v>8.11</v>
      </c>
      <c r="AE58" s="9">
        <v>28.36</v>
      </c>
    </row>
    <row r="59" spans="1:31" x14ac:dyDescent="0.25">
      <c r="A59" s="4" t="s">
        <v>63</v>
      </c>
      <c r="B59" s="9">
        <v>3.9</v>
      </c>
      <c r="C59" s="9">
        <v>4.13</v>
      </c>
      <c r="D59" s="9">
        <v>4.3600000000000003</v>
      </c>
      <c r="E59" s="9">
        <v>3.83</v>
      </c>
      <c r="F59" s="9">
        <v>16.23</v>
      </c>
      <c r="G59" s="9">
        <v>4.3099999999999996</v>
      </c>
      <c r="H59" s="9">
        <v>4.5999999999999996</v>
      </c>
      <c r="I59" s="9">
        <v>4.83</v>
      </c>
      <c r="J59" s="9">
        <v>4.71</v>
      </c>
      <c r="K59" s="9">
        <v>18.440000000000001</v>
      </c>
      <c r="L59" s="9">
        <v>5.58</v>
      </c>
      <c r="M59" s="9">
        <v>4.6100000000000003</v>
      </c>
      <c r="N59" s="9">
        <v>4.87</v>
      </c>
      <c r="O59" s="9">
        <v>5.63</v>
      </c>
      <c r="P59" s="9">
        <v>20.57</v>
      </c>
      <c r="Q59" s="9">
        <v>6.04</v>
      </c>
      <c r="R59" s="9">
        <v>5.08</v>
      </c>
      <c r="S59" s="9">
        <v>5.43</v>
      </c>
      <c r="T59" s="9">
        <v>5.63</v>
      </c>
      <c r="U59" s="9">
        <v>22.95</v>
      </c>
      <c r="V59" s="9">
        <v>5.53</v>
      </c>
      <c r="W59" s="9">
        <v>5.94</v>
      </c>
      <c r="X59" s="9">
        <v>6.93</v>
      </c>
      <c r="Y59" s="9">
        <v>6.73</v>
      </c>
      <c r="Z59" s="9">
        <v>26.5</v>
      </c>
      <c r="AA59" s="9">
        <v>5.93</v>
      </c>
      <c r="AB59" s="9">
        <v>6.35</v>
      </c>
      <c r="AC59" s="9">
        <v>7.83</v>
      </c>
      <c r="AD59" s="9">
        <v>7.84</v>
      </c>
      <c r="AE59" s="9">
        <v>30.06</v>
      </c>
    </row>
  </sheetData>
  <mergeCells count="1">
    <mergeCell ref="A1:D1"/>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6"/>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20.5703125" customWidth="1"/>
    <col min="12" max="15" width="18" customWidth="1"/>
    <col min="16" max="16" width="20.5703125" customWidth="1"/>
    <col min="17" max="20" width="18" customWidth="1"/>
    <col min="21" max="21" width="20.5703125" customWidth="1"/>
    <col min="22" max="25" width="18" customWidth="1"/>
    <col min="26" max="26" width="20.5703125" customWidth="1"/>
    <col min="27" max="30" width="18" customWidth="1"/>
    <col min="31" max="31" width="20.5703125" customWidth="1"/>
  </cols>
  <sheetData>
    <row r="1" spans="1:31" ht="39.950000000000003" customHeight="1" x14ac:dyDescent="0.25">
      <c r="A1" s="45"/>
      <c r="B1" s="45"/>
      <c r="C1" s="45"/>
      <c r="D1" s="45"/>
    </row>
    <row r="2" spans="1:31" ht="30" customHeight="1" x14ac:dyDescent="0.3">
      <c r="A2" s="1" t="s">
        <v>62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20</v>
      </c>
      <c r="C15" s="7">
        <v>20</v>
      </c>
      <c r="D15" s="7">
        <v>20</v>
      </c>
      <c r="E15" s="7">
        <v>20</v>
      </c>
      <c r="F15" s="7">
        <v>22</v>
      </c>
      <c r="G15" s="7">
        <v>21</v>
      </c>
      <c r="H15" s="7">
        <v>21</v>
      </c>
      <c r="I15" s="8" t="s">
        <v>40</v>
      </c>
      <c r="J15" s="8" t="s">
        <v>40</v>
      </c>
      <c r="K15" s="8" t="s">
        <v>41</v>
      </c>
      <c r="L15" s="8" t="s">
        <v>42</v>
      </c>
      <c r="M15" s="8" t="s">
        <v>42</v>
      </c>
      <c r="N15" s="8" t="s">
        <v>43</v>
      </c>
      <c r="O15" s="8" t="s">
        <v>43</v>
      </c>
      <c r="P15" s="8" t="s">
        <v>41</v>
      </c>
      <c r="Q15" s="8" t="s">
        <v>44</v>
      </c>
      <c r="R15" s="8" t="s">
        <v>44</v>
      </c>
      <c r="S15" s="8" t="s">
        <v>44</v>
      </c>
      <c r="T15" s="8" t="s">
        <v>44</v>
      </c>
      <c r="U15" s="8" t="s">
        <v>45</v>
      </c>
      <c r="V15" s="8" t="s">
        <v>46</v>
      </c>
      <c r="W15" s="8" t="s">
        <v>46</v>
      </c>
      <c r="X15" s="8" t="s">
        <v>46</v>
      </c>
      <c r="Y15" s="8" t="s">
        <v>46</v>
      </c>
      <c r="Z15" s="8" t="s">
        <v>47</v>
      </c>
      <c r="AA15" s="8" t="s">
        <v>48</v>
      </c>
      <c r="AB15" s="8" t="s">
        <v>48</v>
      </c>
      <c r="AC15" s="8" t="s">
        <v>48</v>
      </c>
      <c r="AD15" s="8" t="s">
        <v>48</v>
      </c>
      <c r="AE15" s="8" t="s">
        <v>49</v>
      </c>
    </row>
    <row r="16" spans="1:31" x14ac:dyDescent="0.25">
      <c r="A16" s="3" t="s">
        <v>50</v>
      </c>
      <c r="B16" s="9">
        <v>4800</v>
      </c>
      <c r="C16" s="9">
        <v>5213</v>
      </c>
      <c r="D16" s="9">
        <v>4530</v>
      </c>
      <c r="E16" s="9">
        <v>3736</v>
      </c>
      <c r="F16" s="9">
        <v>18279</v>
      </c>
      <c r="G16" s="9">
        <v>4497</v>
      </c>
      <c r="H16" s="9">
        <v>5490</v>
      </c>
      <c r="I16" s="9">
        <v>5321.15</v>
      </c>
      <c r="J16" s="9">
        <v>5062.42</v>
      </c>
      <c r="K16" s="9">
        <v>20369.03</v>
      </c>
      <c r="L16" s="9">
        <v>5950.2</v>
      </c>
      <c r="M16" s="9">
        <v>6302.68</v>
      </c>
      <c r="N16" s="9">
        <v>6341.46</v>
      </c>
      <c r="O16" s="9">
        <v>6170.89</v>
      </c>
      <c r="P16" s="9">
        <v>24319.91</v>
      </c>
      <c r="Q16" s="9">
        <v>6923.6</v>
      </c>
      <c r="R16" s="9">
        <v>7217.76</v>
      </c>
      <c r="S16" s="9">
        <v>7122.68</v>
      </c>
      <c r="T16" s="9">
        <v>6918.94</v>
      </c>
      <c r="U16" s="9">
        <v>27659.84</v>
      </c>
      <c r="V16" s="9">
        <v>7416.97</v>
      </c>
      <c r="W16" s="9">
        <v>7734.43</v>
      </c>
      <c r="X16" s="9">
        <v>7621.46</v>
      </c>
      <c r="Y16" s="9">
        <v>7408.22</v>
      </c>
      <c r="Z16" s="9">
        <v>30212.48</v>
      </c>
      <c r="AA16" s="9">
        <v>7865.5</v>
      </c>
      <c r="AB16" s="9">
        <v>8217.65</v>
      </c>
      <c r="AC16" s="9">
        <v>8076.74</v>
      </c>
      <c r="AD16" s="9">
        <v>7794.66</v>
      </c>
      <c r="AE16" s="9">
        <v>32273.95</v>
      </c>
    </row>
    <row r="17" spans="1:31" x14ac:dyDescent="0.25">
      <c r="A17" s="3" t="s">
        <v>51</v>
      </c>
      <c r="B17" s="9">
        <v>3198</v>
      </c>
      <c r="C17" s="9">
        <v>3146</v>
      </c>
      <c r="D17" s="9">
        <v>3408</v>
      </c>
      <c r="E17" s="9">
        <v>3756</v>
      </c>
      <c r="F17" s="9">
        <v>13508</v>
      </c>
      <c r="G17" s="9">
        <v>3817</v>
      </c>
      <c r="H17" s="9">
        <v>3434</v>
      </c>
      <c r="I17" s="9">
        <v>3577.37</v>
      </c>
      <c r="J17" s="9">
        <v>3610.24</v>
      </c>
      <c r="K17" s="9">
        <v>14416.73</v>
      </c>
      <c r="L17" s="9">
        <v>3567.64</v>
      </c>
      <c r="M17" s="9">
        <v>3486.46</v>
      </c>
      <c r="N17" s="9">
        <v>3522.23</v>
      </c>
      <c r="O17" s="9">
        <v>3535.48</v>
      </c>
      <c r="P17" s="9">
        <v>14308.28</v>
      </c>
      <c r="Q17" s="9">
        <v>3528.41</v>
      </c>
      <c r="R17" s="9">
        <v>3462.92</v>
      </c>
      <c r="S17" s="9">
        <v>3504.13</v>
      </c>
      <c r="T17" s="9">
        <v>3512.84</v>
      </c>
      <c r="U17" s="9">
        <v>14279.96</v>
      </c>
      <c r="V17" s="9">
        <v>3524.11</v>
      </c>
      <c r="W17" s="9">
        <v>3443.97</v>
      </c>
      <c r="X17" s="9">
        <v>3499.6</v>
      </c>
      <c r="Y17" s="9">
        <v>3512.66</v>
      </c>
      <c r="Z17" s="9">
        <v>14257.62</v>
      </c>
      <c r="AA17" s="9">
        <v>3610.93</v>
      </c>
      <c r="AB17" s="9">
        <v>3479.38</v>
      </c>
      <c r="AC17" s="9">
        <v>3544.58</v>
      </c>
      <c r="AD17" s="9">
        <v>3566.1</v>
      </c>
      <c r="AE17" s="9">
        <v>14453.64</v>
      </c>
    </row>
    <row r="18" spans="1:31" x14ac:dyDescent="0.25">
      <c r="A18" s="3" t="s">
        <v>52</v>
      </c>
      <c r="B18" s="9">
        <v>168</v>
      </c>
      <c r="C18" s="9">
        <v>178</v>
      </c>
      <c r="D18" s="9">
        <v>217</v>
      </c>
      <c r="E18" s="9">
        <v>209</v>
      </c>
      <c r="F18" s="9">
        <v>772</v>
      </c>
      <c r="G18" s="9">
        <v>203</v>
      </c>
      <c r="H18" s="9">
        <v>212</v>
      </c>
      <c r="I18" s="9">
        <v>207.35</v>
      </c>
      <c r="J18" s="9">
        <v>216.25</v>
      </c>
      <c r="K18" s="9">
        <v>857.86</v>
      </c>
      <c r="L18" s="9">
        <v>206.66</v>
      </c>
      <c r="M18" s="9">
        <v>211.41</v>
      </c>
      <c r="N18" s="9">
        <v>217.02</v>
      </c>
      <c r="O18" s="9">
        <v>220.87</v>
      </c>
      <c r="P18" s="9">
        <v>892.08</v>
      </c>
      <c r="Q18" s="9">
        <v>206.99</v>
      </c>
      <c r="R18" s="9">
        <v>210.03</v>
      </c>
      <c r="S18" s="9">
        <v>211.62</v>
      </c>
      <c r="T18" s="9">
        <v>215.71</v>
      </c>
      <c r="U18" s="9">
        <v>935.96</v>
      </c>
      <c r="V18" s="9">
        <v>219.83</v>
      </c>
      <c r="W18" s="9">
        <v>224.87</v>
      </c>
      <c r="X18" s="9">
        <v>225.73</v>
      </c>
      <c r="Y18" s="9">
        <v>224.66</v>
      </c>
      <c r="Z18" s="9">
        <v>921.89</v>
      </c>
      <c r="AA18" s="9">
        <v>228.45</v>
      </c>
      <c r="AB18" s="9">
        <v>234.95</v>
      </c>
      <c r="AC18" s="9">
        <v>236.23</v>
      </c>
      <c r="AD18" s="9">
        <v>234.82</v>
      </c>
      <c r="AE18" s="9">
        <v>958.33</v>
      </c>
    </row>
    <row r="19" spans="1:31" x14ac:dyDescent="0.25">
      <c r="A19" s="3" t="s">
        <v>53</v>
      </c>
      <c r="B19" s="9">
        <v>14</v>
      </c>
      <c r="C19" s="9">
        <v>33</v>
      </c>
      <c r="D19" s="9">
        <v>73</v>
      </c>
      <c r="E19" s="9">
        <v>143</v>
      </c>
      <c r="F19" s="9">
        <v>263</v>
      </c>
      <c r="G19" s="9">
        <v>406</v>
      </c>
      <c r="H19" s="9">
        <v>182</v>
      </c>
      <c r="I19" s="9">
        <v>255.06</v>
      </c>
      <c r="J19" s="9">
        <v>248.25</v>
      </c>
      <c r="K19" s="9">
        <v>1091.72</v>
      </c>
      <c r="L19" s="9">
        <v>242.38</v>
      </c>
      <c r="M19" s="9">
        <v>252.38</v>
      </c>
      <c r="N19" s="9">
        <v>182</v>
      </c>
      <c r="O19" s="9">
        <v>140.71</v>
      </c>
      <c r="P19" s="9">
        <v>731.02</v>
      </c>
      <c r="Q19" s="8" t="s">
        <v>54</v>
      </c>
      <c r="R19" s="8" t="s">
        <v>54</v>
      </c>
      <c r="S19" s="8" t="s">
        <v>54</v>
      </c>
      <c r="T19" s="8" t="s">
        <v>54</v>
      </c>
      <c r="U19" s="9">
        <v>179.77</v>
      </c>
      <c r="V19" s="8" t="s">
        <v>54</v>
      </c>
      <c r="W19" s="8" t="s">
        <v>54</v>
      </c>
      <c r="X19" s="8" t="s">
        <v>54</v>
      </c>
      <c r="Y19" s="8" t="s">
        <v>54</v>
      </c>
      <c r="Z19" s="8" t="s">
        <v>54</v>
      </c>
      <c r="AA19" s="8" t="s">
        <v>54</v>
      </c>
      <c r="AB19" s="8" t="s">
        <v>54</v>
      </c>
      <c r="AC19" s="8" t="s">
        <v>54</v>
      </c>
      <c r="AD19" s="8" t="s">
        <v>54</v>
      </c>
      <c r="AE19" s="8" t="s">
        <v>54</v>
      </c>
    </row>
    <row r="20" spans="1:31" x14ac:dyDescent="0.25">
      <c r="A20" s="3" t="s">
        <v>55</v>
      </c>
      <c r="B20" s="9">
        <v>79</v>
      </c>
      <c r="C20" s="10">
        <v>-23</v>
      </c>
      <c r="D20" s="9">
        <v>456</v>
      </c>
      <c r="E20" s="9">
        <v>603</v>
      </c>
      <c r="F20" s="9">
        <v>1115</v>
      </c>
      <c r="G20" s="9">
        <v>318</v>
      </c>
      <c r="H20" s="9">
        <v>219</v>
      </c>
      <c r="I20" s="9">
        <v>172.06</v>
      </c>
      <c r="J20" s="9">
        <v>140.68</v>
      </c>
      <c r="K20" s="9">
        <v>770.45</v>
      </c>
      <c r="L20" s="9">
        <v>172.41</v>
      </c>
      <c r="M20" s="9">
        <v>167.89</v>
      </c>
      <c r="N20" s="9">
        <v>208.24</v>
      </c>
      <c r="O20" s="9">
        <v>205.17</v>
      </c>
      <c r="P20" s="9">
        <v>719.16</v>
      </c>
      <c r="Q20" s="9">
        <v>292.36</v>
      </c>
      <c r="R20" s="9">
        <v>295.54000000000002</v>
      </c>
      <c r="S20" s="9">
        <v>298.52999999999997</v>
      </c>
      <c r="T20" s="9">
        <v>297.24</v>
      </c>
      <c r="U20" s="9">
        <v>848.16</v>
      </c>
      <c r="V20" s="9">
        <v>295.92</v>
      </c>
      <c r="W20" s="9">
        <v>296.81</v>
      </c>
      <c r="X20" s="9">
        <v>297.12</v>
      </c>
      <c r="Y20" s="9">
        <v>296.77</v>
      </c>
      <c r="Z20" s="9">
        <v>693.31</v>
      </c>
      <c r="AA20" s="8" t="s">
        <v>54</v>
      </c>
      <c r="AB20" s="8" t="s">
        <v>54</v>
      </c>
      <c r="AC20" s="8" t="s">
        <v>54</v>
      </c>
      <c r="AD20" s="8" t="s">
        <v>54</v>
      </c>
      <c r="AE20" s="9">
        <v>200</v>
      </c>
    </row>
    <row r="21" spans="1:31" x14ac:dyDescent="0.25">
      <c r="A21" s="4" t="s">
        <v>56</v>
      </c>
      <c r="B21" s="9">
        <v>93</v>
      </c>
      <c r="C21" s="9">
        <v>10</v>
      </c>
      <c r="D21" s="9">
        <v>529</v>
      </c>
      <c r="E21" s="9">
        <v>746</v>
      </c>
      <c r="F21" s="9">
        <v>1378</v>
      </c>
      <c r="G21" s="9">
        <v>724</v>
      </c>
      <c r="H21" s="9">
        <v>401</v>
      </c>
      <c r="I21" s="9">
        <v>331.15</v>
      </c>
      <c r="J21" s="9">
        <v>308.12</v>
      </c>
      <c r="K21" s="9">
        <v>1725.36</v>
      </c>
      <c r="L21" s="9">
        <v>262.87</v>
      </c>
      <c r="M21" s="9">
        <v>269.06</v>
      </c>
      <c r="N21" s="9">
        <v>210.97</v>
      </c>
      <c r="O21" s="9">
        <v>177.84</v>
      </c>
      <c r="P21" s="9">
        <v>940.44</v>
      </c>
      <c r="Q21" s="9">
        <v>292.36</v>
      </c>
      <c r="R21" s="9">
        <v>295.54000000000002</v>
      </c>
      <c r="S21" s="9">
        <v>298.52999999999997</v>
      </c>
      <c r="T21" s="9">
        <v>297.24</v>
      </c>
      <c r="U21" s="9">
        <v>561.70000000000005</v>
      </c>
      <c r="V21" s="9">
        <v>295.92</v>
      </c>
      <c r="W21" s="9">
        <v>296.81</v>
      </c>
      <c r="X21" s="9">
        <v>297.12</v>
      </c>
      <c r="Y21" s="9">
        <v>296.77</v>
      </c>
      <c r="Z21" s="9">
        <v>462.2</v>
      </c>
      <c r="AA21" s="8" t="s">
        <v>54</v>
      </c>
      <c r="AB21" s="8" t="s">
        <v>54</v>
      </c>
      <c r="AC21" s="8" t="s">
        <v>54</v>
      </c>
      <c r="AD21" s="8" t="s">
        <v>54</v>
      </c>
      <c r="AE21" s="9">
        <v>99.98</v>
      </c>
    </row>
    <row r="22" spans="1:31" x14ac:dyDescent="0.25">
      <c r="A22" s="4" t="s">
        <v>57</v>
      </c>
      <c r="B22" s="9">
        <v>8259</v>
      </c>
      <c r="C22" s="9">
        <v>8547</v>
      </c>
      <c r="D22" s="9">
        <v>8684</v>
      </c>
      <c r="E22" s="9">
        <v>8447</v>
      </c>
      <c r="F22" s="9">
        <v>33937</v>
      </c>
      <c r="G22" s="9">
        <v>9241</v>
      </c>
      <c r="H22" s="9">
        <v>9537</v>
      </c>
      <c r="I22" s="9">
        <v>9413.94</v>
      </c>
      <c r="J22" s="9">
        <v>9173.5300000000007</v>
      </c>
      <c r="K22" s="9">
        <v>37357.379999999997</v>
      </c>
      <c r="L22" s="9">
        <v>9948.9599999999991</v>
      </c>
      <c r="M22" s="9">
        <v>10261.120000000001</v>
      </c>
      <c r="N22" s="9">
        <v>10271.42</v>
      </c>
      <c r="O22" s="9">
        <v>10042.790000000001</v>
      </c>
      <c r="P22" s="9">
        <v>40443.08</v>
      </c>
      <c r="Q22" s="9">
        <v>10707.73</v>
      </c>
      <c r="R22" s="9">
        <v>10939.97</v>
      </c>
      <c r="S22" s="9">
        <v>10888.19</v>
      </c>
      <c r="T22" s="9">
        <v>10697.03</v>
      </c>
      <c r="U22" s="9">
        <v>43081.84</v>
      </c>
      <c r="V22" s="9">
        <v>11220.09</v>
      </c>
      <c r="W22" s="9">
        <v>11462.64</v>
      </c>
      <c r="X22" s="9">
        <v>11406.22</v>
      </c>
      <c r="Y22" s="9">
        <v>11204.89</v>
      </c>
      <c r="Z22" s="9">
        <v>45546.14</v>
      </c>
      <c r="AA22" s="9">
        <v>11704.88</v>
      </c>
      <c r="AB22" s="9">
        <v>11931.98</v>
      </c>
      <c r="AC22" s="9">
        <v>11857.55</v>
      </c>
      <c r="AD22" s="9">
        <v>11595.59</v>
      </c>
      <c r="AE22" s="9">
        <v>47816.07</v>
      </c>
    </row>
    <row r="23" spans="1:31" x14ac:dyDescent="0.25">
      <c r="A23" s="3" t="s">
        <v>58</v>
      </c>
      <c r="B23" s="9">
        <v>1</v>
      </c>
      <c r="C23" s="9">
        <v>6</v>
      </c>
      <c r="D23" s="9">
        <v>4</v>
      </c>
      <c r="E23" s="9">
        <v>2</v>
      </c>
      <c r="F23" s="9">
        <v>13</v>
      </c>
      <c r="G23" s="9">
        <v>1</v>
      </c>
      <c r="H23" s="9">
        <v>0</v>
      </c>
      <c r="I23" s="9">
        <v>0.98</v>
      </c>
      <c r="J23" s="10">
        <v>-0.49</v>
      </c>
      <c r="K23" s="9">
        <v>1.81</v>
      </c>
      <c r="L23" s="9">
        <v>0.17</v>
      </c>
      <c r="M23" s="9">
        <v>0.17</v>
      </c>
      <c r="N23" s="9">
        <v>0.17</v>
      </c>
      <c r="O23" s="9">
        <v>0.17</v>
      </c>
      <c r="P23" s="9">
        <v>1.19</v>
      </c>
      <c r="Q23" s="9">
        <v>0</v>
      </c>
      <c r="R23" s="9">
        <v>0</v>
      </c>
      <c r="S23" s="9">
        <v>0</v>
      </c>
      <c r="T23" s="9">
        <v>0</v>
      </c>
      <c r="U23" s="9">
        <v>1.19</v>
      </c>
      <c r="V23" s="9">
        <v>0</v>
      </c>
      <c r="W23" s="9">
        <v>0</v>
      </c>
      <c r="X23" s="9">
        <v>0</v>
      </c>
      <c r="Y23" s="9">
        <v>0</v>
      </c>
      <c r="Z23" s="9">
        <v>0.89</v>
      </c>
      <c r="AA23" s="9">
        <v>0</v>
      </c>
      <c r="AB23" s="9">
        <v>0</v>
      </c>
      <c r="AC23" s="9">
        <v>0</v>
      </c>
      <c r="AD23" s="9">
        <v>0</v>
      </c>
      <c r="AE23" s="9">
        <v>0.86</v>
      </c>
    </row>
    <row r="24" spans="1:31" x14ac:dyDescent="0.25">
      <c r="A24" s="3" t="s">
        <v>59</v>
      </c>
      <c r="B24" s="9">
        <v>182</v>
      </c>
      <c r="C24" s="9">
        <v>174</v>
      </c>
      <c r="D24" s="9">
        <v>165.18</v>
      </c>
      <c r="E24" s="9">
        <v>114.5</v>
      </c>
      <c r="F24" s="9">
        <v>635.66999999999996</v>
      </c>
      <c r="G24" s="9">
        <v>152.79</v>
      </c>
      <c r="H24" s="9">
        <v>162.4</v>
      </c>
      <c r="I24" s="9">
        <v>177.26</v>
      </c>
      <c r="J24" s="9">
        <v>225.09</v>
      </c>
      <c r="K24" s="9">
        <v>875.15</v>
      </c>
      <c r="L24" s="9">
        <v>136.38</v>
      </c>
      <c r="M24" s="9">
        <v>126.14</v>
      </c>
      <c r="N24" s="9">
        <v>138.71</v>
      </c>
      <c r="O24" s="9">
        <v>82.42</v>
      </c>
      <c r="P24" s="9">
        <v>491.83</v>
      </c>
      <c r="Q24" s="9">
        <v>131.26</v>
      </c>
      <c r="R24" s="9">
        <v>119.45</v>
      </c>
      <c r="S24" s="9">
        <v>132.81</v>
      </c>
      <c r="T24" s="9">
        <v>72.33</v>
      </c>
      <c r="U24" s="9">
        <v>252.92</v>
      </c>
      <c r="V24" s="9">
        <v>126.4</v>
      </c>
      <c r="W24" s="9">
        <v>112.9</v>
      </c>
      <c r="X24" s="9">
        <v>127</v>
      </c>
      <c r="Y24" s="9">
        <v>61.47</v>
      </c>
      <c r="Z24" s="9">
        <v>427.77</v>
      </c>
      <c r="AA24" s="9">
        <v>120.9</v>
      </c>
      <c r="AB24" s="9">
        <v>105.28</v>
      </c>
      <c r="AC24" s="9">
        <v>120.19</v>
      </c>
      <c r="AD24" s="9">
        <v>48.69</v>
      </c>
      <c r="AE24" s="9">
        <v>395.07</v>
      </c>
    </row>
    <row r="25" spans="1:31" x14ac:dyDescent="0.25">
      <c r="A25" s="3" t="s">
        <v>60</v>
      </c>
      <c r="B25" s="8" t="s">
        <v>54</v>
      </c>
      <c r="C25" s="8" t="s">
        <v>54</v>
      </c>
      <c r="D25" s="9">
        <v>15.3</v>
      </c>
      <c r="E25" s="9">
        <v>71.25</v>
      </c>
      <c r="F25" s="9">
        <v>86.55</v>
      </c>
      <c r="G25" s="9">
        <v>83.12</v>
      </c>
      <c r="H25" s="9">
        <v>73.5</v>
      </c>
      <c r="I25" s="9">
        <v>265.31</v>
      </c>
      <c r="J25" s="9">
        <v>166.25</v>
      </c>
      <c r="K25" s="9">
        <v>537.5</v>
      </c>
      <c r="L25" s="9">
        <v>201.88</v>
      </c>
      <c r="M25" s="9">
        <v>237.5</v>
      </c>
      <c r="N25" s="9">
        <v>237.5</v>
      </c>
      <c r="O25" s="9">
        <v>237.5</v>
      </c>
      <c r="P25" s="9">
        <v>707.19</v>
      </c>
      <c r="Q25" s="9">
        <v>237.5</v>
      </c>
      <c r="R25" s="9">
        <v>237.5</v>
      </c>
      <c r="S25" s="9">
        <v>237.5</v>
      </c>
      <c r="T25" s="9">
        <v>237.5</v>
      </c>
      <c r="U25" s="9">
        <v>950</v>
      </c>
      <c r="V25" s="9">
        <v>237.5</v>
      </c>
      <c r="W25" s="9">
        <v>237.5</v>
      </c>
      <c r="X25" s="9">
        <v>237.5</v>
      </c>
      <c r="Y25" s="9">
        <v>237.5</v>
      </c>
      <c r="Z25" s="9">
        <v>950</v>
      </c>
      <c r="AA25" s="9">
        <v>237.5</v>
      </c>
      <c r="AB25" s="9">
        <v>237.5</v>
      </c>
      <c r="AC25" s="9">
        <v>237.5</v>
      </c>
      <c r="AD25" s="9">
        <v>237.5</v>
      </c>
      <c r="AE25" s="9">
        <v>950</v>
      </c>
    </row>
    <row r="26" spans="1:31" x14ac:dyDescent="0.25">
      <c r="A26" s="4" t="s">
        <v>61</v>
      </c>
      <c r="B26" s="9">
        <v>8258</v>
      </c>
      <c r="C26" s="9">
        <v>8541</v>
      </c>
      <c r="D26" s="9">
        <v>8680</v>
      </c>
      <c r="E26" s="9">
        <v>8445</v>
      </c>
      <c r="F26" s="9">
        <v>33924</v>
      </c>
      <c r="G26" s="9">
        <v>9240</v>
      </c>
      <c r="H26" s="9">
        <v>9537</v>
      </c>
      <c r="I26" s="9">
        <v>9409.5499999999993</v>
      </c>
      <c r="J26" s="9">
        <v>9176.36</v>
      </c>
      <c r="K26" s="9">
        <v>37360.89</v>
      </c>
      <c r="L26" s="9">
        <v>9979.3799999999992</v>
      </c>
      <c r="M26" s="9">
        <v>10288.98</v>
      </c>
      <c r="N26" s="9">
        <v>10271.27</v>
      </c>
      <c r="O26" s="9">
        <v>10042.629999999999</v>
      </c>
      <c r="P26" s="9">
        <v>40446.980000000003</v>
      </c>
      <c r="Q26" s="9">
        <v>10707.73</v>
      </c>
      <c r="R26" s="9">
        <v>10939.97</v>
      </c>
      <c r="S26" s="9">
        <v>10888.19</v>
      </c>
      <c r="T26" s="9">
        <v>10697.03</v>
      </c>
      <c r="U26" s="9">
        <v>43110.13</v>
      </c>
      <c r="V26" s="9">
        <v>11220.09</v>
      </c>
      <c r="W26" s="9">
        <v>11462.64</v>
      </c>
      <c r="X26" s="9">
        <v>11406.22</v>
      </c>
      <c r="Y26" s="9">
        <v>11204.89</v>
      </c>
      <c r="Z26" s="9">
        <v>45545.31</v>
      </c>
      <c r="AA26" s="9">
        <v>11704.88</v>
      </c>
      <c r="AB26" s="9">
        <v>11931.98</v>
      </c>
      <c r="AC26" s="9">
        <v>11857.55</v>
      </c>
      <c r="AD26" s="9">
        <v>11595.59</v>
      </c>
      <c r="AE26" s="9">
        <v>47815.28</v>
      </c>
    </row>
  </sheetData>
  <mergeCells count="1">
    <mergeCell ref="A1:D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3Q26 First look</vt:lpstr>
      <vt:lpstr>3Q26 Fill-in Prompt</vt:lpstr>
      <vt:lpstr>Consensus 10-28-26 -&gt;</vt:lpstr>
      <vt:lpstr>Retail</vt:lpstr>
      <vt:lpstr>Wholesale</vt:lpstr>
      <vt:lpstr>Revenue</vt:lpstr>
      <vt:lpstr>Income statement</vt:lpstr>
      <vt:lpstr>Balance sheet</vt:lpstr>
      <vt:lpstr>Cash flow</vt:lpstr>
      <vt:lpstr>EBITDA</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Andrew Chung</cp:lastModifiedBy>
  <dcterms:created xsi:type="dcterms:W3CDTF">2026-10-28T14:36:30Z</dcterms:created>
  <dcterms:modified xsi:type="dcterms:W3CDTF">2026-10-28T20:06:02Z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